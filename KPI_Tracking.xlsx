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BBE528B8-680F-8F45-A01E-A3142412D0C2}" xr6:coauthVersionLast="47" xr6:coauthVersionMax="47" xr10:uidLastSave="{00000000-0000-0000-0000-000000000000}"/>
  <bookViews>
    <workbookView xWindow="3240" yWindow="660" windowWidth="27000" windowHeight="1898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11" i="2"/>
  <c r="E311" i="2"/>
  <c r="G310" i="2"/>
  <c r="E310" i="2"/>
  <c r="G309" i="2"/>
  <c r="E309"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<sst xmlns="http://schemas.openxmlformats.org/spreadsheetml/2006/main" count="1246" uniqueCount="523">
  <si>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</si>
  <si>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</si>
  <si>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</si>
  <si>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</si>
  <si>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</si>
  <si>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</si>
  <si>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</si>
  <si>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</si>
  <si>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</si>
  <si>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</si>
  <si>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</si>
  <si>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</si>
  <si>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</si>
  <si>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</si>
  <si>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</si>
  <si>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</si>
  <si>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</si>
  <si>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</si>
  <si>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</si>
  <si>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</si>
  <si>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</si>
  <si>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</si>
  <si>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</si>
  <si>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</si>
  <si>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</si>
  <si>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</si>
  <si>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</si>
  <si>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</si>
  <si>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</si>
  <si>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</si>
  <si>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</si>
  <si>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</si>
  <si>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</si>
  <si>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</si>
  <si>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</si>
  <si>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</si>
  <si>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</si>
  <si>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</si>
  <si>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</si>
  <si>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</si>
  <si>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</si>
  <si>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</si>
  <si>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</si>
  <si>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</si>
  <si>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</si>
  <si>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</si>
  <si>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</si>
  <si>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</si>
  <si>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</si>
  <si>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</si>
  <si>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</si>
  <si>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</si>
  <si>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</si>
  <si>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</si>
  <si>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</si>
  <si>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</si>
  <si>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</si>
  <si>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</si>
  <si>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</si>
  <si>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</si>
  <si>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</si>
  <si>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</si>
  <si>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</si>
  <si>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</si>
  <si>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</si>
  <si>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</si>
  <si>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</si>
  <si>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</si>
  <si>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</si>
  <si>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</si>
  <si>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</si>
  <si>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</si>
  <si>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</si>
  <si>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</si>
  <si>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</si>
  <si>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</si>
  <si>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</si>
  <si>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</si>
  <si>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</si>
  <si>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</si>
  <si>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</si>
  <si>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</si>
  <si>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</si>
  <si>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</si>
  <si>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</si>
  <si>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</si>
  <si>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</si>
  <si>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</si>
  <si>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</si>
  <si>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</si>
  <si>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</si>
  <si>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</si>
  <si>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</si>
  <si>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</si>
  <si>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</si>
  <si>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</si>
  <si>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</si>
  <si>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</si>
  <si>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</si>
  <si>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</si>
  <si>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</si>
  <si>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</si>
  <si>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</si>
  <si>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</si>
  <si>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</si>
  <si>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</si>
  <si>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</si>
  <si>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</si>
  <si>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</si>
  <si>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</si>
  <si>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</si>
  <si>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</si>
  <si>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</si>
  <si>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</si>
  <si>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</si>
  <si>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</si>
  <si>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</si>
  <si>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</si>
  <si>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</si>
  <si>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</si>
  <si>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</si>
  <si>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</si>
  <si>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</si>
  <si>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</si>
  <si>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</si>
  <si>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</si>
  <si>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</si>
  <si>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</si>
  <si>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</si>
  <si>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</si>
  <si>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</si>
  <si>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</si>
  <si>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</si>
  <si>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</si>
  <si>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</si>
  <si>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</si>
  <si>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</si>
  <si>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</si>
  <si>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</si>
  <si>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</si>
  <si>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</si>
  <si>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</si>
  <si>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</si>
  <si>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</si>
  <si>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</si>
  <si>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</si>
  <si>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</si>
  <si>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</si>
  <si>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</si>
  <si>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</si>
  <si>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</si>
  <si>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</si>
  <si>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</si>
  <si>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</si>
  <si>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</si>
  <si>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</si>
  <si>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</si>
  <si>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</si>
  <si>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</si>
  <si>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</si>
  <si>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</si>
  <si>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</si>
  <si>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</si>
  <si>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</si>
  <si>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</si>
  <si>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</si>
  <si>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</si>
  <si>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</si>
  <si>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</si>
  <si>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</si>
  <si>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</si>
  <si>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</si>
  <si>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</si>
  <si>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</si>
  <si>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</si>
  <si>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</si>
  <si>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</si>
  <si>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</si>
  <si>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</si>
  <si>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</si>
  <si>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</si>
  <si>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</si>
  <si>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</si>
  <si>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</si>
  <si>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</si>
  <si>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</si>
  <si>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</si>
  <si>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</si>
  <si>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</si>
  <si>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</si>
  <si>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</si>
  <si>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</si>
  <si>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</si>
  <si>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</si>
  <si>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</si>
  <si>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</si>
  <si>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</si>
  <si>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</si>
  <si>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</si>
  <si>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</si>
  <si>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</si>
  <si>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</si>
  <si>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</si>
  <si>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</si>
  <si>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</si>
  <si>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</si>
  <si>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</si>
  <si>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</si>
  <si>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</si>
  <si>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</si>
  <si>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</si>
  <si>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</si>
  <si>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</si>
  <si>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</si>
  <si>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</si>
  <si>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</si>
  <si>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</si>
  <si>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</si>
  <si>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</si>
  <si>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</si>
  <si>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</si>
  <si>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</si>
  <si>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</si>
  <si>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</si>
  <si>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</si>
  <si>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</si>
  <si>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</si>
  <si>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</si>
  <si>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</si>
  <si>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</si>
  <si>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</si>
  <si>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</si>
  <si>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</si>
  <si>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</si>
  <si>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</si>
  <si>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</si>
  <si>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</si>
  <si>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</si>
  <si>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</si>
  <si>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</si>
  <si>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</si>
  <si>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</si>
  <si>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</si>
  <si>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</si>
  <si>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</si>
  <si>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</si>
  <si>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</si>
  <si>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</si>
  <si>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</si>
  <si>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</si>
  <si>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</si>
  <si>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</si>
  <si>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</si>
  <si>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</si>
  <si>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</si>
  <si>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</si>
  <si>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</si>
  <si>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</si>
  <si>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</si>
  <si>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</si>
  <si>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</si>
  <si>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</si>
  <si>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</si>
  <si>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</si>
  <si>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</si>
  <si>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</si>
  <si>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</si>
  <si>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</si>
  <si>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</si>
  <si>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</si>
  <si>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</si>
  <si>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</si>
  <si>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</si>
  <si>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</si>
  <si>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</si>
  <si>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</si>
  <si>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</si>
  <si>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</si>
  <si>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</si>
  <si>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</si>
  <si>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</si>
  <si>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</si>
  <si>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</si>
  <si>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</si>
  <si>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</si>
  <si>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</si>
  <si>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</si>
  <si>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</si>
  <si>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</si>
  <si>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</si>
  <si>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</si>
  <si>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</si>
  <si>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</si>
  <si>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</si>
  <si>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</si>
  <si>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</si>
  <si>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</si>
  <si>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</si>
  <si>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</si>
  <si>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</si>
  <si>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</si>
  <si>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</si>
  <si>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</si>
  <si>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</si>
  <si>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</si>
  <si>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</si>
  <si>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</si>
  <si>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</si>
  <si>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</si>
  <si>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</si>
  <si>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</si>
  <si>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</si>
  <si>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</si>
  <si>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</si>
  <si>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</si>
  <si>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</si>
  <si>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</si>
  <si>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</si>
  <si>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</si>
  <si>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</si>
  <si>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</si>
  <si>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</si>
  <si>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</si>
  <si>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</si>
  <si>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</si>
  <si>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</si>
  <si>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</si>
  <si>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</si>
  <si>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</si>
  <si>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</si>
  <si>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</si>
  <si>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</si>
  <si>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</si>
  <si>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</si>
  <si>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</si>
  <si>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</si>
  <si>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</si>
  <si>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</si>
  <si>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</si>
  <si>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</si>
  <si>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</si>
  <si>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</si>
  <si>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</si>
  <si>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</si>
  <si>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</si>
  <si>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</si>
  <si>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</si>
  <si>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</si>
  <si>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</si>
  <si>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</si>
  <si>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</si>
  <si>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</si>
  <si>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</si>
  <si>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</si>
  <si>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</si>
  <si>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</si>
  <si>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</si>
  <si>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</si>
  <si>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</si>
  <si>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</si>
  <si>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</si>
  <si>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</si>
  <si>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</si>
  <si>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</si>
  <si>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</si>
  <si>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</si>
  <si>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</si>
  <si>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</si>
  <si>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</si>
  <si>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</si>
  <si>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</si>
  <si>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</si>
  <si>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</si>
  <si>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</si>
  <si>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</si>
  <si>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</si>
  <si>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</si>
  <si>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</si>
  <si>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</si>
  <si>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</si>
  <si>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</si>
  <si>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</si>
  <si>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</si>
  <si>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</si>
  <si>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</si>
  <si>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</si>
  <si>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</si>
  <si>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</si>
  <si>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</si>
  <si>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</si>
  <si>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</si>
  <si>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</si>
  <si>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</si>
  <si>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</si>
  <si>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</si>
  <si>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</si>
  <si>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</si>
  <si>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</si>
  <si>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</si>
  <si>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</si>
  <si>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</si>
  <si>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</si>
  <si>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</si>
  <si>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</si>
  <si>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</si>
  <si>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</si>
  <si>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</si>
  <si>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</si>
  <si>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</si>
  <si>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</si>
  <si>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</si>
  <si>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</si>
  <si>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</si>
  <si>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</si>
  <si>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</si>
  <si>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</si>
  <si>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</si>
  <si>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</si>
  <si>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</si>
  <si>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</si>
  <si>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</si>
  <si>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</si>
  <si>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</si>
  <si>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</si>
  <si>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</si>
  <si>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</si>
  <si>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</si>
  <si>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</si>
  <si>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</si>
  <si>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</si>
  <si>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</si>
  <si>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</si>
  <si>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</si>
  <si>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</si>
  <si>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</si>
  <si>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</si>
  <si>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</si>
  <si>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</si>
  <si>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</si>
  <si>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</si>
  <si>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</si>
  <si>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</si>
  <si>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</si>
  <si>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</si>
  <si>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</si>
  <si>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</si>
  <si>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</si>
  <si>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</si>
  <si>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</si>
  <si>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</si>
  <si>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</si>
  <si>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</si>
  <si>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</si>
  <si>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</si>
  <si>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</si>
  <si>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</si>
  <si>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</si>
  <si>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</si>
  <si>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</si>
  <si>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</si>
  <si>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</si>
  <si>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</si>
  <si>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</si>
  <si>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</si>
  <si>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</si>
  <si>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</si>
  <si>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</si>
  <si>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LIB-CIRCTOTAL</t>
  </si>
  <si>
    <t>LIB-CIRCPHYS</t>
  </si>
  <si>
    <t>LIB_CIRCDIGI</t>
  </si>
  <si>
    <t>LIB-ROOMRENTALS</t>
  </si>
  <si>
    <t>LIB-COMPUSE</t>
  </si>
  <si>
    <t>LIB-UNIQWIRELESS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</si>
  <si>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</si>
  <si>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</si>
  <si>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</si>
  <si>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</si>
  <si>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</si>
  <si>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</si>
  <si>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</si>
  <si>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</si>
  <si>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</si>
  <si>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</si>
  <si>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</si>
  <si>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</si>
  <si>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</si>
  <si>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</si>
  <si>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</si>
  <si>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</si>
  <si>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</si>
  <si>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</si>
  <si>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</si>
  <si>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</si>
  <si>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</si>
  <si>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</si>
  <si>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</si>
  <si>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</si>
  <si>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</si>
  <si>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Total circulation</t>
  </si>
  <si>
    <t>Physical circulation</t>
  </si>
  <si>
    <t>Digital circulation</t>
  </si>
  <si>
    <t>Program room rentals</t>
  </si>
  <si>
    <t>Total computer use</t>
  </si>
  <si>
    <t>Unique wireless use</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</si>
  <si>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</si>
  <si>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</si>
  <si>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</si>
  <si>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</si>
  <si>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</si>
  <si>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</si>
  <si>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</si>
  <si>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</si>
  <si>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</si>
  <si>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</si>
  <si>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</si>
  <si>
    <t>PIO-ENGRATE</t>
  </si>
  <si>
    <t>Social media engagement rate</t>
  </si>
  <si>
    <t>Public Information Officer</t>
  </si>
  <si>
    <t>Instagram</t>
  </si>
  <si>
    <t>Facebook</t>
  </si>
  <si>
    <t>LinkedIn</t>
  </si>
  <si>
    <t>TikTok</t>
  </si>
  <si>
    <t>Instagram, Facebook, LinkedIn, TikTok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</si>
</sst>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9">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9" fillId="0" borderId="0" xfId="0" applyFont="1"/>
    <xf numFmtId="0" fontId="9" fillId="0" borderId="0" xfId="0" applyFont="1" applyAlignment="1">
      <alignment wrapText="1"/>
    </xf>
    <xf numFmtId="0" fontId="10"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1"/>
  <sheetViews>
    <sheetView tabSelected="1" zoomScaleNormal="100" workbookViewId="0">
      <pane ySplit="1" topLeftCell="A11" activePane="bottomLeft" state="frozen"/>
      <selection pane="bottomLeft" activeCell="F40" sqref="F40"/>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12" t="s">
        <v>444</v>
      </c>
      <c r="B2" s="18" t="s">
        <v>62</v>
      </c>
      <c r="C2" s="2" t="s">
        <v>63</v>
      </c>
      <c r="D2" s="2" t="s">
        <v>64</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65</v>
      </c>
      <c r="G2" s="6" t="str">
        <f>IF(F2="","",IF(ISNUMBER(SEARCH(",",F2)),"Several items (the script lists them)",IFERROR(INDEX('Dashboard Items'!$B$2:$B$500,MATCH(F2,'Dashboard Items'!$A$2:$A$500,0))&amp;": "&amp;INDEX('Dashboard Items'!$C$2:$C$500,MATCH(F2,'Dashboard Items'!$A$2:$A$500,0)),"ID not found")))</f>
        <v>Objective: 6.1 Employee Growth and Retention</v>
      </c>
      <c r="H2" s="2" t="s">
        <v>66</v>
      </c>
      <c r="I2" s="2">
        <v>1</v>
      </c>
      <c r="J2" s="2" t="s">
        <v>67</v>
      </c>
      <c r="K2" s="2" t="s">
        <v>29</v>
      </c>
      <c r="L2" s="2">
        <v>5</v>
      </c>
      <c r="M2" s="2">
        <v>15</v>
      </c>
      <c r="N2" s="2" t="s">
        <v>67</v>
      </c>
      <c r="O2" s="2" t="s">
        <v>68</v>
      </c>
      <c r="P2" s="12" t="s">
        <v>440</v>
      </c>
      <c r="Q2" s="2" t="s">
        <v>69</v>
      </c>
      <c r="R2" s="2" t="s">
        <v>70</v>
      </c>
      <c r="S2" s="2"/>
    </row>
    <row r="3" spans="1:19" ht="17" x14ac:dyDescent="0.2">
      <c r="A3" s="12" t="s">
        <v>443</v>
      </c>
      <c r="B3" s="18" t="s">
        <v>492</v>
      </c>
      <c r="C3" s="2" t="s">
        <v>73</v>
      </c>
      <c r="D3" s="12" t="s">
        <v>183</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Recruitment and Retention</v>
      </c>
      <c r="F3" s="7"/>
      <c r="G3" s="6"/>
      <c r="H3" s="2"/>
      <c r="I3" s="2"/>
      <c r="J3" s="2"/>
      <c r="K3" s="2"/>
      <c r="L3" s="2"/>
      <c r="M3" s="2"/>
      <c r="N3" s="2"/>
      <c r="O3" s="2"/>
      <c r="P3" s="12"/>
      <c r="Q3" s="2"/>
      <c r="R3" s="2"/>
      <c r="S3" s="2"/>
    </row>
    <row r="4" spans="1:19" ht="17" x14ac:dyDescent="0.2">
      <c r="A4" s="12" t="s">
        <v>445</v>
      </c>
      <c r="B4" s="18" t="s">
        <v>494</v>
      </c>
      <c r="C4" s="2" t="s">
        <v>73</v>
      </c>
      <c r="D4" s="12" t="s">
        <v>183</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Recruitment and Retention</v>
      </c>
      <c r="F4" s="7"/>
      <c r="G4" s="6"/>
      <c r="H4" s="2"/>
      <c r="I4" s="2"/>
      <c r="J4" s="2"/>
      <c r="K4" s="2"/>
      <c r="L4" s="2"/>
      <c r="M4" s="2"/>
      <c r="N4" s="2"/>
      <c r="O4" s="2"/>
      <c r="P4" s="12"/>
      <c r="Q4" s="2"/>
      <c r="R4" s="2"/>
      <c r="S4" s="2"/>
    </row>
    <row r="5" spans="1:19" ht="17" x14ac:dyDescent="0.2">
      <c r="A5" s="12" t="s">
        <v>446</v>
      </c>
      <c r="B5" s="18" t="s">
        <v>493</v>
      </c>
      <c r="C5" s="2" t="s">
        <v>73</v>
      </c>
      <c r="D5" s="12" t="s">
        <v>183</v>
      </c>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Recruitment and Retention</v>
      </c>
      <c r="F5" s="7"/>
      <c r="G5" s="6"/>
      <c r="H5" s="2"/>
      <c r="I5" s="2"/>
      <c r="J5" s="2"/>
      <c r="K5" s="2"/>
      <c r="L5" s="2"/>
      <c r="M5" s="2"/>
      <c r="N5" s="2"/>
      <c r="O5" s="2"/>
      <c r="P5" s="12"/>
      <c r="Q5" s="2"/>
      <c r="R5" s="2"/>
      <c r="S5" s="2"/>
    </row>
    <row r="6" spans="1:19" ht="17" x14ac:dyDescent="0.2">
      <c r="A6" s="12" t="s">
        <v>447</v>
      </c>
      <c r="B6" s="18" t="s">
        <v>514</v>
      </c>
      <c r="C6" s="2" t="s">
        <v>73</v>
      </c>
      <c r="D6" s="12" t="s">
        <v>183</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Recruitment and Retention</v>
      </c>
      <c r="F6" s="7"/>
      <c r="G6" s="6"/>
      <c r="H6" s="2"/>
      <c r="I6" s="2"/>
      <c r="J6" s="2"/>
      <c r="K6" s="2"/>
      <c r="L6" s="2"/>
      <c r="M6" s="2"/>
      <c r="N6" s="2"/>
      <c r="O6" s="2"/>
      <c r="P6" s="12"/>
      <c r="Q6" s="2"/>
      <c r="R6" s="2"/>
      <c r="S6" s="2"/>
    </row>
    <row r="7" spans="1:19" ht="28" x14ac:dyDescent="0.2">
      <c r="A7" s="12" t="s">
        <v>448</v>
      </c>
      <c r="B7" s="18" t="s">
        <v>458</v>
      </c>
      <c r="C7" s="2" t="s">
        <v>73</v>
      </c>
      <c r="D7" s="12" t="s">
        <v>189</v>
      </c>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Risk Management</v>
      </c>
      <c r="F7" s="7"/>
      <c r="G7" s="6"/>
      <c r="H7" s="2"/>
      <c r="I7" s="2"/>
      <c r="J7" s="2"/>
      <c r="K7" s="2"/>
      <c r="L7" s="2"/>
      <c r="M7" s="2"/>
      <c r="N7" s="2"/>
      <c r="O7" s="2"/>
      <c r="P7" s="12" t="s">
        <v>462</v>
      </c>
      <c r="Q7" s="2"/>
      <c r="R7" s="2"/>
      <c r="S7" s="2"/>
    </row>
    <row r="8" spans="1:19" ht="28" x14ac:dyDescent="0.2">
      <c r="A8" s="12" t="s">
        <v>449</v>
      </c>
      <c r="B8" s="18" t="s">
        <v>457</v>
      </c>
      <c r="C8" s="2" t="s">
        <v>73</v>
      </c>
      <c r="D8" s="12" t="s">
        <v>189</v>
      </c>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Risk Management</v>
      </c>
      <c r="F8" s="7"/>
      <c r="G8" s="6"/>
      <c r="H8" s="2"/>
      <c r="I8" s="2"/>
      <c r="J8" s="2" t="s">
        <v>414</v>
      </c>
      <c r="K8" s="2"/>
      <c r="L8" s="2"/>
      <c r="M8" s="2"/>
      <c r="N8" s="2"/>
      <c r="O8" s="2"/>
      <c r="P8" s="12" t="s">
        <v>462</v>
      </c>
      <c r="Q8" s="2"/>
      <c r="R8" s="2"/>
      <c r="S8" s="2"/>
    </row>
    <row r="9" spans="1:19" ht="28" x14ac:dyDescent="0.2">
      <c r="A9" s="12" t="s">
        <v>450</v>
      </c>
      <c r="B9" s="18" t="s">
        <v>456</v>
      </c>
      <c r="C9" s="2" t="s">
        <v>73</v>
      </c>
      <c r="D9" s="12" t="s">
        <v>189</v>
      </c>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Risk Management</v>
      </c>
      <c r="F9" s="7"/>
      <c r="G9" s="6"/>
      <c r="H9" s="2"/>
      <c r="I9" s="2"/>
      <c r="J9" s="2"/>
      <c r="K9" s="2"/>
      <c r="L9" s="2"/>
      <c r="M9" s="2"/>
      <c r="N9" s="2"/>
      <c r="O9" s="2"/>
      <c r="P9" s="12" t="s">
        <v>462</v>
      </c>
      <c r="Q9" s="2"/>
      <c r="R9" s="2"/>
      <c r="S9" s="2"/>
    </row>
    <row r="10" spans="1:19" ht="28" x14ac:dyDescent="0.2">
      <c r="A10" s="12" t="s">
        <v>451</v>
      </c>
      <c r="B10" s="18" t="s">
        <v>460</v>
      </c>
      <c r="C10" s="2" t="s">
        <v>73</v>
      </c>
      <c r="D10" s="12" t="s">
        <v>189</v>
      </c>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Risk Management</v>
      </c>
      <c r="F10" s="7"/>
      <c r="G10" s="6"/>
      <c r="H10" s="2"/>
      <c r="I10" s="2"/>
      <c r="J10" s="2"/>
      <c r="K10" s="2"/>
      <c r="L10" s="2"/>
      <c r="M10" s="2"/>
      <c r="N10" s="2"/>
      <c r="O10" s="2"/>
      <c r="P10" s="12" t="s">
        <v>462</v>
      </c>
      <c r="Q10" s="2"/>
      <c r="R10" s="2"/>
      <c r="S10" s="2"/>
    </row>
    <row r="11" spans="1:19" ht="28" x14ac:dyDescent="0.2">
      <c r="A11" s="12" t="s">
        <v>452</v>
      </c>
      <c r="B11" s="18" t="s">
        <v>455</v>
      </c>
      <c r="C11" s="2" t="s">
        <v>73</v>
      </c>
      <c r="D11" s="12" t="s">
        <v>189</v>
      </c>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Risk Management</v>
      </c>
      <c r="F11" s="7"/>
      <c r="G11" s="6"/>
      <c r="H11" s="2"/>
      <c r="I11" s="2"/>
      <c r="J11" s="2"/>
      <c r="K11" s="2"/>
      <c r="L11" s="2"/>
      <c r="M11" s="2"/>
      <c r="N11" s="2"/>
      <c r="O11" s="2"/>
      <c r="P11" s="12" t="s">
        <v>462</v>
      </c>
      <c r="Q11" s="2"/>
      <c r="R11" s="2"/>
      <c r="S11" s="2"/>
    </row>
    <row r="12" spans="1:19" ht="28" x14ac:dyDescent="0.2">
      <c r="A12" s="12" t="s">
        <v>453</v>
      </c>
      <c r="B12" s="18" t="s">
        <v>459</v>
      </c>
      <c r="C12" s="2" t="s">
        <v>73</v>
      </c>
      <c r="D12" s="12" t="s">
        <v>189</v>
      </c>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Risk Management</v>
      </c>
      <c r="F12" s="7"/>
      <c r="G12" s="6"/>
      <c r="H12" s="2"/>
      <c r="I12" s="2"/>
      <c r="J12" s="2" t="s">
        <v>414</v>
      </c>
      <c r="K12" s="2"/>
      <c r="L12" s="2"/>
      <c r="M12" s="2"/>
      <c r="N12" s="2"/>
      <c r="O12" s="2"/>
      <c r="P12" s="12" t="s">
        <v>462</v>
      </c>
      <c r="Q12" s="2"/>
      <c r="R12" s="2"/>
      <c r="S12" s="2"/>
    </row>
    <row r="13" spans="1:19" ht="28" x14ac:dyDescent="0.2">
      <c r="A13" s="12" t="s">
        <v>454</v>
      </c>
      <c r="B13" s="18" t="s">
        <v>461</v>
      </c>
      <c r="C13" s="2" t="s">
        <v>73</v>
      </c>
      <c r="D13" s="12" t="s">
        <v>189</v>
      </c>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Risk Management</v>
      </c>
      <c r="F13" s="7"/>
      <c r="G13" s="6"/>
      <c r="H13" s="2"/>
      <c r="I13" s="2"/>
      <c r="J13" s="2" t="s">
        <v>67</v>
      </c>
      <c r="K13" s="2"/>
      <c r="L13" s="2"/>
      <c r="M13" s="2"/>
      <c r="N13" s="2"/>
      <c r="O13" s="2"/>
      <c r="P13" s="12" t="s">
        <v>462</v>
      </c>
      <c r="Q13" s="2"/>
      <c r="R13" s="2"/>
      <c r="S13" s="2"/>
    </row>
    <row r="14" spans="1:19" ht="17" x14ac:dyDescent="0.2">
      <c r="A14" s="2" t="s">
        <v>71</v>
      </c>
      <c r="B14" s="18" t="s">
        <v>72</v>
      </c>
      <c r="C14" s="2" t="s">
        <v>73</v>
      </c>
      <c r="D14" s="2" t="s">
        <v>74</v>
      </c>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Network and Infrastructure Management</v>
      </c>
      <c r="F14" s="7" t="s">
        <v>75</v>
      </c>
      <c r="G14" s="6" t="str">
        <f>IF(F14="","",IF(ISNUMBER(SEARCH(",",F14)),"Several items (the script lists them)",IFERROR(INDEX('Dashboard Items'!$B$2:$B$500,MATCH(F14,'Dashboard Items'!$A$2:$A$500,0))&amp;": "&amp;INDEX('Dashboard Items'!$C$2:$C$500,MATCH(F14,'Dashboard Items'!$A$2:$A$500,0)),"ID not found")))</f>
        <v>Several items (the script lists them)</v>
      </c>
      <c r="H14" s="2" t="s">
        <v>66</v>
      </c>
      <c r="I14" s="2">
        <v>2</v>
      </c>
      <c r="J14" s="2" t="s">
        <v>67</v>
      </c>
      <c r="K14" s="2" t="s">
        <v>29</v>
      </c>
      <c r="L14" s="2">
        <v>5</v>
      </c>
      <c r="M14" s="2">
        <v>15</v>
      </c>
      <c r="N14" s="2" t="s">
        <v>67</v>
      </c>
      <c r="O14" s="2" t="s">
        <v>76</v>
      </c>
      <c r="P14" s="12" t="s">
        <v>441</v>
      </c>
      <c r="Q14" s="12" t="s">
        <v>408</v>
      </c>
      <c r="R14" s="2"/>
      <c r="S14" s="2"/>
    </row>
    <row r="15" spans="1:19" ht="28" x14ac:dyDescent="0.2">
      <c r="A15" s="12" t="s">
        <v>463</v>
      </c>
      <c r="B15" s="18" t="s">
        <v>495</v>
      </c>
      <c r="C15" s="2" t="s">
        <v>73</v>
      </c>
      <c r="D15" s="12" t="s">
        <v>200</v>
      </c>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Help Desk</v>
      </c>
      <c r="F15" s="13" t="s">
        <v>115</v>
      </c>
      <c r="G15" s="6" t="str">
        <f>IF(F15="","",IF(ISNUMBER(SEARCH(",",F15)),"Several items (the script lists them)",IFERROR(INDEX('Dashboard Items'!$B$2:$B$500,MATCH(F15,'Dashboard Items'!$A$2:$A$500,0))&amp;": "&amp;INDEX('Dashboard Items'!$C$2:$C$500,MATCH(F15,'Dashboard Items'!$A$2:$A$500,0)),"ID not found")))</f>
        <v>Key Service: Information Technology Services</v>
      </c>
      <c r="H15" s="12" t="s">
        <v>66</v>
      </c>
      <c r="I15" s="2">
        <v>1</v>
      </c>
      <c r="J15" s="2" t="s">
        <v>67</v>
      </c>
      <c r="K15" s="2" t="s">
        <v>29</v>
      </c>
      <c r="L15" s="2">
        <v>5</v>
      </c>
      <c r="M15" s="2">
        <v>15</v>
      </c>
      <c r="N15" s="2" t="s">
        <v>67</v>
      </c>
      <c r="O15" s="12" t="s">
        <v>76</v>
      </c>
      <c r="P15" s="12" t="s">
        <v>441</v>
      </c>
      <c r="Q15" s="12" t="s">
        <v>409</v>
      </c>
      <c r="R15" s="2"/>
      <c r="S15" s="2"/>
    </row>
    <row r="16" spans="1:19" ht="28" x14ac:dyDescent="0.2">
      <c r="A16" s="12" t="s">
        <v>464</v>
      </c>
      <c r="B16" s="12" t="s">
        <v>496</v>
      </c>
      <c r="C16" s="2" t="s">
        <v>73</v>
      </c>
      <c r="D16" s="12" t="s">
        <v>200</v>
      </c>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Help Desk</v>
      </c>
      <c r="F16" s="13" t="s">
        <v>115</v>
      </c>
      <c r="G16" s="6" t="str">
        <f>IF(F16="","",IF(ISNUMBER(SEARCH(",",F16)),"Several items (the script lists them)",IFERROR(INDEX('Dashboard Items'!$B$2:$B$500,MATCH(F16,'Dashboard Items'!$A$2:$A$500,0))&amp;": "&amp;INDEX('Dashboard Items'!$C$2:$C$500,MATCH(F16,'Dashboard Items'!$A$2:$A$500,0)),"ID not found")))</f>
        <v>Key Service: Information Technology Services</v>
      </c>
      <c r="H16" s="12" t="s">
        <v>66</v>
      </c>
      <c r="I16" s="2">
        <v>2</v>
      </c>
      <c r="J16" s="2" t="s">
        <v>67</v>
      </c>
      <c r="K16" s="2" t="s">
        <v>29</v>
      </c>
      <c r="L16" s="2">
        <v>5</v>
      </c>
      <c r="M16" s="2">
        <v>15</v>
      </c>
      <c r="N16" s="2" t="s">
        <v>67</v>
      </c>
      <c r="O16" s="12" t="s">
        <v>76</v>
      </c>
      <c r="P16" s="12" t="s">
        <v>441</v>
      </c>
      <c r="Q16" s="12" t="s">
        <v>409</v>
      </c>
      <c r="R16" s="2"/>
      <c r="S16" s="2"/>
    </row>
    <row r="17" spans="1:19" ht="28" x14ac:dyDescent="0.2">
      <c r="A17" s="12" t="s">
        <v>465</v>
      </c>
      <c r="B17" s="12" t="s">
        <v>497</v>
      </c>
      <c r="C17" s="2" t="s">
        <v>73</v>
      </c>
      <c r="D17" s="12" t="s">
        <v>194</v>
      </c>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Cybersecurity</v>
      </c>
      <c r="F17" s="13" t="s">
        <v>115</v>
      </c>
      <c r="G17" s="6" t="str">
        <f>IF(F17="","",IF(ISNUMBER(SEARCH(",",F17)),"Several items (the script lists them)",IFERROR(INDEX('Dashboard Items'!$B$2:$B$500,MATCH(F17,'Dashboard Items'!$A$2:$A$500,0))&amp;": "&amp;INDEX('Dashboard Items'!$C$2:$C$500,MATCH(F17,'Dashboard Items'!$A$2:$A$500,0)),"ID not found")))</f>
        <v>Key Service: Information Technology Services</v>
      </c>
      <c r="H17" s="12" t="s">
        <v>66</v>
      </c>
      <c r="I17" s="2">
        <v>2</v>
      </c>
      <c r="J17" s="2" t="s">
        <v>414</v>
      </c>
      <c r="K17" s="2" t="s">
        <v>29</v>
      </c>
      <c r="L17" s="2">
        <v>5</v>
      </c>
      <c r="M17" s="2">
        <v>15</v>
      </c>
      <c r="N17" s="2" t="s">
        <v>67</v>
      </c>
      <c r="O17" s="12" t="s">
        <v>415</v>
      </c>
      <c r="P17" s="12" t="s">
        <v>441</v>
      </c>
      <c r="Q17" s="12" t="s">
        <v>416</v>
      </c>
      <c r="R17" s="2"/>
      <c r="S17" s="2"/>
    </row>
    <row r="18" spans="1:19" ht="16" x14ac:dyDescent="0.2">
      <c r="A18" s="12" t="s">
        <v>467</v>
      </c>
      <c r="B18" s="16" t="s">
        <v>498</v>
      </c>
      <c r="C18" s="2" t="s">
        <v>73</v>
      </c>
      <c r="D18" s="12" t="s">
        <v>319</v>
      </c>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Circulation Services</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ht="16" x14ac:dyDescent="0.2">
      <c r="A19" s="12" t="s">
        <v>468</v>
      </c>
      <c r="B19" s="16" t="s">
        <v>499</v>
      </c>
      <c r="C19" s="2" t="s">
        <v>73</v>
      </c>
      <c r="D19" s="12" t="s">
        <v>319</v>
      </c>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Circulation Services</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ht="16" x14ac:dyDescent="0.2">
      <c r="A20" s="12" t="s">
        <v>469</v>
      </c>
      <c r="B20" s="16" t="s">
        <v>500</v>
      </c>
      <c r="C20" s="2" t="s">
        <v>73</v>
      </c>
      <c r="D20" s="12" t="s">
        <v>319</v>
      </c>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Circulation Services</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ht="17" x14ac:dyDescent="0.2">
      <c r="A21" s="12" t="s">
        <v>466</v>
      </c>
      <c r="B21" s="17" t="s">
        <v>437</v>
      </c>
      <c r="C21" s="2" t="s">
        <v>73</v>
      </c>
      <c r="D21" s="12" t="s">
        <v>331</v>
      </c>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Community Space</v>
      </c>
      <c r="F21" s="13" t="s">
        <v>135</v>
      </c>
      <c r="G21" s="6" t="str">
        <f>IF(F21="","",IF(ISNUMBER(SEARCH(",",F21)),"Several items (the script lists them)",IFERROR(INDEX('Dashboard Items'!$B$2:$B$500,MATCH(F21,'Dashboard Items'!$A$2:$A$500,0))&amp;": "&amp;INDEX('Dashboard Items'!$C$2:$C$500,MATCH(F21,'Dashboard Items'!$A$2:$A$500,0)),"ID not found")))</f>
        <v>Key Service: Library &amp; Learning Services</v>
      </c>
      <c r="H21" s="12" t="s">
        <v>438</v>
      </c>
      <c r="I21" s="2">
        <v>0</v>
      </c>
      <c r="J21" s="2" t="s">
        <v>67</v>
      </c>
      <c r="K21" s="2" t="s">
        <v>29</v>
      </c>
      <c r="L21" s="2">
        <v>5</v>
      </c>
      <c r="M21" s="2">
        <v>15</v>
      </c>
      <c r="N21" s="2" t="s">
        <v>67</v>
      </c>
      <c r="O21" s="12" t="s">
        <v>439</v>
      </c>
      <c r="P21" s="12" t="s">
        <v>442</v>
      </c>
      <c r="Q21" s="2"/>
      <c r="R21" s="2"/>
      <c r="S21" s="2"/>
    </row>
    <row r="22" spans="1:19" ht="17" x14ac:dyDescent="0.2">
      <c r="A22" s="12" t="s">
        <v>470</v>
      </c>
      <c r="B22" s="17" t="s">
        <v>501</v>
      </c>
      <c r="C22" s="2" t="s">
        <v>73</v>
      </c>
      <c r="D22" s="12" t="s">
        <v>331</v>
      </c>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Community Space</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ht="17" x14ac:dyDescent="0.2">
      <c r="A23" s="12" t="s">
        <v>471</v>
      </c>
      <c r="B23" s="17" t="s">
        <v>502</v>
      </c>
      <c r="C23" s="2" t="s">
        <v>73</v>
      </c>
      <c r="D23" s="12" t="s">
        <v>321</v>
      </c>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Digital Learning</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ht="17" x14ac:dyDescent="0.2">
      <c r="A24" s="12" t="s">
        <v>472</v>
      </c>
      <c r="B24" s="17" t="s">
        <v>503</v>
      </c>
      <c r="C24" s="2" t="s">
        <v>73</v>
      </c>
      <c r="D24" s="12" t="s">
        <v>321</v>
      </c>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Digital Learning</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ht="17" x14ac:dyDescent="0.2">
      <c r="A25" s="12" t="s">
        <v>473</v>
      </c>
      <c r="B25" s="17" t="s">
        <v>504</v>
      </c>
      <c r="C25" s="2" t="s">
        <v>73</v>
      </c>
      <c r="D25" s="12" t="s">
        <v>327</v>
      </c>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Cultural Programming</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ht="17" x14ac:dyDescent="0.2">
      <c r="A26" s="12" t="s">
        <v>474</v>
      </c>
      <c r="B26" s="17" t="s">
        <v>505</v>
      </c>
      <c r="C26" s="2" t="s">
        <v>73</v>
      </c>
      <c r="D26" s="12" t="s">
        <v>327</v>
      </c>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Cultural Programming</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ht="16" x14ac:dyDescent="0.2">
      <c r="A27" s="12" t="s">
        <v>475</v>
      </c>
      <c r="B27" s="16" t="s">
        <v>506</v>
      </c>
      <c r="C27" s="2" t="s">
        <v>73</v>
      </c>
      <c r="D27" s="12" t="s">
        <v>327</v>
      </c>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Cultural Programming</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ht="16" x14ac:dyDescent="0.2">
      <c r="A28" s="12" t="s">
        <v>476</v>
      </c>
      <c r="B28" s="16" t="s">
        <v>507</v>
      </c>
      <c r="C28" s="2" t="s">
        <v>73</v>
      </c>
      <c r="D28" s="12" t="s">
        <v>327</v>
      </c>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Cultural Programming</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ht="16" x14ac:dyDescent="0.2">
      <c r="A29" s="12" t="s">
        <v>477</v>
      </c>
      <c r="B29" s="16" t="s">
        <v>508</v>
      </c>
      <c r="C29" s="2" t="s">
        <v>73</v>
      </c>
      <c r="D29" s="12" t="s">
        <v>327</v>
      </c>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Cultural Programming</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ht="16" x14ac:dyDescent="0.2">
      <c r="A30" s="12" t="s">
        <v>481</v>
      </c>
      <c r="B30" s="16" t="s">
        <v>478</v>
      </c>
      <c r="C30" s="2" t="s">
        <v>73</v>
      </c>
      <c r="D30" s="12" t="s">
        <v>153</v>
      </c>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Elections Administration</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ht="16" x14ac:dyDescent="0.2">
      <c r="A31" s="12" t="s">
        <v>485</v>
      </c>
      <c r="B31" s="16" t="s">
        <v>480</v>
      </c>
      <c r="C31" s="2" t="s">
        <v>73</v>
      </c>
      <c r="D31" s="12" t="s">
        <v>153</v>
      </c>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Elections Administration</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ht="28" x14ac:dyDescent="0.2">
      <c r="A32" s="12" t="s">
        <v>482</v>
      </c>
      <c r="B32" s="16" t="s">
        <v>479</v>
      </c>
      <c r="C32" s="2" t="s">
        <v>73</v>
      </c>
      <c r="D32" s="12" t="s">
        <v>153</v>
      </c>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Elections Administration</v>
      </c>
      <c r="F32" s="13" t="s">
        <v>106</v>
      </c>
      <c r="G32" s="6" t="str">
        <f>IF(F32="","",IF(ISNUMBER(SEARCH(",",F32)),"Several items (the script lists them)",IFERROR(INDEX('Dashboard Items'!$B$2:$B$500,MATCH(F32,'Dashboard Items'!$A$2:$A$500,0))&amp;": "&amp;INDEX('Dashboard Items'!$C$2:$C$500,MATCH(F32,'Dashboard Items'!$A$2:$A$500,0)),"ID not found")))</f>
        <v>Key Service: City Clerk &amp; Records Management</v>
      </c>
      <c r="H32" s="2"/>
      <c r="I32" s="2"/>
      <c r="J32" s="2"/>
      <c r="K32" s="2"/>
      <c r="L32" s="2"/>
      <c r="M32" s="2"/>
      <c r="N32" s="2"/>
      <c r="O32" s="2"/>
      <c r="P32" s="2"/>
      <c r="Q32" s="2"/>
      <c r="R32" s="2"/>
      <c r="S32" s="2"/>
    </row>
    <row r="33" spans="1:19" ht="16" x14ac:dyDescent="0.2">
      <c r="A33" s="12" t="s">
        <v>483</v>
      </c>
      <c r="B33" s="16" t="s">
        <v>512</v>
      </c>
      <c r="C33" s="2" t="s">
        <v>73</v>
      </c>
      <c r="D33" s="12" t="s">
        <v>153</v>
      </c>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Elections Administration</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ht="28" x14ac:dyDescent="0.2">
      <c r="A34" s="12" t="s">
        <v>486</v>
      </c>
      <c r="B34" s="16" t="s">
        <v>509</v>
      </c>
      <c r="C34" s="2" t="s">
        <v>73</v>
      </c>
      <c r="D34" s="12" t="s">
        <v>151</v>
      </c>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Records Management</v>
      </c>
      <c r="F34" s="13" t="s">
        <v>106</v>
      </c>
      <c r="G34" s="6" t="str">
        <f>IF(F34="","",IF(ISNUMBER(SEARCH(",",F34)),"Several items (the script lists them)",IFERROR(INDEX('Dashboard Items'!$B$2:$B$500,MATCH(F34,'Dashboard Items'!$A$2:$A$500,0))&amp;": "&amp;INDEX('Dashboard Items'!$C$2:$C$500,MATCH(F34,'Dashboard Items'!$A$2:$A$500,0)),"ID not found")))</f>
        <v>Key Service: City Clerk &amp; Records Management</v>
      </c>
      <c r="H34" s="2"/>
      <c r="I34" s="2"/>
      <c r="J34" s="2"/>
      <c r="K34" s="2"/>
      <c r="L34" s="2"/>
      <c r="M34" s="2"/>
      <c r="N34" s="2"/>
      <c r="O34" s="2"/>
      <c r="P34" s="2"/>
      <c r="Q34" s="2"/>
      <c r="R34" s="2"/>
      <c r="S34" s="2"/>
    </row>
    <row r="35" spans="1:19" ht="28" x14ac:dyDescent="0.2">
      <c r="A35" s="12" t="s">
        <v>487</v>
      </c>
      <c r="B35" s="16" t="s">
        <v>510</v>
      </c>
      <c r="C35" s="2" t="s">
        <v>73</v>
      </c>
      <c r="D35" s="12" t="s">
        <v>155</v>
      </c>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Council/Board Support</v>
      </c>
      <c r="F35" s="13" t="s">
        <v>106</v>
      </c>
      <c r="G35" s="6" t="str">
        <f>IF(F35="","",IF(ISNUMBER(SEARCH(",",F35)),"Several items (the script lists them)",IFERROR(INDEX('Dashboard Items'!$B$2:$B$500,MATCH(F35,'Dashboard Items'!$A$2:$A$500,0))&amp;": "&amp;INDEX('Dashboard Items'!$C$2:$C$500,MATCH(F35,'Dashboard Items'!$A$2:$A$500,0)),"ID not found")))</f>
        <v>Key Service: City Clerk &amp; Records Management</v>
      </c>
      <c r="H35" s="2"/>
      <c r="I35" s="2"/>
      <c r="J35" s="2"/>
      <c r="K35" s="2"/>
      <c r="L35" s="2"/>
      <c r="M35" s="2"/>
      <c r="N35" s="2"/>
      <c r="O35" s="2"/>
      <c r="P35" s="2"/>
      <c r="Q35" s="2"/>
      <c r="R35" s="2"/>
      <c r="S35" s="2"/>
    </row>
    <row r="36" spans="1:19" ht="28" x14ac:dyDescent="0.2">
      <c r="A36" s="12" t="s">
        <v>488</v>
      </c>
      <c r="B36" s="16" t="s">
        <v>484</v>
      </c>
      <c r="C36" s="2" t="s">
        <v>73</v>
      </c>
      <c r="D36" s="12" t="s">
        <v>157</v>
      </c>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Licensing</v>
      </c>
      <c r="F36" s="13" t="s">
        <v>106</v>
      </c>
      <c r="G36" s="6" t="str">
        <f>IF(F36="","",IF(ISNUMBER(SEARCH(",",F36)),"Several items (the script lists them)",IFERROR(INDEX('Dashboard Items'!$B$2:$B$500,MATCH(F36,'Dashboard Items'!$A$2:$A$500,0))&amp;": "&amp;INDEX('Dashboard Items'!$C$2:$C$500,MATCH(F36,'Dashboard Items'!$A$2:$A$500,0)),"ID not found")))</f>
        <v>Key Service: City Clerk &amp; Records Management</v>
      </c>
      <c r="H36" s="2"/>
      <c r="I36" s="2"/>
      <c r="J36" s="2"/>
      <c r="K36" s="2"/>
      <c r="L36" s="2"/>
      <c r="M36" s="2"/>
      <c r="N36" s="2"/>
      <c r="O36" s="2"/>
      <c r="P36" s="2"/>
      <c r="Q36" s="2"/>
      <c r="R36" s="2"/>
      <c r="S36" s="2"/>
    </row>
    <row r="37" spans="1:19" ht="28" x14ac:dyDescent="0.2">
      <c r="A37" s="12" t="s">
        <v>489</v>
      </c>
      <c r="B37" s="16" t="s">
        <v>511</v>
      </c>
      <c r="C37" s="2" t="s">
        <v>73</v>
      </c>
      <c r="D37" s="12" t="s">
        <v>157</v>
      </c>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Licensing</v>
      </c>
      <c r="F37" s="13" t="s">
        <v>106</v>
      </c>
      <c r="G37" s="6" t="str">
        <f>IF(F37="","",IF(ISNUMBER(SEARCH(",",F37)),"Several items (the script lists them)",IFERROR(INDEX('Dashboard Items'!$B$2:$B$500,MATCH(F37,'Dashboard Items'!$A$2:$A$500,0))&amp;": "&amp;INDEX('Dashboard Items'!$C$2:$C$500,MATCH(F37,'Dashboard Items'!$A$2:$A$500,0)),"ID not found")))</f>
        <v>Key Service: City Clerk &amp; Records Management</v>
      </c>
      <c r="H37" s="2"/>
      <c r="I37" s="2"/>
      <c r="J37" s="2"/>
      <c r="K37" s="2"/>
      <c r="L37" s="2"/>
      <c r="M37" s="2"/>
      <c r="N37" s="2"/>
      <c r="O37" s="2"/>
      <c r="P37" s="2"/>
      <c r="Q37" s="2"/>
      <c r="R37" s="2"/>
      <c r="S37" s="2"/>
    </row>
    <row r="38" spans="1:19" ht="28" x14ac:dyDescent="0.2">
      <c r="A38" s="12" t="s">
        <v>490</v>
      </c>
      <c r="B38" s="16" t="s">
        <v>491</v>
      </c>
      <c r="C38" s="2" t="s">
        <v>73</v>
      </c>
      <c r="D38" s="12" t="s">
        <v>256</v>
      </c>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Specialty Court</v>
      </c>
      <c r="F38" s="13" t="s">
        <v>125</v>
      </c>
      <c r="G38" s="6" t="str">
        <f>IF(F38="","",IF(ISNUMBER(SEARCH(",",F38)),"Several items (the script lists them)",IFERROR(INDEX('Dashboard Items'!$B$2:$B$500,MATCH(F38,'Dashboard Items'!$A$2:$A$500,0))&amp;": "&amp;INDEX('Dashboard Items'!$C$2:$C$500,MATCH(F38,'Dashboard Items'!$A$2:$A$500,0)),"ID not found")))</f>
        <v>Key Service: Municipal Court</v>
      </c>
      <c r="H38" s="12" t="s">
        <v>66</v>
      </c>
      <c r="I38" s="2">
        <v>2</v>
      </c>
      <c r="J38" s="2" t="s">
        <v>67</v>
      </c>
      <c r="K38" s="2" t="s">
        <v>29</v>
      </c>
      <c r="L38" s="2">
        <v>5</v>
      </c>
      <c r="M38" s="2">
        <v>15</v>
      </c>
      <c r="N38" s="2" t="s">
        <v>67</v>
      </c>
      <c r="O38" s="12" t="s">
        <v>76</v>
      </c>
      <c r="P38" s="12" t="s">
        <v>517</v>
      </c>
      <c r="Q38" s="12" t="s">
        <v>522</v>
      </c>
      <c r="R38" s="2"/>
      <c r="S38" s="2"/>
    </row>
    <row r="39" spans="1:19" x14ac:dyDescent="0.2">
      <c r="A39" s="12" t="s">
        <v>515</v>
      </c>
      <c r="B39" s="12" t="s">
        <v>516</v>
      </c>
      <c r="C39" s="2" t="s">
        <v>73</v>
      </c>
      <c r="D39" s="12" t="s">
        <v>161</v>
      </c>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Social Media</v>
      </c>
      <c r="F39" s="13" t="s">
        <v>108</v>
      </c>
      <c r="G39" s="6" t="str">
        <f>IF(F39="","",IF(ISNUMBER(SEARCH(",",F39)),"Several items (the script lists them)",IFERROR(INDEX('Dashboard Items'!$B$2:$B$500,MATCH(F39,'Dashboard Items'!$A$2:$A$500,0))&amp;": "&amp;INDEX('Dashboard Items'!$C$2:$C$500,MATCH(F39,'Dashboard Items'!$A$2:$A$500,0)),"ID not found")))</f>
        <v>Key Service: Public Information &amp; Community Engagement</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Items'!$B$2:$B$500,MATCH(D301,'Dashboard Items'!$A$2:$A$500,0))="Objective","Objectives go in the next column",IF(OR(C301="",INDEX('Dashboard Items'!$B$2:$B$500,MATCH(D301,'Dashboard Items'!$A$2:$A$500,0))=C301),INDEX('Dashboard Items'!$C$2:$C$500,MATCH(D301,'Dashboard Items'!$A$2:$A$500,0)),"Level does not match ID")),"ID not found"))</f>
        <v/>
      </c>
      <c r="F301" s="7"/>
      <c r="G301" s="6" t="str">
        <f>IF(F301="","",IF(ISNUMBER(SEARCH(",",F301)),"Several items (the script lists them)",IFERROR(INDEX('Dashboard Items'!$B$2:$B$500,MATCH(F301,'Dashboard Items'!$A$2:$A$500,0))&amp;": "&amp;INDEX('Dashboard Items'!$C$2:$C$500,MATCH(F301,'Dashboard Items'!$A$2:$A$500,0)),"ID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Items'!$B$2:$B$500,MATCH(D302,'Dashboard Items'!$A$2:$A$500,0))="Objective","Objectives go in the next column",IF(OR(C302="",INDEX('Dashboard Items'!$B$2:$B$500,MATCH(D302,'Dashboard Items'!$A$2:$A$500,0))=C302),INDEX('Dashboard Items'!$C$2:$C$500,MATCH(D302,'Dashboard Items'!$A$2:$A$500,0)),"Level does not match ID")),"ID not found"))</f>
        <v/>
      </c>
      <c r="F302" s="7"/>
      <c r="G302" s="6" t="str">
        <f>IF(F302="","",IF(ISNUMBER(SEARCH(",",F302)),"Several items (the script lists them)",IFERROR(INDEX('Dashboard Items'!$B$2:$B$500,MATCH(F302,'Dashboard Items'!$A$2:$A$500,0))&amp;": "&amp;INDEX('Dashboard Items'!$C$2:$C$500,MATCH(F302,'Dashboard Items'!$A$2:$A$500,0)),"ID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Items'!$B$2:$B$500,MATCH(D303,'Dashboard Items'!$A$2:$A$500,0))="Objective","Objectives go in the next column",IF(OR(C303="",INDEX('Dashboard Items'!$B$2:$B$500,MATCH(D303,'Dashboard Items'!$A$2:$A$500,0))=C303),INDEX('Dashboard Items'!$C$2:$C$500,MATCH(D303,'Dashboard Items'!$A$2:$A$500,0)),"Level does not match ID")),"ID not found"))</f>
        <v/>
      </c>
      <c r="F303" s="7"/>
      <c r="G303" s="6" t="str">
        <f>IF(F303="","",IF(ISNUMBER(SEARCH(",",F303)),"Several items (the script lists them)",IFERROR(INDEX('Dashboard Items'!$B$2:$B$500,MATCH(F303,'Dashboard Items'!$A$2:$A$500,0))&amp;": "&amp;INDEX('Dashboard Items'!$C$2:$C$500,MATCH(F303,'Dashboard Items'!$A$2:$A$500,0)),"ID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Items'!$B$2:$B$500,MATCH(D304,'Dashboard Items'!$A$2:$A$500,0))="Objective","Objectives go in the next column",IF(OR(C304="",INDEX('Dashboard Items'!$B$2:$B$500,MATCH(D304,'Dashboard Items'!$A$2:$A$500,0))=C304),INDEX('Dashboard Items'!$C$2:$C$500,MATCH(D304,'Dashboard Items'!$A$2:$A$500,0)),"Level does not match ID")),"ID not found"))</f>
        <v/>
      </c>
      <c r="F304" s="7"/>
      <c r="G304" s="6" t="str">
        <f>IF(F304="","",IF(ISNUMBER(SEARCH(",",F304)),"Several items (the script lists them)",IFERROR(INDEX('Dashboard Items'!$B$2:$B$500,MATCH(F304,'Dashboard Items'!$A$2:$A$500,0))&amp;": "&amp;INDEX('Dashboard Items'!$C$2:$C$500,MATCH(F304,'Dashboard Items'!$A$2:$A$500,0)),"ID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Items'!$B$2:$B$500,MATCH(D305,'Dashboard Items'!$A$2:$A$500,0))="Objective","Objectives go in the next column",IF(OR(C305="",INDEX('Dashboard Items'!$B$2:$B$500,MATCH(D305,'Dashboard Items'!$A$2:$A$500,0))=C305),INDEX('Dashboard Items'!$C$2:$C$500,MATCH(D305,'Dashboard Items'!$A$2:$A$500,0)),"Level does not match ID")),"ID not found"))</f>
        <v/>
      </c>
      <c r="F305" s="7"/>
      <c r="G305" s="6" t="str">
        <f>IF(F305="","",IF(ISNUMBER(SEARCH(",",F305)),"Several items (the script lists them)",IFERROR(INDEX('Dashboard Items'!$B$2:$B$500,MATCH(F305,'Dashboard Items'!$A$2:$A$500,0))&amp;": "&amp;INDEX('Dashboard Items'!$C$2:$C$500,MATCH(F305,'Dashboard Items'!$A$2:$A$500,0)),"ID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Items'!$B$2:$B$500,MATCH(D306,'Dashboard Items'!$A$2:$A$500,0))="Objective","Objectives go in the next column",IF(OR(C306="",INDEX('Dashboard Items'!$B$2:$B$500,MATCH(D306,'Dashboard Items'!$A$2:$A$500,0))=C306),INDEX('Dashboard Items'!$C$2:$C$500,MATCH(D306,'Dashboard Items'!$A$2:$A$500,0)),"Level does not match ID")),"ID not found"))</f>
        <v/>
      </c>
      <c r="F306" s="7"/>
      <c r="G306" s="6" t="str">
        <f>IF(F306="","",IF(ISNUMBER(SEARCH(",",F306)),"Several items (the script lists them)",IFERROR(INDEX('Dashboard Items'!$B$2:$B$500,MATCH(F306,'Dashboard Items'!$A$2:$A$500,0))&amp;": "&amp;INDEX('Dashboard Items'!$C$2:$C$500,MATCH(F306,'Dashboard Items'!$A$2:$A$500,0)),"ID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Items'!$B$2:$B$500,MATCH(D307,'Dashboard Items'!$A$2:$A$500,0))="Objective","Objectives go in the next column",IF(OR(C307="",INDEX('Dashboard Items'!$B$2:$B$500,MATCH(D307,'Dashboard Items'!$A$2:$A$500,0))=C307),INDEX('Dashboard Items'!$C$2:$C$500,MATCH(D307,'Dashboard Items'!$A$2:$A$500,0)),"Level does not match ID")),"ID not found"))</f>
        <v/>
      </c>
      <c r="F307" s="7"/>
      <c r="G307" s="6" t="str">
        <f>IF(F307="","",IF(ISNUMBER(SEARCH(",",F307)),"Several items (the script lists them)",IFERROR(INDEX('Dashboard Items'!$B$2:$B$500,MATCH(F307,'Dashboard Items'!$A$2:$A$500,0))&amp;": "&amp;INDEX('Dashboard Items'!$C$2:$C$500,MATCH(F307,'Dashboard Items'!$A$2:$A$500,0)),"ID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Items'!$B$2:$B$500,MATCH(D308,'Dashboard Items'!$A$2:$A$500,0))="Objective","Objectives go in the next column",IF(OR(C308="",INDEX('Dashboard Items'!$B$2:$B$500,MATCH(D308,'Dashboard Items'!$A$2:$A$500,0))=C308),INDEX('Dashboard Items'!$C$2:$C$500,MATCH(D308,'Dashboard Items'!$A$2:$A$500,0)),"Level does not match ID")),"ID not found"))</f>
        <v/>
      </c>
      <c r="F308" s="7"/>
      <c r="G308" s="6" t="str">
        <f>IF(F308="","",IF(ISNUMBER(SEARCH(",",F308)),"Several items (the script lists them)",IFERROR(INDEX('Dashboard Items'!$B$2:$B$500,MATCH(F308,'Dashboard Items'!$A$2:$A$500,0))&amp;": "&amp;INDEX('Dashboard Items'!$C$2:$C$500,MATCH(F308,'Dashboard Items'!$A$2:$A$500,0)),"ID not found")))</f>
        <v/>
      </c>
      <c r="H308" s="2"/>
      <c r="I308" s="2"/>
      <c r="J308" s="2"/>
      <c r="K308" s="2"/>
      <c r="L308" s="2"/>
      <c r="M308" s="2"/>
      <c r="N308" s="2"/>
      <c r="O308" s="2"/>
      <c r="P308" s="2"/>
      <c r="Q308" s="2"/>
      <c r="R308" s="2"/>
      <c r="S308" s="2"/>
    </row>
    <row r="309" spans="1:19" x14ac:dyDescent="0.2">
      <c r="A309" s="2"/>
      <c r="B309" s="2"/>
      <c r="C309" s="2"/>
      <c r="D309" s="2"/>
      <c r="E309" s="6" t="str">
        <f>IF(D309="","",IFERROR(IF(INDEX('Dashboard Items'!$B$2:$B$500,MATCH(D309,'Dashboard Items'!$A$2:$A$500,0))="Objective","Objectives go in the next column",IF(OR(C309="",INDEX('Dashboard Items'!$B$2:$B$500,MATCH(D309,'Dashboard Items'!$A$2:$A$500,0))=C309),INDEX('Dashboard Items'!$C$2:$C$500,MATCH(D309,'Dashboard Items'!$A$2:$A$500,0)),"Level does not match ID")),"ID not found"))</f>
        <v/>
      </c>
      <c r="F309" s="7"/>
      <c r="G309" s="6" t="str">
        <f>IF(F309="","",IF(ISNUMBER(SEARCH(",",F309)),"Several items (the script lists them)",IFERROR(INDEX('Dashboard Items'!$B$2:$B$500,MATCH(F309,'Dashboard Items'!$A$2:$A$500,0))&amp;": "&amp;INDEX('Dashboard Items'!$C$2:$C$500,MATCH(F309,'Dashboard Items'!$A$2:$A$500,0)),"ID not found")))</f>
        <v/>
      </c>
      <c r="H309" s="2"/>
      <c r="I309" s="2"/>
      <c r="J309" s="2"/>
      <c r="K309" s="2"/>
      <c r="L309" s="2"/>
      <c r="M309" s="2"/>
      <c r="N309" s="2"/>
      <c r="O309" s="2"/>
      <c r="P309" s="2"/>
      <c r="Q309" s="2"/>
      <c r="R309" s="2"/>
      <c r="S309" s="2"/>
    </row>
    <row r="310" spans="1:19" x14ac:dyDescent="0.2">
      <c r="A310" s="2"/>
      <c r="B310" s="2"/>
      <c r="C310" s="2"/>
      <c r="D310" s="2"/>
      <c r="E310" s="6" t="str">
        <f>IF(D310="","",IFERROR(IF(INDEX('Dashboard Items'!$B$2:$B$500,MATCH(D310,'Dashboard Items'!$A$2:$A$500,0))="Objective","Objectives go in the next column",IF(OR(C310="",INDEX('Dashboard Items'!$B$2:$B$500,MATCH(D310,'Dashboard Items'!$A$2:$A$500,0))=C310),INDEX('Dashboard Items'!$C$2:$C$500,MATCH(D310,'Dashboard Items'!$A$2:$A$500,0)),"Level does not match ID")),"ID not found"))</f>
        <v/>
      </c>
      <c r="F310" s="7"/>
      <c r="G310" s="6" t="str">
        <f>IF(F310="","",IF(ISNUMBER(SEARCH(",",F310)),"Several items (the script lists them)",IFERROR(INDEX('Dashboard Items'!$B$2:$B$500,MATCH(F310,'Dashboard Items'!$A$2:$A$500,0))&amp;": "&amp;INDEX('Dashboard Items'!$C$2:$C$500,MATCH(F310,'Dashboard Items'!$A$2:$A$500,0)),"ID not found")))</f>
        <v/>
      </c>
      <c r="H310" s="2"/>
      <c r="I310" s="2"/>
      <c r="J310" s="2"/>
      <c r="K310" s="2"/>
      <c r="L310" s="2"/>
      <c r="M310" s="2"/>
      <c r="N310" s="2"/>
      <c r="O310" s="2"/>
      <c r="P310" s="2"/>
      <c r="Q310" s="2"/>
      <c r="R310" s="2"/>
      <c r="S310" s="2"/>
    </row>
    <row r="311" spans="1:19" x14ac:dyDescent="0.2">
      <c r="A311" s="2"/>
      <c r="B311" s="2"/>
      <c r="C311" s="2"/>
      <c r="D311" s="2"/>
      <c r="E311" s="6" t="str">
        <f>IF(D311="","",IFERROR(IF(INDEX('Dashboard Items'!$B$2:$B$500,MATCH(D311,'Dashboard Items'!$A$2:$A$500,0))="Objective","Objectives go in the next column",IF(OR(C311="",INDEX('Dashboard Items'!$B$2:$B$500,MATCH(D311,'Dashboard Items'!$A$2:$A$500,0))=C311),INDEX('Dashboard Items'!$C$2:$C$500,MATCH(D311,'Dashboard Items'!$A$2:$A$500,0)),"Level does not match ID")),"ID not found"))</f>
        <v/>
      </c>
      <c r="F311" s="7"/>
      <c r="G311" s="6" t="str">
        <f>IF(F311="","",IF(ISNUMBER(SEARCH(",",F311)),"Several items (the script lists them)",IFERROR(INDEX('Dashboard Items'!$B$2:$B$500,MATCH(F311,'Dashboard Items'!$A$2:$A$500,0))&amp;": "&amp;INDEX('Dashboard Items'!$C$2:$C$500,MATCH(F311,'Dashboard Items'!$A$2:$A$500,0)),"ID not found")))</f>
        <v/>
      </c>
      <c r="H311" s="2"/>
      <c r="I311" s="2"/>
      <c r="J311" s="2"/>
      <c r="K311" s="2"/>
      <c r="L311" s="2"/>
      <c r="M311" s="2"/>
      <c r="N311" s="2"/>
      <c r="O311" s="2"/>
      <c r="P311" s="2"/>
      <c r="Q311" s="2"/>
      <c r="R311" s="2"/>
      <c r="S311" s="2"/>
    </row>
  </sheetData>
  <dataValidations count="3">
    <dataValidation type="list" allowBlank="1" sqref="J2:J311 N2:N311" xr:uid="{00000000-0002-0000-0100-000000000000}">
      <formula1>"Yes,No"</formula1>
      <formula2>0</formula2>
    </dataValidation>
    <dataValidation type="list" allowBlank="1" errorTitle="Level" error="Choose Work System, Key Service or Program." sqref="C2:C22 C23:D24 C25:C311" xr:uid="{00000000-0002-0000-0100-000001000000}">
      <formula1>"Work System,Key Service,Program"</formula1>
      <formula2>0</formula2>
    </dataValidation>
    <dataValidation type="list" allowBlank="1" errorTitle="Status Based On" error="Choose Target or Benchmark." sqref="K2:K311"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5"/>
  <sheetViews>
    <sheetView zoomScaleNormal="100" workbookViewId="0">
      <pane ySplit="1" topLeftCell="A50" activePane="bottomLeft" state="frozen"/>
      <selection pane="bottomLeft" activeCell="C71" sqref="C71"/>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444</v>
      </c>
      <c r="B2" s="9" t="s">
        <v>77</v>
      </c>
      <c r="C2" s="8"/>
      <c r="D2" s="8">
        <v>69</v>
      </c>
      <c r="E2" s="8"/>
      <c r="F2" s="8">
        <v>76.599999999999994</v>
      </c>
      <c r="G2" s="2" t="s">
        <v>78</v>
      </c>
    </row>
    <row r="3" spans="1:7" x14ac:dyDescent="0.2">
      <c r="A3" s="12" t="s">
        <v>444</v>
      </c>
      <c r="B3" s="9" t="s">
        <v>79</v>
      </c>
      <c r="C3" s="8"/>
      <c r="D3" s="8">
        <v>81.3</v>
      </c>
      <c r="E3" s="8"/>
      <c r="F3" s="8">
        <v>75.099999999999994</v>
      </c>
      <c r="G3" s="2" t="s">
        <v>78</v>
      </c>
    </row>
    <row r="4" spans="1:7" x14ac:dyDescent="0.2">
      <c r="A4" s="12" t="s">
        <v>444</v>
      </c>
      <c r="B4" s="9" t="s">
        <v>80</v>
      </c>
      <c r="C4" s="8"/>
      <c r="D4" s="8">
        <v>79.3</v>
      </c>
      <c r="E4" s="8"/>
      <c r="F4" s="8">
        <v>76.599999999999994</v>
      </c>
      <c r="G4" s="2"/>
    </row>
    <row r="5" spans="1:7" x14ac:dyDescent="0.2">
      <c r="A5" s="12" t="s">
        <v>444</v>
      </c>
      <c r="B5" s="9" t="s">
        <v>80</v>
      </c>
      <c r="C5" s="8" t="s">
        <v>81</v>
      </c>
      <c r="D5" s="8">
        <v>79.900000000000006</v>
      </c>
      <c r="E5" s="8"/>
      <c r="F5" s="8"/>
      <c r="G5" s="2"/>
    </row>
    <row r="6" spans="1:7" x14ac:dyDescent="0.2">
      <c r="A6" s="12" t="s">
        <v>444</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463</v>
      </c>
      <c r="B13" s="14" t="s">
        <v>77</v>
      </c>
      <c r="C13" s="8"/>
      <c r="D13" s="8">
        <v>80</v>
      </c>
      <c r="E13" s="8">
        <v>85</v>
      </c>
      <c r="F13" s="8"/>
      <c r="G13" s="2"/>
    </row>
    <row r="14" spans="1:7" x14ac:dyDescent="0.2">
      <c r="A14" s="12" t="s">
        <v>463</v>
      </c>
      <c r="B14" s="14" t="s">
        <v>85</v>
      </c>
      <c r="C14" s="8"/>
      <c r="D14" s="8">
        <v>89.86</v>
      </c>
      <c r="E14" s="8">
        <v>85</v>
      </c>
      <c r="F14" s="8"/>
      <c r="G14" s="2"/>
    </row>
    <row r="15" spans="1:7" x14ac:dyDescent="0.2">
      <c r="A15" s="12" t="s">
        <v>463</v>
      </c>
      <c r="B15" s="14" t="s">
        <v>79</v>
      </c>
      <c r="C15" s="8"/>
      <c r="D15" s="8">
        <v>85.71</v>
      </c>
      <c r="E15" s="8">
        <v>85</v>
      </c>
      <c r="F15" s="8"/>
      <c r="G15" s="2"/>
    </row>
    <row r="16" spans="1:7" x14ac:dyDescent="0.2">
      <c r="A16" s="12" t="s">
        <v>463</v>
      </c>
      <c r="B16" s="14" t="s">
        <v>86</v>
      </c>
      <c r="C16" s="8"/>
      <c r="D16" s="8">
        <v>89.97</v>
      </c>
      <c r="E16" s="8">
        <v>85</v>
      </c>
      <c r="F16" s="8"/>
      <c r="G16" s="2"/>
    </row>
    <row r="17" spans="1:7" x14ac:dyDescent="0.2">
      <c r="A17" s="12" t="s">
        <v>464</v>
      </c>
      <c r="B17" s="14" t="s">
        <v>77</v>
      </c>
      <c r="C17" s="15" t="s">
        <v>410</v>
      </c>
      <c r="D17" s="8"/>
      <c r="E17" s="8">
        <v>95</v>
      </c>
      <c r="F17" s="8">
        <v>100</v>
      </c>
      <c r="G17" s="2"/>
    </row>
    <row r="18" spans="1:7" x14ac:dyDescent="0.2">
      <c r="A18" s="12" t="s">
        <v>464</v>
      </c>
      <c r="B18" s="14" t="s">
        <v>77</v>
      </c>
      <c r="C18" s="15" t="s">
        <v>413</v>
      </c>
      <c r="D18" s="8"/>
      <c r="E18" s="8">
        <v>95</v>
      </c>
      <c r="F18" s="8">
        <v>100</v>
      </c>
      <c r="G18" s="2"/>
    </row>
    <row r="19" spans="1:7" x14ac:dyDescent="0.2">
      <c r="A19" s="12" t="s">
        <v>464</v>
      </c>
      <c r="B19" s="14" t="s">
        <v>77</v>
      </c>
      <c r="C19" s="15" t="s">
        <v>411</v>
      </c>
      <c r="D19" s="8"/>
      <c r="E19" s="8">
        <v>95</v>
      </c>
      <c r="F19" s="8">
        <v>100</v>
      </c>
      <c r="G19" s="2"/>
    </row>
    <row r="20" spans="1:7" x14ac:dyDescent="0.2">
      <c r="A20" s="12" t="s">
        <v>464</v>
      </c>
      <c r="B20" s="14" t="s">
        <v>77</v>
      </c>
      <c r="C20" s="15" t="s">
        <v>412</v>
      </c>
      <c r="D20" s="8"/>
      <c r="E20" s="8">
        <v>95</v>
      </c>
      <c r="F20" s="8">
        <v>100</v>
      </c>
      <c r="G20" s="2"/>
    </row>
    <row r="21" spans="1:7" x14ac:dyDescent="0.2">
      <c r="A21" s="12" t="s">
        <v>464</v>
      </c>
      <c r="B21" s="14" t="s">
        <v>85</v>
      </c>
      <c r="C21" s="15" t="s">
        <v>410</v>
      </c>
      <c r="D21" s="8"/>
      <c r="E21" s="8">
        <v>95</v>
      </c>
      <c r="F21" s="8">
        <v>100</v>
      </c>
      <c r="G21" s="2"/>
    </row>
    <row r="22" spans="1:7" x14ac:dyDescent="0.2">
      <c r="A22" s="12" t="s">
        <v>464</v>
      </c>
      <c r="B22" s="14" t="s">
        <v>85</v>
      </c>
      <c r="C22" s="15" t="s">
        <v>413</v>
      </c>
      <c r="D22" s="8"/>
      <c r="E22" s="8">
        <v>95</v>
      </c>
      <c r="F22" s="8">
        <v>100</v>
      </c>
      <c r="G22" s="2"/>
    </row>
    <row r="23" spans="1:7" x14ac:dyDescent="0.2">
      <c r="A23" s="12" t="s">
        <v>464</v>
      </c>
      <c r="B23" s="14" t="s">
        <v>85</v>
      </c>
      <c r="C23" s="15" t="s">
        <v>411</v>
      </c>
      <c r="D23" s="8"/>
      <c r="E23" s="8">
        <v>95</v>
      </c>
      <c r="F23" s="8">
        <v>100</v>
      </c>
      <c r="G23" s="2"/>
    </row>
    <row r="24" spans="1:7" x14ac:dyDescent="0.2">
      <c r="A24" s="12" t="s">
        <v>464</v>
      </c>
      <c r="B24" s="14" t="s">
        <v>85</v>
      </c>
      <c r="C24" s="15" t="s">
        <v>412</v>
      </c>
      <c r="D24" s="8"/>
      <c r="E24" s="8">
        <v>95</v>
      </c>
      <c r="F24" s="8">
        <v>100</v>
      </c>
      <c r="G24" s="2"/>
    </row>
    <row r="25" spans="1:7" x14ac:dyDescent="0.2">
      <c r="A25" s="12" t="s">
        <v>464</v>
      </c>
      <c r="B25" s="14" t="s">
        <v>79</v>
      </c>
      <c r="C25" s="15" t="s">
        <v>410</v>
      </c>
      <c r="D25" s="8"/>
      <c r="E25" s="8">
        <v>95</v>
      </c>
      <c r="F25" s="8">
        <v>100</v>
      </c>
      <c r="G25" s="2"/>
    </row>
    <row r="26" spans="1:7" x14ac:dyDescent="0.2">
      <c r="A26" s="12" t="s">
        <v>464</v>
      </c>
      <c r="B26" s="14" t="s">
        <v>79</v>
      </c>
      <c r="C26" s="15" t="s">
        <v>413</v>
      </c>
      <c r="D26" s="8"/>
      <c r="E26" s="8">
        <v>95</v>
      </c>
      <c r="F26" s="8">
        <v>100</v>
      </c>
      <c r="G26" s="2"/>
    </row>
    <row r="27" spans="1:7" x14ac:dyDescent="0.2">
      <c r="A27" s="12" t="s">
        <v>464</v>
      </c>
      <c r="B27" s="14" t="s">
        <v>79</v>
      </c>
      <c r="C27" s="15" t="s">
        <v>411</v>
      </c>
      <c r="D27" s="8"/>
      <c r="E27" s="8">
        <v>95</v>
      </c>
      <c r="F27" s="8">
        <v>100</v>
      </c>
      <c r="G27" s="2"/>
    </row>
    <row r="28" spans="1:7" x14ac:dyDescent="0.2">
      <c r="A28" s="12" t="s">
        <v>464</v>
      </c>
      <c r="B28" s="14" t="s">
        <v>79</v>
      </c>
      <c r="C28" s="15" t="s">
        <v>412</v>
      </c>
      <c r="D28" s="8"/>
      <c r="E28" s="8">
        <v>95</v>
      </c>
      <c r="F28" s="8">
        <v>100</v>
      </c>
      <c r="G28" s="2"/>
    </row>
    <row r="29" spans="1:7" x14ac:dyDescent="0.2">
      <c r="A29" s="12" t="s">
        <v>464</v>
      </c>
      <c r="B29" s="14" t="s">
        <v>86</v>
      </c>
      <c r="C29" s="15" t="s">
        <v>410</v>
      </c>
      <c r="D29" s="8"/>
      <c r="E29" s="8">
        <v>95</v>
      </c>
      <c r="F29" s="8">
        <v>100</v>
      </c>
      <c r="G29" s="2"/>
    </row>
    <row r="30" spans="1:7" x14ac:dyDescent="0.2">
      <c r="A30" s="12" t="s">
        <v>464</v>
      </c>
      <c r="B30" s="14" t="s">
        <v>86</v>
      </c>
      <c r="C30" s="15" t="s">
        <v>413</v>
      </c>
      <c r="D30" s="8"/>
      <c r="E30" s="8">
        <v>95</v>
      </c>
      <c r="F30" s="8">
        <v>100</v>
      </c>
      <c r="G30" s="2"/>
    </row>
    <row r="31" spans="1:7" x14ac:dyDescent="0.2">
      <c r="A31" s="12" t="s">
        <v>464</v>
      </c>
      <c r="B31" s="14" t="s">
        <v>86</v>
      </c>
      <c r="C31" s="15" t="s">
        <v>411</v>
      </c>
      <c r="D31" s="8"/>
      <c r="E31" s="8">
        <v>95</v>
      </c>
      <c r="F31" s="8">
        <v>100</v>
      </c>
      <c r="G31" s="2"/>
    </row>
    <row r="32" spans="1:7" x14ac:dyDescent="0.2">
      <c r="A32" s="12" t="s">
        <v>464</v>
      </c>
      <c r="B32" s="14" t="s">
        <v>86</v>
      </c>
      <c r="C32" s="15" t="s">
        <v>412</v>
      </c>
      <c r="D32" s="8"/>
      <c r="E32" s="8">
        <v>95</v>
      </c>
      <c r="F32" s="8">
        <v>100</v>
      </c>
      <c r="G32" s="2"/>
    </row>
    <row r="33" spans="1:7" x14ac:dyDescent="0.2">
      <c r="A33" s="12" t="s">
        <v>465</v>
      </c>
      <c r="B33" s="14" t="s">
        <v>417</v>
      </c>
      <c r="D33" s="8">
        <v>8.9</v>
      </c>
      <c r="E33" s="8">
        <v>3.9</v>
      </c>
      <c r="F33" s="8">
        <v>3.9</v>
      </c>
      <c r="G33" s="2"/>
    </row>
    <row r="34" spans="1:7" x14ac:dyDescent="0.2">
      <c r="A34" s="12" t="s">
        <v>465</v>
      </c>
      <c r="B34" s="14" t="s">
        <v>418</v>
      </c>
      <c r="D34" s="8">
        <v>2.4</v>
      </c>
      <c r="E34" s="8">
        <v>3.9</v>
      </c>
      <c r="F34" s="8">
        <v>3.9</v>
      </c>
      <c r="G34" s="2"/>
    </row>
    <row r="35" spans="1:7" x14ac:dyDescent="0.2">
      <c r="A35" s="12" t="s">
        <v>465</v>
      </c>
      <c r="B35" s="14" t="s">
        <v>419</v>
      </c>
      <c r="D35" s="8">
        <v>1.05</v>
      </c>
      <c r="E35" s="8">
        <v>3.9</v>
      </c>
      <c r="F35" s="8">
        <v>3.9</v>
      </c>
      <c r="G35" s="2"/>
    </row>
    <row r="36" spans="1:7" x14ac:dyDescent="0.2">
      <c r="A36" s="12" t="s">
        <v>465</v>
      </c>
      <c r="B36" s="14" t="s">
        <v>420</v>
      </c>
      <c r="D36" s="8">
        <v>0.9</v>
      </c>
      <c r="E36" s="8">
        <v>3.9</v>
      </c>
      <c r="F36" s="8">
        <v>3.9</v>
      </c>
      <c r="G36" s="2"/>
    </row>
    <row r="37" spans="1:7" x14ac:dyDescent="0.2">
      <c r="A37" s="12" t="s">
        <v>465</v>
      </c>
      <c r="B37" s="14" t="s">
        <v>421</v>
      </c>
      <c r="D37" s="8">
        <v>0.63333333333333297</v>
      </c>
      <c r="E37" s="8">
        <v>3.9</v>
      </c>
      <c r="F37" s="8">
        <v>3.9</v>
      </c>
      <c r="G37" s="2"/>
    </row>
    <row r="38" spans="1:7" x14ac:dyDescent="0.2">
      <c r="A38" s="12" t="s">
        <v>465</v>
      </c>
      <c r="B38" s="14" t="s">
        <v>422</v>
      </c>
      <c r="D38" s="8">
        <v>0.7</v>
      </c>
      <c r="E38" s="8">
        <v>3.9</v>
      </c>
      <c r="F38" s="8">
        <v>3.9</v>
      </c>
      <c r="G38" s="2"/>
    </row>
    <row r="39" spans="1:7" x14ac:dyDescent="0.2">
      <c r="A39" s="12" t="s">
        <v>465</v>
      </c>
      <c r="B39" s="14" t="s">
        <v>423</v>
      </c>
      <c r="D39" s="8">
        <v>1.13333333333333</v>
      </c>
      <c r="E39" s="8">
        <v>3.9</v>
      </c>
      <c r="F39" s="8">
        <v>3.9</v>
      </c>
      <c r="G39" s="2"/>
    </row>
    <row r="40" spans="1:7" x14ac:dyDescent="0.2">
      <c r="A40" s="12" t="s">
        <v>465</v>
      </c>
      <c r="B40" s="14" t="s">
        <v>424</v>
      </c>
      <c r="D40" s="8">
        <v>0.56666666666666698</v>
      </c>
      <c r="E40" s="8">
        <v>3.9</v>
      </c>
      <c r="F40" s="8">
        <v>3.9</v>
      </c>
      <c r="G40" s="2"/>
    </row>
    <row r="41" spans="1:7" x14ac:dyDescent="0.2">
      <c r="A41" s="12" t="s">
        <v>465</v>
      </c>
      <c r="B41" s="14" t="s">
        <v>425</v>
      </c>
      <c r="D41" s="8">
        <v>0.83333333333333304</v>
      </c>
      <c r="E41" s="8">
        <v>3.9</v>
      </c>
      <c r="F41" s="8">
        <v>3.9</v>
      </c>
      <c r="G41" s="2"/>
    </row>
    <row r="42" spans="1:7" x14ac:dyDescent="0.2">
      <c r="A42" s="12" t="s">
        <v>465</v>
      </c>
      <c r="B42" s="14" t="s">
        <v>426</v>
      </c>
      <c r="D42" s="8">
        <v>1.5333333333333301</v>
      </c>
      <c r="E42" s="8">
        <v>3.9</v>
      </c>
      <c r="F42" s="8">
        <v>3.9</v>
      </c>
      <c r="G42" s="2"/>
    </row>
    <row r="43" spans="1:7" x14ac:dyDescent="0.2">
      <c r="A43" s="12" t="s">
        <v>465</v>
      </c>
      <c r="B43" s="14" t="s">
        <v>427</v>
      </c>
      <c r="D43" s="8">
        <v>1.1000000000000001</v>
      </c>
      <c r="E43" s="8">
        <v>3.9</v>
      </c>
      <c r="F43" s="8">
        <v>3.9</v>
      </c>
      <c r="G43" s="2"/>
    </row>
    <row r="44" spans="1:7" x14ac:dyDescent="0.2">
      <c r="A44" s="12" t="s">
        <v>465</v>
      </c>
      <c r="B44" s="14" t="s">
        <v>428</v>
      </c>
      <c r="D44" s="8">
        <v>0.66666666666666696</v>
      </c>
      <c r="E44" s="8">
        <v>3.9</v>
      </c>
      <c r="F44" s="8">
        <v>3.9</v>
      </c>
      <c r="G44" s="2"/>
    </row>
    <row r="45" spans="1:7" x14ac:dyDescent="0.2">
      <c r="A45" s="12" t="s">
        <v>465</v>
      </c>
      <c r="B45" s="14" t="s">
        <v>429</v>
      </c>
      <c r="D45" s="8">
        <v>0.73333333333333295</v>
      </c>
      <c r="E45" s="8">
        <v>3.9</v>
      </c>
      <c r="F45" s="8">
        <v>3.9</v>
      </c>
      <c r="G45" s="2"/>
    </row>
    <row r="46" spans="1:7" x14ac:dyDescent="0.2">
      <c r="A46" s="12" t="s">
        <v>465</v>
      </c>
      <c r="B46" s="14" t="s">
        <v>430</v>
      </c>
      <c r="D46" s="8">
        <v>0.75</v>
      </c>
      <c r="E46" s="8">
        <v>3.9</v>
      </c>
      <c r="F46" s="8">
        <v>3.9</v>
      </c>
      <c r="G46" s="2"/>
    </row>
    <row r="47" spans="1:7" x14ac:dyDescent="0.2">
      <c r="A47" s="12" t="s">
        <v>465</v>
      </c>
      <c r="B47" s="14" t="s">
        <v>431</v>
      </c>
      <c r="D47" s="8">
        <v>8.3666666666666707</v>
      </c>
      <c r="E47" s="8">
        <v>3.9</v>
      </c>
      <c r="F47" s="8">
        <v>3.9</v>
      </c>
      <c r="G47" s="2"/>
    </row>
    <row r="48" spans="1:7" x14ac:dyDescent="0.2">
      <c r="A48" s="12" t="s">
        <v>465</v>
      </c>
      <c r="B48" s="14" t="s">
        <v>432</v>
      </c>
      <c r="D48" s="8">
        <v>9.6999999999999993</v>
      </c>
      <c r="E48" s="8">
        <v>3.9</v>
      </c>
      <c r="F48" s="8">
        <v>3.9</v>
      </c>
      <c r="G48" s="2"/>
    </row>
    <row r="49" spans="1:7" x14ac:dyDescent="0.2">
      <c r="A49" s="12" t="s">
        <v>465</v>
      </c>
      <c r="B49" s="14" t="s">
        <v>433</v>
      </c>
      <c r="D49" s="8">
        <v>10.5666666666667</v>
      </c>
      <c r="E49" s="8">
        <v>3.9</v>
      </c>
      <c r="F49" s="8">
        <v>3.9</v>
      </c>
      <c r="G49" s="2"/>
    </row>
    <row r="50" spans="1:7" x14ac:dyDescent="0.2">
      <c r="A50" s="12" t="s">
        <v>465</v>
      </c>
      <c r="B50" s="14" t="s">
        <v>434</v>
      </c>
      <c r="D50" s="8">
        <v>1.7</v>
      </c>
      <c r="E50" s="8">
        <v>3.9</v>
      </c>
      <c r="F50" s="8">
        <v>3.9</v>
      </c>
      <c r="G50" s="2"/>
    </row>
    <row r="51" spans="1:7" x14ac:dyDescent="0.2">
      <c r="A51" s="12" t="s">
        <v>465</v>
      </c>
      <c r="B51" s="14" t="s">
        <v>435</v>
      </c>
      <c r="D51" s="8">
        <v>0.73333333333333295</v>
      </c>
      <c r="E51" s="8">
        <v>3.9</v>
      </c>
      <c r="F51" s="8">
        <v>3.9</v>
      </c>
      <c r="G51" s="2"/>
    </row>
    <row r="52" spans="1:7" x14ac:dyDescent="0.2">
      <c r="A52" s="12" t="s">
        <v>465</v>
      </c>
      <c r="B52" s="14" t="s">
        <v>436</v>
      </c>
      <c r="D52" s="8">
        <v>0.76666666666666705</v>
      </c>
      <c r="E52" s="8">
        <v>3.9</v>
      </c>
      <c r="F52" s="8">
        <v>3.9</v>
      </c>
      <c r="G52" s="2"/>
    </row>
    <row r="53" spans="1:7" x14ac:dyDescent="0.2">
      <c r="A53" s="12" t="s">
        <v>466</v>
      </c>
      <c r="B53" s="14" t="s">
        <v>83</v>
      </c>
      <c r="D53" s="8">
        <v>65014</v>
      </c>
      <c r="E53" s="8">
        <v>71834</v>
      </c>
      <c r="F53" s="8">
        <v>62464</v>
      </c>
      <c r="G53" s="2"/>
    </row>
    <row r="54" spans="1:7" x14ac:dyDescent="0.2">
      <c r="A54" s="12" t="s">
        <v>466</v>
      </c>
      <c r="B54" s="14" t="s">
        <v>84</v>
      </c>
      <c r="D54" s="8">
        <v>103774</v>
      </c>
      <c r="E54" s="8">
        <v>102033</v>
      </c>
      <c r="F54" s="8">
        <v>88724</v>
      </c>
      <c r="G54" s="2"/>
    </row>
    <row r="55" spans="1:7" x14ac:dyDescent="0.2">
      <c r="A55" s="12" t="s">
        <v>466</v>
      </c>
      <c r="B55" s="14" t="s">
        <v>77</v>
      </c>
      <c r="C55" s="8"/>
      <c r="D55" s="8">
        <v>211580</v>
      </c>
      <c r="E55" s="8">
        <v>150513</v>
      </c>
      <c r="F55" s="8">
        <v>130881</v>
      </c>
      <c r="G55" s="2"/>
    </row>
    <row r="56" spans="1:7" x14ac:dyDescent="0.2">
      <c r="A56" s="12" t="s">
        <v>466</v>
      </c>
      <c r="B56" s="14" t="s">
        <v>85</v>
      </c>
      <c r="C56" s="8"/>
      <c r="D56" s="8">
        <v>280116</v>
      </c>
      <c r="E56" s="8">
        <v>173234</v>
      </c>
      <c r="F56" s="8">
        <v>150638</v>
      </c>
      <c r="G56" s="2"/>
    </row>
    <row r="57" spans="1:7" x14ac:dyDescent="0.2">
      <c r="A57" s="12" t="s">
        <v>466</v>
      </c>
      <c r="B57" s="14" t="s">
        <v>79</v>
      </c>
      <c r="C57" s="8"/>
      <c r="D57" s="8">
        <v>287958</v>
      </c>
      <c r="E57" s="8">
        <v>197111</v>
      </c>
      <c r="F57">
        <v>171401</v>
      </c>
      <c r="G57" s="2"/>
    </row>
    <row r="58" spans="1:7" x14ac:dyDescent="0.2">
      <c r="A58" s="12" t="s">
        <v>466</v>
      </c>
      <c r="B58" s="14" t="s">
        <v>86</v>
      </c>
      <c r="C58" s="8"/>
      <c r="D58" s="8">
        <v>293189</v>
      </c>
      <c r="E58" s="8">
        <v>201250</v>
      </c>
      <c r="F58" s="8">
        <v>175000</v>
      </c>
      <c r="G58" s="2"/>
    </row>
    <row r="59" spans="1:7" x14ac:dyDescent="0.2">
      <c r="A59" s="12" t="s">
        <v>448</v>
      </c>
      <c r="B59" s="14" t="s">
        <v>513</v>
      </c>
      <c r="C59" s="8"/>
      <c r="D59" s="8"/>
      <c r="E59" s="8"/>
      <c r="F59" s="8"/>
      <c r="G59" s="2"/>
    </row>
    <row r="60" spans="1:7" x14ac:dyDescent="0.2">
      <c r="A60" s="12" t="s">
        <v>449</v>
      </c>
      <c r="B60" s="14" t="s">
        <v>513</v>
      </c>
      <c r="C60" s="8"/>
      <c r="D60" s="8"/>
      <c r="E60" s="8">
        <v>1</v>
      </c>
      <c r="F60" s="8"/>
      <c r="G60" s="2"/>
    </row>
    <row r="61" spans="1:7" x14ac:dyDescent="0.2">
      <c r="A61" s="12" t="s">
        <v>453</v>
      </c>
      <c r="B61" s="14" t="s">
        <v>513</v>
      </c>
      <c r="C61" s="8"/>
      <c r="D61" s="8"/>
      <c r="E61" s="8">
        <v>2</v>
      </c>
      <c r="F61" s="8"/>
      <c r="G61" s="2"/>
    </row>
    <row r="62" spans="1:7" x14ac:dyDescent="0.2">
      <c r="A62" s="12" t="s">
        <v>454</v>
      </c>
      <c r="B62" s="14" t="s">
        <v>513</v>
      </c>
      <c r="C62" s="8"/>
      <c r="D62" s="8"/>
      <c r="E62" s="8">
        <v>90</v>
      </c>
      <c r="F62" s="8"/>
      <c r="G62" s="2"/>
    </row>
    <row r="63" spans="1:7" x14ac:dyDescent="0.2">
      <c r="A63" s="12" t="s">
        <v>481</v>
      </c>
      <c r="B63" s="14" t="s">
        <v>513</v>
      </c>
      <c r="C63" s="8"/>
      <c r="D63" s="8"/>
      <c r="E63" s="8"/>
      <c r="F63" s="8"/>
      <c r="G63" s="2"/>
    </row>
    <row r="64" spans="1:7" x14ac:dyDescent="0.2">
      <c r="A64" s="12" t="s">
        <v>485</v>
      </c>
      <c r="B64" s="14" t="s">
        <v>513</v>
      </c>
      <c r="C64" s="8"/>
      <c r="D64" s="8"/>
      <c r="E64" s="8"/>
      <c r="F64" s="8"/>
      <c r="G64" s="2"/>
    </row>
    <row r="65" spans="1:7" x14ac:dyDescent="0.2">
      <c r="A65" s="12" t="s">
        <v>482</v>
      </c>
      <c r="B65" s="14" t="s">
        <v>513</v>
      </c>
      <c r="C65" s="8"/>
      <c r="D65" s="8"/>
      <c r="E65" s="8"/>
      <c r="F65" s="8"/>
      <c r="G65" s="2"/>
    </row>
    <row r="66" spans="1:7" x14ac:dyDescent="0.2">
      <c r="A66" s="12" t="s">
        <v>483</v>
      </c>
      <c r="B66" s="14" t="s">
        <v>513</v>
      </c>
      <c r="C66" s="8"/>
      <c r="D66" s="8"/>
      <c r="E66" s="8"/>
      <c r="F66" s="8"/>
      <c r="G66" s="2"/>
    </row>
    <row r="67" spans="1:7" x14ac:dyDescent="0.2">
      <c r="A67" s="12" t="s">
        <v>486</v>
      </c>
      <c r="B67" s="14" t="s">
        <v>513</v>
      </c>
      <c r="C67" s="8"/>
      <c r="D67" s="8"/>
      <c r="E67" s="8"/>
      <c r="F67" s="8"/>
      <c r="G67" s="2"/>
    </row>
    <row r="68" spans="1:7" x14ac:dyDescent="0.2">
      <c r="A68" s="12" t="s">
        <v>487</v>
      </c>
      <c r="B68" s="14" t="s">
        <v>513</v>
      </c>
      <c r="C68" s="8"/>
      <c r="D68" s="8"/>
      <c r="E68" s="8"/>
      <c r="F68" s="8"/>
      <c r="G68" s="2"/>
    </row>
    <row r="69" spans="1:7" x14ac:dyDescent="0.2">
      <c r="A69" s="12" t="s">
        <v>488</v>
      </c>
      <c r="B69" s="14" t="s">
        <v>513</v>
      </c>
      <c r="C69" s="8"/>
      <c r="D69" s="8"/>
      <c r="E69" s="8"/>
      <c r="F69" s="8"/>
      <c r="G69" s="2"/>
    </row>
    <row r="70" spans="1:7" x14ac:dyDescent="0.2">
      <c r="A70" s="12" t="s">
        <v>489</v>
      </c>
      <c r="B70" s="14" t="s">
        <v>513</v>
      </c>
      <c r="C70" s="8"/>
      <c r="D70" s="8"/>
      <c r="E70" s="8"/>
      <c r="F70" s="8"/>
      <c r="G70" s="2"/>
    </row>
    <row r="71" spans="1:7" x14ac:dyDescent="0.2">
      <c r="A71" s="12" t="s">
        <v>515</v>
      </c>
      <c r="B71" s="14" t="s">
        <v>84</v>
      </c>
      <c r="C71" s="15" t="s">
        <v>518</v>
      </c>
      <c r="D71" s="8">
        <v>4.1100000000000003</v>
      </c>
      <c r="E71" s="8">
        <v>5.9</v>
      </c>
      <c r="F71" s="8">
        <v>2.6</v>
      </c>
      <c r="G71" s="2"/>
    </row>
    <row r="72" spans="1:7" x14ac:dyDescent="0.2">
      <c r="A72" s="12" t="s">
        <v>515</v>
      </c>
      <c r="B72" s="14" t="s">
        <v>77</v>
      </c>
      <c r="C72" s="15" t="s">
        <v>518</v>
      </c>
      <c r="D72" s="8">
        <v>4.2</v>
      </c>
      <c r="E72" s="8">
        <v>5.9</v>
      </c>
      <c r="F72" s="8">
        <v>2.6</v>
      </c>
      <c r="G72" s="2"/>
    </row>
    <row r="73" spans="1:7" x14ac:dyDescent="0.2">
      <c r="A73" s="12" t="s">
        <v>515</v>
      </c>
      <c r="B73" s="14" t="s">
        <v>85</v>
      </c>
      <c r="C73" s="15" t="s">
        <v>518</v>
      </c>
      <c r="D73" s="8">
        <v>5.0999999999999996</v>
      </c>
      <c r="E73" s="8">
        <v>5.9</v>
      </c>
      <c r="F73" s="8">
        <v>2.6</v>
      </c>
      <c r="G73" s="2"/>
    </row>
    <row r="74" spans="1:7" x14ac:dyDescent="0.2">
      <c r="A74" s="12" t="s">
        <v>515</v>
      </c>
      <c r="B74" s="14" t="s">
        <v>79</v>
      </c>
      <c r="C74" s="15" t="s">
        <v>518</v>
      </c>
      <c r="D74" s="8">
        <v>5.7</v>
      </c>
      <c r="E74" s="8">
        <v>5.9</v>
      </c>
      <c r="F74" s="8">
        <v>2.6</v>
      </c>
      <c r="G74" s="2"/>
    </row>
    <row r="75" spans="1:7" x14ac:dyDescent="0.2">
      <c r="A75" s="12" t="s">
        <v>515</v>
      </c>
      <c r="B75" s="14" t="s">
        <v>86</v>
      </c>
      <c r="C75" s="15" t="s">
        <v>518</v>
      </c>
      <c r="D75" s="8">
        <v>3.5</v>
      </c>
      <c r="E75" s="8">
        <v>3.5</v>
      </c>
      <c r="F75" s="8">
        <v>3.5</v>
      </c>
      <c r="G75" s="2"/>
    </row>
    <row r="76" spans="1:7" x14ac:dyDescent="0.2">
      <c r="A76" s="12" t="s">
        <v>515</v>
      </c>
      <c r="B76" s="14" t="s">
        <v>84</v>
      </c>
      <c r="C76" s="15" t="s">
        <v>519</v>
      </c>
      <c r="D76" s="8">
        <v>8.4</v>
      </c>
      <c r="E76" s="8">
        <v>6.5</v>
      </c>
      <c r="F76" s="8">
        <v>2.5</v>
      </c>
      <c r="G76" s="2"/>
    </row>
    <row r="77" spans="1:7" x14ac:dyDescent="0.2">
      <c r="A77" s="12" t="s">
        <v>515</v>
      </c>
      <c r="B77" s="14" t="s">
        <v>77</v>
      </c>
      <c r="C77" s="15" t="s">
        <v>519</v>
      </c>
      <c r="D77" s="8">
        <v>6.9</v>
      </c>
      <c r="E77" s="8">
        <v>6.5</v>
      </c>
      <c r="F77" s="8">
        <v>2.5</v>
      </c>
      <c r="G77" s="2"/>
    </row>
    <row r="78" spans="1:7" x14ac:dyDescent="0.2">
      <c r="A78" s="12" t="s">
        <v>515</v>
      </c>
      <c r="B78" s="14" t="s">
        <v>85</v>
      </c>
      <c r="C78" s="15" t="s">
        <v>519</v>
      </c>
      <c r="D78" s="8">
        <v>7.7</v>
      </c>
      <c r="E78" s="8">
        <v>6.5</v>
      </c>
      <c r="F78" s="8">
        <v>2.5</v>
      </c>
      <c r="G78" s="2"/>
    </row>
    <row r="79" spans="1:7" x14ac:dyDescent="0.2">
      <c r="A79" s="12" t="s">
        <v>515</v>
      </c>
      <c r="B79" s="14" t="s">
        <v>79</v>
      </c>
      <c r="C79" s="15" t="s">
        <v>519</v>
      </c>
      <c r="D79" s="8">
        <v>6.3</v>
      </c>
      <c r="E79" s="8">
        <v>6.5</v>
      </c>
      <c r="F79" s="8">
        <v>2.5</v>
      </c>
      <c r="G79" s="2"/>
    </row>
    <row r="80" spans="1:7" x14ac:dyDescent="0.2">
      <c r="A80" s="12" t="s">
        <v>515</v>
      </c>
      <c r="B80" s="14" t="s">
        <v>86</v>
      </c>
      <c r="C80" s="15" t="s">
        <v>519</v>
      </c>
      <c r="D80" s="8">
        <v>7.9</v>
      </c>
      <c r="E80" s="8">
        <v>6.5</v>
      </c>
      <c r="F80" s="8">
        <v>3.2</v>
      </c>
      <c r="G80" s="2"/>
    </row>
    <row r="81" spans="1:7" x14ac:dyDescent="0.2">
      <c r="A81" s="12" t="s">
        <v>515</v>
      </c>
      <c r="B81" s="14" t="s">
        <v>77</v>
      </c>
      <c r="C81" s="15" t="s">
        <v>520</v>
      </c>
      <c r="D81" s="8">
        <v>8</v>
      </c>
      <c r="E81" s="8">
        <v>21.2</v>
      </c>
      <c r="F81" s="8">
        <v>2.7</v>
      </c>
      <c r="G81" s="2"/>
    </row>
    <row r="82" spans="1:7" x14ac:dyDescent="0.2">
      <c r="A82" s="12" t="s">
        <v>515</v>
      </c>
      <c r="B82" s="14" t="s">
        <v>85</v>
      </c>
      <c r="C82" s="15" t="s">
        <v>520</v>
      </c>
      <c r="D82" s="8">
        <v>16.8</v>
      </c>
      <c r="E82" s="8">
        <v>21.2</v>
      </c>
      <c r="F82" s="8">
        <v>2.7</v>
      </c>
      <c r="G82" s="2"/>
    </row>
    <row r="83" spans="1:7" x14ac:dyDescent="0.2">
      <c r="A83" s="12" t="s">
        <v>515</v>
      </c>
      <c r="B83" s="14" t="s">
        <v>79</v>
      </c>
      <c r="C83" s="15" t="s">
        <v>520</v>
      </c>
      <c r="D83" s="8">
        <v>20.6</v>
      </c>
      <c r="E83" s="8">
        <v>21.2</v>
      </c>
      <c r="F83" s="8">
        <v>2.7</v>
      </c>
      <c r="G83" s="2"/>
    </row>
    <row r="84" spans="1:7" x14ac:dyDescent="0.2">
      <c r="A84" s="12" t="s">
        <v>515</v>
      </c>
      <c r="B84" s="14" t="s">
        <v>86</v>
      </c>
      <c r="C84" s="15" t="s">
        <v>520</v>
      </c>
      <c r="D84" s="8">
        <v>14.34</v>
      </c>
      <c r="E84" s="8">
        <v>21.2</v>
      </c>
      <c r="F84" s="8">
        <v>3.1</v>
      </c>
      <c r="G84" s="2"/>
    </row>
    <row r="85" spans="1:7" x14ac:dyDescent="0.2">
      <c r="A85" s="12" t="s">
        <v>515</v>
      </c>
      <c r="B85" s="14" t="s">
        <v>85</v>
      </c>
      <c r="C85" s="15" t="s">
        <v>521</v>
      </c>
      <c r="D85" s="8">
        <v>3.7</v>
      </c>
      <c r="E85" s="8">
        <v>4.7</v>
      </c>
      <c r="F85" s="8">
        <v>1.6</v>
      </c>
      <c r="G85" s="2"/>
    </row>
    <row r="86" spans="1:7" x14ac:dyDescent="0.2">
      <c r="A86" s="12" t="s">
        <v>515</v>
      </c>
      <c r="B86" s="14" t="s">
        <v>79</v>
      </c>
      <c r="C86" s="15" t="s">
        <v>521</v>
      </c>
      <c r="D86" s="8">
        <v>4.5999999999999996</v>
      </c>
      <c r="E86" s="8">
        <v>4.7</v>
      </c>
      <c r="F86" s="8">
        <v>1.6</v>
      </c>
      <c r="G86" s="2"/>
    </row>
    <row r="87" spans="1:7" x14ac:dyDescent="0.2">
      <c r="A87" s="12" t="s">
        <v>515</v>
      </c>
      <c r="B87" s="14" t="s">
        <v>86</v>
      </c>
      <c r="C87" s="15" t="s">
        <v>521</v>
      </c>
      <c r="D87" s="8">
        <v>5.4</v>
      </c>
      <c r="E87" s="8">
        <v>4.7</v>
      </c>
      <c r="F87" s="8">
        <v>1.6</v>
      </c>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2" activePane="bottomLeft" state="frozen"/>
      <selection pane="bottomLeft" activeCell="C10" sqref="C10"/>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10" t="s">
        <v>320</v>
      </c>
      <c r="D117" s="10" t="s">
        <v>136</v>
      </c>
      <c r="E117" s="10" t="s">
        <v>103</v>
      </c>
      <c r="F117" s="10"/>
    </row>
    <row r="118" spans="1:6" x14ac:dyDescent="0.2">
      <c r="A118" s="10" t="s">
        <v>321</v>
      </c>
      <c r="B118" s="10" t="s">
        <v>73</v>
      </c>
      <c r="C118" s="10" t="s">
        <v>322</v>
      </c>
      <c r="D118" s="10" t="s">
        <v>136</v>
      </c>
      <c r="E118" s="10" t="s">
        <v>103</v>
      </c>
      <c r="F118" s="10"/>
    </row>
    <row r="119" spans="1:6" x14ac:dyDescent="0.2">
      <c r="A119" s="10" t="s">
        <v>323</v>
      </c>
      <c r="B119" s="10" t="s">
        <v>73</v>
      </c>
      <c r="C119" s="10" t="s">
        <v>324</v>
      </c>
      <c r="D119" s="10" t="s">
        <v>136</v>
      </c>
      <c r="E119" s="10" t="s">
        <v>103</v>
      </c>
      <c r="F119" s="10"/>
    </row>
    <row r="120" spans="1:6" x14ac:dyDescent="0.2">
      <c r="A120" s="10" t="s">
        <v>325</v>
      </c>
      <c r="B120" s="10" t="s">
        <v>73</v>
      </c>
      <c r="C120" s="10" t="s">
        <v>326</v>
      </c>
      <c r="D120" s="10" t="s">
        <v>136</v>
      </c>
      <c r="E120" s="10" t="s">
        <v>103</v>
      </c>
      <c r="F120" s="10"/>
    </row>
    <row r="121" spans="1:6" x14ac:dyDescent="0.2">
      <c r="A121" s="10" t="s">
        <v>327</v>
      </c>
      <c r="B121" s="10" t="s">
        <v>73</v>
      </c>
      <c r="C121" s="10" t="s">
        <v>328</v>
      </c>
      <c r="D121" s="10" t="s">
        <v>136</v>
      </c>
      <c r="E121" s="10" t="s">
        <v>103</v>
      </c>
      <c r="F121" s="10"/>
    </row>
    <row r="122" spans="1:6" x14ac:dyDescent="0.2">
      <c r="A122" s="10" t="s">
        <v>329</v>
      </c>
      <c r="B122" s="10" t="s">
        <v>73</v>
      </c>
      <c r="C122" s="10" t="s">
        <v>330</v>
      </c>
      <c r="D122" s="10" t="s">
        <v>136</v>
      </c>
      <c r="E122" s="10" t="s">
        <v>103</v>
      </c>
      <c r="F122" s="10"/>
    </row>
    <row r="123" spans="1:6" x14ac:dyDescent="0.2">
      <c r="A123" s="10" t="s">
        <v>331</v>
      </c>
      <c r="B123" s="10" t="s">
        <v>73</v>
      </c>
      <c r="C123" s="10" t="s">
        <v>332</v>
      </c>
      <c r="D123" s="10" t="s">
        <v>136</v>
      </c>
      <c r="E123" s="10" t="s">
        <v>103</v>
      </c>
      <c r="F123" s="10"/>
    </row>
    <row r="124" spans="1:6" x14ac:dyDescent="0.2">
      <c r="A124" s="10" t="s">
        <v>333</v>
      </c>
      <c r="B124" s="10" t="s">
        <v>73</v>
      </c>
      <c r="C124" s="10" t="s">
        <v>334</v>
      </c>
      <c r="D124" s="10" t="s">
        <v>138</v>
      </c>
      <c r="E124" s="10" t="s">
        <v>103</v>
      </c>
      <c r="F124" s="10"/>
    </row>
    <row r="125" spans="1:6" x14ac:dyDescent="0.2">
      <c r="A125" s="10" t="s">
        <v>335</v>
      </c>
      <c r="B125" s="10" t="s">
        <v>73</v>
      </c>
      <c r="C125" s="10" t="s">
        <v>336</v>
      </c>
      <c r="D125" s="10" t="s">
        <v>138</v>
      </c>
      <c r="E125" s="10" t="s">
        <v>103</v>
      </c>
      <c r="F125" s="10"/>
    </row>
    <row r="126" spans="1:6" x14ac:dyDescent="0.2">
      <c r="A126" s="10" t="s">
        <v>337</v>
      </c>
      <c r="B126" s="10" t="s">
        <v>73</v>
      </c>
      <c r="C126" s="10" t="s">
        <v>338</v>
      </c>
      <c r="D126" s="10" t="s">
        <v>138</v>
      </c>
      <c r="E126" s="10" t="s">
        <v>103</v>
      </c>
      <c r="F126" s="10"/>
    </row>
    <row r="127" spans="1:6" x14ac:dyDescent="0.2">
      <c r="A127" s="10" t="s">
        <v>339</v>
      </c>
      <c r="B127" s="10" t="s">
        <v>73</v>
      </c>
      <c r="C127" s="10" t="s">
        <v>340</v>
      </c>
      <c r="D127" s="10" t="s">
        <v>138</v>
      </c>
      <c r="E127" s="10" t="s">
        <v>103</v>
      </c>
      <c r="F127" s="10"/>
    </row>
    <row r="128" spans="1:6" x14ac:dyDescent="0.2">
      <c r="A128" s="10" t="s">
        <v>341</v>
      </c>
      <c r="B128" s="10" t="s">
        <v>73</v>
      </c>
      <c r="C128" s="10" t="s">
        <v>342</v>
      </c>
      <c r="D128" s="10" t="s">
        <v>138</v>
      </c>
      <c r="E128" s="10" t="s">
        <v>103</v>
      </c>
      <c r="F128" s="10"/>
    </row>
    <row r="129" spans="1:6" x14ac:dyDescent="0.2">
      <c r="A129" s="10" t="s">
        <v>343</v>
      </c>
      <c r="B129" s="10" t="s">
        <v>73</v>
      </c>
      <c r="C129" s="10" t="s">
        <v>344</v>
      </c>
      <c r="D129" s="10" t="s">
        <v>138</v>
      </c>
      <c r="E129" s="10" t="s">
        <v>103</v>
      </c>
      <c r="F129" s="10"/>
    </row>
    <row r="130" spans="1:6" x14ac:dyDescent="0.2">
      <c r="A130" s="10" t="s">
        <v>345</v>
      </c>
      <c r="B130" s="10" t="s">
        <v>73</v>
      </c>
      <c r="C130" s="10" t="s">
        <v>346</v>
      </c>
      <c r="D130" s="10" t="s">
        <v>138</v>
      </c>
      <c r="E130" s="10" t="s">
        <v>103</v>
      </c>
      <c r="F130" s="10"/>
    </row>
    <row r="131" spans="1:6" x14ac:dyDescent="0.2">
      <c r="A131" s="10" t="s">
        <v>347</v>
      </c>
      <c r="B131" s="10" t="s">
        <v>73</v>
      </c>
      <c r="C131" s="10" t="s">
        <v>348</v>
      </c>
      <c r="D131" s="10" t="s">
        <v>140</v>
      </c>
      <c r="E131" s="10" t="s">
        <v>103</v>
      </c>
      <c r="F131" s="10"/>
    </row>
    <row r="132" spans="1:6" x14ac:dyDescent="0.2">
      <c r="A132" s="10" t="s">
        <v>349</v>
      </c>
      <c r="B132" s="10" t="s">
        <v>73</v>
      </c>
      <c r="C132" s="10" t="s">
        <v>350</v>
      </c>
      <c r="D132" s="10" t="s">
        <v>140</v>
      </c>
      <c r="E132" s="10" t="s">
        <v>103</v>
      </c>
      <c r="F132" s="10"/>
    </row>
    <row r="133" spans="1:6" x14ac:dyDescent="0.2">
      <c r="A133" s="10" t="s">
        <v>351</v>
      </c>
      <c r="B133" s="10" t="s">
        <v>73</v>
      </c>
      <c r="C133" s="10" t="s">
        <v>352</v>
      </c>
      <c r="D133" s="10" t="s">
        <v>140</v>
      </c>
      <c r="E133" s="10" t="s">
        <v>103</v>
      </c>
      <c r="F133" s="10"/>
    </row>
    <row r="134" spans="1:6" x14ac:dyDescent="0.2">
      <c r="A134" s="10" t="s">
        <v>353</v>
      </c>
      <c r="B134" s="10" t="s">
        <v>73</v>
      </c>
      <c r="C134" s="10" t="s">
        <v>354</v>
      </c>
      <c r="D134" s="10" t="s">
        <v>140</v>
      </c>
      <c r="E134" s="10" t="s">
        <v>103</v>
      </c>
      <c r="F134" s="10"/>
    </row>
    <row r="135" spans="1:6" x14ac:dyDescent="0.2">
      <c r="A135" s="10" t="s">
        <v>355</v>
      </c>
      <c r="B135" s="10" t="s">
        <v>73</v>
      </c>
      <c r="C135" s="10" t="s">
        <v>356</v>
      </c>
      <c r="D135" s="10" t="s">
        <v>140</v>
      </c>
      <c r="E135" s="10" t="s">
        <v>103</v>
      </c>
      <c r="F135" s="10"/>
    </row>
    <row r="136" spans="1:6" x14ac:dyDescent="0.2">
      <c r="A136" s="10" t="s">
        <v>357</v>
      </c>
      <c r="B136" s="10" t="s">
        <v>73</v>
      </c>
      <c r="C136" s="10" t="s">
        <v>358</v>
      </c>
      <c r="D136" s="10" t="s">
        <v>140</v>
      </c>
      <c r="E136" s="10" t="s">
        <v>103</v>
      </c>
      <c r="F136" s="10"/>
    </row>
    <row r="137" spans="1:6" x14ac:dyDescent="0.2">
      <c r="A137" s="10" t="s">
        <v>359</v>
      </c>
      <c r="B137" s="10" t="s">
        <v>73</v>
      </c>
      <c r="C137" s="10" t="s">
        <v>360</v>
      </c>
      <c r="D137" s="10" t="s">
        <v>140</v>
      </c>
      <c r="E137" s="10" t="s">
        <v>103</v>
      </c>
      <c r="F137" s="10"/>
    </row>
    <row r="138" spans="1:6" x14ac:dyDescent="0.2">
      <c r="A138" s="10" t="s">
        <v>361</v>
      </c>
      <c r="B138" s="10" t="s">
        <v>362</v>
      </c>
      <c r="C138" s="10" t="s">
        <v>363</v>
      </c>
      <c r="D138" s="10"/>
      <c r="E138" s="10"/>
      <c r="F138" s="10" t="s">
        <v>364</v>
      </c>
    </row>
    <row r="139" spans="1:6" x14ac:dyDescent="0.2">
      <c r="A139" s="10" t="s">
        <v>365</v>
      </c>
      <c r="B139" s="10" t="s">
        <v>362</v>
      </c>
      <c r="C139" s="10" t="s">
        <v>366</v>
      </c>
      <c r="D139" s="10"/>
      <c r="E139" s="10"/>
      <c r="F139" s="10" t="s">
        <v>364</v>
      </c>
    </row>
    <row r="140" spans="1:6" x14ac:dyDescent="0.2">
      <c r="A140" s="10" t="s">
        <v>367</v>
      </c>
      <c r="B140" s="10" t="s">
        <v>362</v>
      </c>
      <c r="C140" s="10" t="s">
        <v>368</v>
      </c>
      <c r="D140" s="10"/>
      <c r="E140" s="10"/>
      <c r="F140" s="10" t="s">
        <v>364</v>
      </c>
    </row>
    <row r="141" spans="1:6" x14ac:dyDescent="0.2">
      <c r="A141" s="10" t="s">
        <v>369</v>
      </c>
      <c r="B141" s="10" t="s">
        <v>362</v>
      </c>
      <c r="C141" s="10" t="s">
        <v>370</v>
      </c>
      <c r="D141" s="10"/>
      <c r="E141" s="10"/>
      <c r="F141" s="10" t="s">
        <v>371</v>
      </c>
    </row>
    <row r="142" spans="1:6" x14ac:dyDescent="0.2">
      <c r="A142" s="10" t="s">
        <v>372</v>
      </c>
      <c r="B142" s="10" t="s">
        <v>362</v>
      </c>
      <c r="C142" s="10" t="s">
        <v>373</v>
      </c>
      <c r="D142" s="10"/>
      <c r="E142" s="10"/>
      <c r="F142" s="10" t="s">
        <v>371</v>
      </c>
    </row>
    <row r="143" spans="1:6" x14ac:dyDescent="0.2">
      <c r="A143" s="10" t="s">
        <v>374</v>
      </c>
      <c r="B143" s="10" t="s">
        <v>362</v>
      </c>
      <c r="C143" s="10" t="s">
        <v>375</v>
      </c>
      <c r="D143" s="10"/>
      <c r="E143" s="10"/>
      <c r="F143" s="10" t="s">
        <v>371</v>
      </c>
    </row>
    <row r="144" spans="1:6" x14ac:dyDescent="0.2">
      <c r="A144" s="10" t="s">
        <v>376</v>
      </c>
      <c r="B144" s="10" t="s">
        <v>362</v>
      </c>
      <c r="C144" s="10" t="s">
        <v>377</v>
      </c>
      <c r="D144" s="10"/>
      <c r="E144" s="10"/>
      <c r="F144" s="10" t="s">
        <v>378</v>
      </c>
    </row>
    <row r="145" spans="1:6" x14ac:dyDescent="0.2">
      <c r="A145" s="10" t="s">
        <v>379</v>
      </c>
      <c r="B145" s="10" t="s">
        <v>362</v>
      </c>
      <c r="C145" s="10" t="s">
        <v>380</v>
      </c>
      <c r="D145" s="10"/>
      <c r="E145" s="10"/>
      <c r="F145" s="10" t="s">
        <v>378</v>
      </c>
    </row>
    <row r="146" spans="1:6" x14ac:dyDescent="0.2">
      <c r="A146" s="10" t="s">
        <v>381</v>
      </c>
      <c r="B146" s="10" t="s">
        <v>362</v>
      </c>
      <c r="C146" s="10" t="s">
        <v>382</v>
      </c>
      <c r="D146" s="10"/>
      <c r="E146" s="10"/>
      <c r="F146" s="10" t="s">
        <v>378</v>
      </c>
    </row>
    <row r="147" spans="1:6" x14ac:dyDescent="0.2">
      <c r="A147" s="10" t="s">
        <v>383</v>
      </c>
      <c r="B147" s="10" t="s">
        <v>362</v>
      </c>
      <c r="C147" s="10" t="s">
        <v>384</v>
      </c>
      <c r="D147" s="10"/>
      <c r="E147" s="10"/>
      <c r="F147" s="10" t="s">
        <v>385</v>
      </c>
    </row>
    <row r="148" spans="1:6" x14ac:dyDescent="0.2">
      <c r="A148" s="10" t="s">
        <v>386</v>
      </c>
      <c r="B148" s="10" t="s">
        <v>362</v>
      </c>
      <c r="C148" s="10" t="s">
        <v>387</v>
      </c>
      <c r="D148" s="10"/>
      <c r="E148" s="10"/>
      <c r="F148" s="10" t="s">
        <v>385</v>
      </c>
    </row>
    <row r="149" spans="1:6" x14ac:dyDescent="0.2">
      <c r="A149" s="10" t="s">
        <v>388</v>
      </c>
      <c r="B149" s="10" t="s">
        <v>362</v>
      </c>
      <c r="C149" s="10" t="s">
        <v>389</v>
      </c>
      <c r="D149" s="10"/>
      <c r="E149" s="10"/>
      <c r="F149" s="10" t="s">
        <v>385</v>
      </c>
    </row>
    <row r="150" spans="1:6" x14ac:dyDescent="0.2">
      <c r="A150" s="10" t="s">
        <v>390</v>
      </c>
      <c r="B150" s="10" t="s">
        <v>362</v>
      </c>
      <c r="C150" s="10" t="s">
        <v>391</v>
      </c>
      <c r="D150" s="10"/>
      <c r="E150" s="10"/>
      <c r="F150" s="10" t="s">
        <v>385</v>
      </c>
    </row>
    <row r="151" spans="1:6" x14ac:dyDescent="0.2">
      <c r="A151" s="10" t="s">
        <v>392</v>
      </c>
      <c r="B151" s="10" t="s">
        <v>362</v>
      </c>
      <c r="C151" s="10" t="s">
        <v>393</v>
      </c>
      <c r="D151" s="10"/>
      <c r="E151" s="10"/>
      <c r="F151" s="10" t="s">
        <v>385</v>
      </c>
    </row>
    <row r="152" spans="1:6" x14ac:dyDescent="0.2">
      <c r="A152" s="10" t="s">
        <v>394</v>
      </c>
      <c r="B152" s="10" t="s">
        <v>362</v>
      </c>
      <c r="C152" s="10" t="s">
        <v>395</v>
      </c>
      <c r="D152" s="10"/>
      <c r="E152" s="10"/>
      <c r="F152" s="10" t="s">
        <v>385</v>
      </c>
    </row>
    <row r="153" spans="1:6" x14ac:dyDescent="0.2">
      <c r="A153" s="10" t="s">
        <v>396</v>
      </c>
      <c r="B153" s="10" t="s">
        <v>362</v>
      </c>
      <c r="C153" s="10" t="s">
        <v>397</v>
      </c>
      <c r="D153" s="10"/>
      <c r="E153" s="10"/>
      <c r="F153" s="10" t="s">
        <v>398</v>
      </c>
    </row>
    <row r="154" spans="1:6" x14ac:dyDescent="0.2">
      <c r="A154" s="10" t="s">
        <v>399</v>
      </c>
      <c r="B154" s="10" t="s">
        <v>362</v>
      </c>
      <c r="C154" s="10" t="s">
        <v>400</v>
      </c>
      <c r="D154" s="10"/>
      <c r="E154" s="10"/>
      <c r="F154" s="10" t="s">
        <v>398</v>
      </c>
    </row>
    <row r="155" spans="1:6" x14ac:dyDescent="0.2">
      <c r="A155" s="10" t="s">
        <v>65</v>
      </c>
      <c r="B155" s="10" t="s">
        <v>362</v>
      </c>
      <c r="C155" s="10" t="s">
        <v>401</v>
      </c>
      <c r="D155" s="10"/>
      <c r="E155" s="10"/>
      <c r="F155" s="10" t="s">
        <v>402</v>
      </c>
    </row>
    <row r="156" spans="1:6" x14ac:dyDescent="0.2">
      <c r="A156" s="10" t="s">
        <v>403</v>
      </c>
      <c r="B156" s="10" t="s">
        <v>362</v>
      </c>
      <c r="C156" s="10" t="s">
        <v>404</v>
      </c>
      <c r="D156" s="10"/>
      <c r="E156" s="10"/>
      <c r="F156" s="10" t="s">
        <v>402</v>
      </c>
    </row>
    <row r="157" spans="1:6" x14ac:dyDescent="0.2">
      <c r="A157" s="10" t="s">
        <v>405</v>
      </c>
      <c r="B157" s="10" t="s">
        <v>362</v>
      </c>
      <c r="C157" s="10" t="s">
        <v>406</v>
      </c>
      <c r="D157" s="10"/>
      <c r="E157" s="10"/>
      <c r="F157" s="10" t="s">
        <v>402</v>
      </c>
    </row>
    <row r="159" spans="1:6" x14ac:dyDescent="0.2">
      <c r="A159" s="11" t="s">
        <v>407</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2026-10-05T19:37:38Z</dcterms:modified>
  <dc:language>en-US</dc:language>
</cp:coreProperties>
</file>