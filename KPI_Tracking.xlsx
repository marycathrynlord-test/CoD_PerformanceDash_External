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aryCathryn.Lord/Desktop/CoD_PerformanceDash_External/"/>
    </mc:Choice>
  </mc:AlternateContent>
  <xr:revisionPtr revIDLastSave="0" documentId="13_ncr:1_{0EFA6D99-31DD-5B48-AE13-720997C57A87}" xr6:coauthVersionLast="47" xr6:coauthVersionMax="47" xr10:uidLastSave="{00000000-0000-0000-0000-000000000000}"/>
  <bookViews>
    <workbookView xWindow="71100" yWindow="-7380" windowWidth="30240" windowHeight="19000" tabRatio="500" xr2:uid="{00000000-000D-0000-FFFF-FFFF00000000}"/>
  </bookViews>
  <sheets>
    <sheet name="Use and Planning" sheetId="1" r:id="rId1"/>
    <sheet name="KPI Catalog" sheetId="2" r:id="rId2"/>
    <sheet name="KPI Data" sheetId="3" r:id="rId3"/>
    <sheet name="Dashboard Items" sheetId="4" r:id="rId4"/>
  </sheets>
  <definedNames>
    <definedName name="_xlnm._FilterDatabase" localSheetId="3" hidden="1">'Dashboard Items'!$A$1:$F$154</definedName>
    <definedName name="_xlnm._FilterDatabase" localSheetId="2" hidden="1">'KPI Data'!$A$1:$H$132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8" i="2" l="1"/>
  <c r="F49" i="2"/>
  <c r="A49" i="2"/>
  <c r="A48" i="2"/>
  <c r="H47" i="2"/>
  <c r="F47" i="2"/>
  <c r="A47" i="2"/>
  <c r="H46" i="2"/>
  <c r="F46" i="2"/>
  <c r="A46" i="2"/>
  <c r="H45" i="2"/>
  <c r="F45" i="2"/>
  <c r="A45" i="2"/>
  <c r="A94" i="2"/>
  <c r="A174" i="3"/>
  <c r="A175" i="3"/>
  <c r="A176" i="3"/>
  <c r="A177" i="3"/>
  <c r="A178" i="3"/>
  <c r="A179" i="3"/>
  <c r="A180" i="3"/>
  <c r="A100" i="2"/>
  <c r="A99" i="2"/>
  <c r="A98" i="2"/>
  <c r="A97" i="2"/>
  <c r="A96" i="2"/>
  <c r="A95" i="2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F146" i="3" a="1"/>
  <c r="F146" i="3" s="1"/>
  <c r="F144" i="3" a="1"/>
  <c r="F144" i="3" s="1"/>
  <c r="F139" i="3" a="1"/>
  <c r="F139" i="3" s="1"/>
  <c r="F138" i="3" a="1"/>
  <c r="F138" i="3" s="1"/>
  <c r="F137" i="3" a="1"/>
  <c r="F137" i="3" s="1"/>
  <c r="A149" i="3"/>
  <c r="A148" i="3"/>
  <c r="A147" i="3"/>
  <c r="A146" i="3"/>
  <c r="A145" i="3"/>
  <c r="A144" i="3"/>
  <c r="A143" i="3"/>
  <c r="A141" i="3"/>
  <c r="A140" i="3"/>
  <c r="A139" i="3"/>
  <c r="A138" i="3"/>
  <c r="A137" i="3"/>
  <c r="A142" i="3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35" i="3"/>
  <c r="A36" i="3"/>
  <c r="A37" i="3"/>
  <c r="A3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F6" i="2"/>
  <c r="F5" i="2"/>
  <c r="A5" i="2"/>
  <c r="A6" i="2"/>
  <c r="A7" i="2"/>
  <c r="F13" i="2"/>
  <c r="F14" i="2"/>
  <c r="F4" i="2"/>
  <c r="F15" i="2"/>
  <c r="F16" i="2"/>
  <c r="F17" i="2"/>
  <c r="F18" i="2"/>
  <c r="F19" i="2"/>
  <c r="F20" i="2"/>
  <c r="F21" i="2"/>
  <c r="A21" i="2"/>
  <c r="A20" i="2"/>
  <c r="A19" i="2"/>
  <c r="A18" i="2"/>
  <c r="A17" i="2"/>
  <c r="A16" i="2"/>
  <c r="A15" i="2"/>
  <c r="A4" i="2"/>
  <c r="A14" i="2"/>
  <c r="A13" i="2"/>
  <c r="A8" i="2"/>
  <c r="A9" i="2"/>
  <c r="A10" i="2"/>
  <c r="A3" i="2"/>
  <c r="A11" i="2"/>
  <c r="A12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50" i="2"/>
  <c r="A51" i="2"/>
  <c r="A52" i="2"/>
  <c r="A53" i="2"/>
  <c r="A54" i="2"/>
  <c r="A55" i="2"/>
  <c r="A56" i="2"/>
  <c r="A2" i="2"/>
  <c r="A136" i="3"/>
  <c r="A135" i="3"/>
  <c r="A134" i="3"/>
  <c r="A133" i="3"/>
  <c r="A132" i="3"/>
  <c r="A131" i="3"/>
  <c r="A130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9" i="3"/>
  <c r="A8" i="3"/>
  <c r="A7" i="3"/>
  <c r="A6" i="3"/>
  <c r="A5" i="3"/>
  <c r="A4" i="3"/>
  <c r="A3" i="3"/>
  <c r="A2" i="3"/>
  <c r="A18" i="3"/>
  <c r="A17" i="3"/>
  <c r="A16" i="3"/>
  <c r="A1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14" i="3"/>
  <c r="A11" i="3"/>
  <c r="A12" i="3"/>
  <c r="A13" i="3"/>
  <c r="A10" i="3"/>
  <c r="F12" i="2"/>
  <c r="F11" i="2"/>
  <c r="F3" i="2"/>
  <c r="F10" i="2"/>
  <c r="F9" i="2"/>
  <c r="F8" i="2"/>
  <c r="F7" i="2"/>
  <c r="H298" i="2"/>
  <c r="F298" i="2"/>
  <c r="H297" i="2"/>
  <c r="F297" i="2"/>
  <c r="H296" i="2"/>
  <c r="F296" i="2"/>
  <c r="H295" i="2"/>
  <c r="F295" i="2"/>
  <c r="H294" i="2"/>
  <c r="F294" i="2"/>
  <c r="H293" i="2"/>
  <c r="F293" i="2"/>
  <c r="H292" i="2"/>
  <c r="F292" i="2"/>
  <c r="H291" i="2"/>
  <c r="F291" i="2"/>
  <c r="H290" i="2"/>
  <c r="F290" i="2"/>
  <c r="H289" i="2"/>
  <c r="F289" i="2"/>
  <c r="H288" i="2"/>
  <c r="F288" i="2"/>
  <c r="H287" i="2"/>
  <c r="F287" i="2"/>
  <c r="H286" i="2"/>
  <c r="F286" i="2"/>
  <c r="H285" i="2"/>
  <c r="F285" i="2"/>
  <c r="H284" i="2"/>
  <c r="F284" i="2"/>
  <c r="H283" i="2"/>
  <c r="F283" i="2"/>
  <c r="H282" i="2"/>
  <c r="F282" i="2"/>
  <c r="H281" i="2"/>
  <c r="F281" i="2"/>
  <c r="H280" i="2"/>
  <c r="F280" i="2"/>
  <c r="H279" i="2"/>
  <c r="F279" i="2"/>
  <c r="H278" i="2"/>
  <c r="F278" i="2"/>
  <c r="H277" i="2"/>
  <c r="F277" i="2"/>
  <c r="H276" i="2"/>
  <c r="F276" i="2"/>
  <c r="H275" i="2"/>
  <c r="F275" i="2"/>
  <c r="H274" i="2"/>
  <c r="F274" i="2"/>
  <c r="H273" i="2"/>
  <c r="F273" i="2"/>
  <c r="H272" i="2"/>
  <c r="F272" i="2"/>
  <c r="H271" i="2"/>
  <c r="F271" i="2"/>
  <c r="H270" i="2"/>
  <c r="F270" i="2"/>
  <c r="H269" i="2"/>
  <c r="F269" i="2"/>
  <c r="H268" i="2"/>
  <c r="F268" i="2"/>
  <c r="H267" i="2"/>
  <c r="F267" i="2"/>
  <c r="H266" i="2"/>
  <c r="F266" i="2"/>
  <c r="H265" i="2"/>
  <c r="F265" i="2"/>
  <c r="H264" i="2"/>
  <c r="F264" i="2"/>
  <c r="H263" i="2"/>
  <c r="F263" i="2"/>
  <c r="H262" i="2"/>
  <c r="F262" i="2"/>
  <c r="H261" i="2"/>
  <c r="F261" i="2"/>
  <c r="H260" i="2"/>
  <c r="F260" i="2"/>
  <c r="H259" i="2"/>
  <c r="F259" i="2"/>
  <c r="H258" i="2"/>
  <c r="F258" i="2"/>
  <c r="H257" i="2"/>
  <c r="F257" i="2"/>
  <c r="H256" i="2"/>
  <c r="F256" i="2"/>
  <c r="H255" i="2"/>
  <c r="F255" i="2"/>
  <c r="H254" i="2"/>
  <c r="F254" i="2"/>
  <c r="H253" i="2"/>
  <c r="F253" i="2"/>
  <c r="H252" i="2"/>
  <c r="F252" i="2"/>
  <c r="H251" i="2"/>
  <c r="F251" i="2"/>
  <c r="H250" i="2"/>
  <c r="F250" i="2"/>
  <c r="H249" i="2"/>
  <c r="F249" i="2"/>
  <c r="H248" i="2"/>
  <c r="F248" i="2"/>
  <c r="H247" i="2"/>
  <c r="F247" i="2"/>
  <c r="H246" i="2"/>
  <c r="F246" i="2"/>
  <c r="H245" i="2"/>
  <c r="F245" i="2"/>
  <c r="H244" i="2"/>
  <c r="F244" i="2"/>
  <c r="H243" i="2"/>
  <c r="F243" i="2"/>
  <c r="H242" i="2"/>
  <c r="F242" i="2"/>
  <c r="H241" i="2"/>
  <c r="F241" i="2"/>
  <c r="H240" i="2"/>
  <c r="F240" i="2"/>
  <c r="H239" i="2"/>
  <c r="F239" i="2"/>
  <c r="H238" i="2"/>
  <c r="F238" i="2"/>
  <c r="H237" i="2"/>
  <c r="F237" i="2"/>
  <c r="H236" i="2"/>
  <c r="F236" i="2"/>
  <c r="H235" i="2"/>
  <c r="F235" i="2"/>
  <c r="H234" i="2"/>
  <c r="F234" i="2"/>
  <c r="H233" i="2"/>
  <c r="F233" i="2"/>
  <c r="H232" i="2"/>
  <c r="F232" i="2"/>
  <c r="H231" i="2"/>
  <c r="F231" i="2"/>
  <c r="H230" i="2"/>
  <c r="F230" i="2"/>
  <c r="H229" i="2"/>
  <c r="F229" i="2"/>
  <c r="H228" i="2"/>
  <c r="F228" i="2"/>
  <c r="H227" i="2"/>
  <c r="F227" i="2"/>
  <c r="H226" i="2"/>
  <c r="F226" i="2"/>
  <c r="H225" i="2"/>
  <c r="F225" i="2"/>
  <c r="H224" i="2"/>
  <c r="F224" i="2"/>
  <c r="H223" i="2"/>
  <c r="F223" i="2"/>
  <c r="H222" i="2"/>
  <c r="F222" i="2"/>
  <c r="H221" i="2"/>
  <c r="F221" i="2"/>
  <c r="H220" i="2"/>
  <c r="F220" i="2"/>
  <c r="H219" i="2"/>
  <c r="F219" i="2"/>
  <c r="H218" i="2"/>
  <c r="F218" i="2"/>
  <c r="H217" i="2"/>
  <c r="F217" i="2"/>
  <c r="H216" i="2"/>
  <c r="F216" i="2"/>
  <c r="H215" i="2"/>
  <c r="F215" i="2"/>
  <c r="H214" i="2"/>
  <c r="F214" i="2"/>
  <c r="H213" i="2"/>
  <c r="F213" i="2"/>
  <c r="H212" i="2"/>
  <c r="F212" i="2"/>
  <c r="H211" i="2"/>
  <c r="F211" i="2"/>
  <c r="H210" i="2"/>
  <c r="F210" i="2"/>
  <c r="H209" i="2"/>
  <c r="F209" i="2"/>
  <c r="H208" i="2"/>
  <c r="F208" i="2"/>
  <c r="H207" i="2"/>
  <c r="F207" i="2"/>
  <c r="H206" i="2"/>
  <c r="F206" i="2"/>
  <c r="H205" i="2"/>
  <c r="F205" i="2"/>
  <c r="H204" i="2"/>
  <c r="F204" i="2"/>
  <c r="H203" i="2"/>
  <c r="F203" i="2"/>
  <c r="H202" i="2"/>
  <c r="F202" i="2"/>
  <c r="H201" i="2"/>
  <c r="F201" i="2"/>
  <c r="H200" i="2"/>
  <c r="F200" i="2"/>
  <c r="H199" i="2"/>
  <c r="F199" i="2"/>
  <c r="H198" i="2"/>
  <c r="F198" i="2"/>
  <c r="H197" i="2"/>
  <c r="F197" i="2"/>
  <c r="H196" i="2"/>
  <c r="F196" i="2"/>
  <c r="H195" i="2"/>
  <c r="F195" i="2"/>
  <c r="H194" i="2"/>
  <c r="F194" i="2"/>
  <c r="H193" i="2"/>
  <c r="F193" i="2"/>
  <c r="H192" i="2"/>
  <c r="F192" i="2"/>
  <c r="H191" i="2"/>
  <c r="F191" i="2"/>
  <c r="H190" i="2"/>
  <c r="F190" i="2"/>
  <c r="H189" i="2"/>
  <c r="F189" i="2"/>
  <c r="H188" i="2"/>
  <c r="F188" i="2"/>
  <c r="H187" i="2"/>
  <c r="F187" i="2"/>
  <c r="H186" i="2"/>
  <c r="F186" i="2"/>
  <c r="H185" i="2"/>
  <c r="F185" i="2"/>
  <c r="H184" i="2"/>
  <c r="F184" i="2"/>
  <c r="H183" i="2"/>
  <c r="F183" i="2"/>
  <c r="H182" i="2"/>
  <c r="F182" i="2"/>
  <c r="H181" i="2"/>
  <c r="F181" i="2"/>
  <c r="H180" i="2"/>
  <c r="F180" i="2"/>
  <c r="H179" i="2"/>
  <c r="F179" i="2"/>
  <c r="H178" i="2"/>
  <c r="F178" i="2"/>
  <c r="H177" i="2"/>
  <c r="F177" i="2"/>
  <c r="H176" i="2"/>
  <c r="F176" i="2"/>
  <c r="H175" i="2"/>
  <c r="F175" i="2"/>
  <c r="H174" i="2"/>
  <c r="F174" i="2"/>
  <c r="H173" i="2"/>
  <c r="F173" i="2"/>
  <c r="H172" i="2"/>
  <c r="F172" i="2"/>
  <c r="H171" i="2"/>
  <c r="F171" i="2"/>
  <c r="H170" i="2"/>
  <c r="F170" i="2"/>
  <c r="H169" i="2"/>
  <c r="F169" i="2"/>
  <c r="H168" i="2"/>
  <c r="F168" i="2"/>
  <c r="H167" i="2"/>
  <c r="F167" i="2"/>
  <c r="H166" i="2"/>
  <c r="F166" i="2"/>
  <c r="H165" i="2"/>
  <c r="F165" i="2"/>
  <c r="H164" i="2"/>
  <c r="F164" i="2"/>
  <c r="H163" i="2"/>
  <c r="F163" i="2"/>
  <c r="H162" i="2"/>
  <c r="F162" i="2"/>
  <c r="H161" i="2"/>
  <c r="F161" i="2"/>
  <c r="H160" i="2"/>
  <c r="F160" i="2"/>
  <c r="H159" i="2"/>
  <c r="F159" i="2"/>
  <c r="H158" i="2"/>
  <c r="F158" i="2"/>
  <c r="H157" i="2"/>
  <c r="F157" i="2"/>
  <c r="H156" i="2"/>
  <c r="F156" i="2"/>
  <c r="H155" i="2"/>
  <c r="F155" i="2"/>
  <c r="H154" i="2"/>
  <c r="F154" i="2"/>
  <c r="H153" i="2"/>
  <c r="F153" i="2"/>
  <c r="H152" i="2"/>
  <c r="F152" i="2"/>
  <c r="H151" i="2"/>
  <c r="F151" i="2"/>
  <c r="H150" i="2"/>
  <c r="F150" i="2"/>
  <c r="H149" i="2"/>
  <c r="F149" i="2"/>
  <c r="H148" i="2"/>
  <c r="F148" i="2"/>
  <c r="H147" i="2"/>
  <c r="F147" i="2"/>
  <c r="H146" i="2"/>
  <c r="F146" i="2"/>
  <c r="H145" i="2"/>
  <c r="F145" i="2"/>
  <c r="H144" i="2"/>
  <c r="F144" i="2"/>
  <c r="H143" i="2"/>
  <c r="F143" i="2"/>
  <c r="H142" i="2"/>
  <c r="F142" i="2"/>
  <c r="H141" i="2"/>
  <c r="F141" i="2"/>
  <c r="H140" i="2"/>
  <c r="F140" i="2"/>
  <c r="H139" i="2"/>
  <c r="F139" i="2"/>
  <c r="H138" i="2"/>
  <c r="F138" i="2"/>
  <c r="H137" i="2"/>
  <c r="F137" i="2"/>
  <c r="H136" i="2"/>
  <c r="F136" i="2"/>
  <c r="H135" i="2"/>
  <c r="F135" i="2"/>
  <c r="H134" i="2"/>
  <c r="F134" i="2"/>
  <c r="H133" i="2"/>
  <c r="F133" i="2"/>
  <c r="H132" i="2"/>
  <c r="F132" i="2"/>
  <c r="H131" i="2"/>
  <c r="F131" i="2"/>
  <c r="H130" i="2"/>
  <c r="F130" i="2"/>
  <c r="H129" i="2"/>
  <c r="F129" i="2"/>
  <c r="H128" i="2"/>
  <c r="F128" i="2"/>
  <c r="H127" i="2"/>
  <c r="F127" i="2"/>
  <c r="H126" i="2"/>
  <c r="F126" i="2"/>
  <c r="H125" i="2"/>
  <c r="F125" i="2"/>
  <c r="H124" i="2"/>
  <c r="F124" i="2"/>
  <c r="H123" i="2"/>
  <c r="F123" i="2"/>
  <c r="H122" i="2"/>
  <c r="F122" i="2"/>
  <c r="H121" i="2"/>
  <c r="F121" i="2"/>
  <c r="H120" i="2"/>
  <c r="F120" i="2"/>
  <c r="H119" i="2"/>
  <c r="F119" i="2"/>
  <c r="H118" i="2"/>
  <c r="F118" i="2"/>
  <c r="H117" i="2"/>
  <c r="F117" i="2"/>
  <c r="H116" i="2"/>
  <c r="F116" i="2"/>
  <c r="H115" i="2"/>
  <c r="F115" i="2"/>
  <c r="H114" i="2"/>
  <c r="F114" i="2"/>
  <c r="H113" i="2"/>
  <c r="F113" i="2"/>
  <c r="H112" i="2"/>
  <c r="F112" i="2"/>
  <c r="H111" i="2"/>
  <c r="F111" i="2"/>
  <c r="H110" i="2"/>
  <c r="F110" i="2"/>
  <c r="H109" i="2"/>
  <c r="F109" i="2"/>
  <c r="H108" i="2"/>
  <c r="F108" i="2"/>
  <c r="H107" i="2"/>
  <c r="F107" i="2"/>
  <c r="H106" i="2"/>
  <c r="F106" i="2"/>
  <c r="H105" i="2"/>
  <c r="F105" i="2"/>
  <c r="H104" i="2"/>
  <c r="F104" i="2"/>
  <c r="H103" i="2"/>
  <c r="F103" i="2"/>
  <c r="H102" i="2"/>
  <c r="F102" i="2"/>
  <c r="H101" i="2"/>
  <c r="F101" i="2"/>
  <c r="H100" i="2"/>
  <c r="F100" i="2"/>
  <c r="H99" i="2"/>
  <c r="F99" i="2"/>
  <c r="H98" i="2"/>
  <c r="F98" i="2"/>
  <c r="H97" i="2"/>
  <c r="F97" i="2"/>
  <c r="H96" i="2"/>
  <c r="F96" i="2"/>
  <c r="H95" i="2"/>
  <c r="F95" i="2"/>
  <c r="H94" i="2"/>
  <c r="F94" i="2"/>
  <c r="H93" i="2"/>
  <c r="F93" i="2"/>
  <c r="H92" i="2"/>
  <c r="F92" i="2"/>
  <c r="H91" i="2"/>
  <c r="F91" i="2"/>
  <c r="H90" i="2"/>
  <c r="F90" i="2"/>
  <c r="H89" i="2"/>
  <c r="F89" i="2"/>
  <c r="H88" i="2"/>
  <c r="F88" i="2"/>
  <c r="H87" i="2"/>
  <c r="F87" i="2"/>
  <c r="H86" i="2"/>
  <c r="F86" i="2"/>
  <c r="H85" i="2"/>
  <c r="F85" i="2"/>
  <c r="H84" i="2"/>
  <c r="F84" i="2"/>
  <c r="H83" i="2"/>
  <c r="F83" i="2"/>
  <c r="H82" i="2"/>
  <c r="F82" i="2"/>
  <c r="H81" i="2"/>
  <c r="F81" i="2"/>
  <c r="H80" i="2"/>
  <c r="F80" i="2"/>
  <c r="H79" i="2"/>
  <c r="F79" i="2"/>
  <c r="H78" i="2"/>
  <c r="F78" i="2"/>
  <c r="H77" i="2"/>
  <c r="F77" i="2"/>
  <c r="H76" i="2"/>
  <c r="F76" i="2"/>
  <c r="H75" i="2"/>
  <c r="F75" i="2"/>
  <c r="H74" i="2"/>
  <c r="F74" i="2"/>
  <c r="H73" i="2"/>
  <c r="F73" i="2"/>
  <c r="H72" i="2"/>
  <c r="F72" i="2"/>
  <c r="H71" i="2"/>
  <c r="F71" i="2"/>
  <c r="H70" i="2"/>
  <c r="F70" i="2"/>
  <c r="H69" i="2"/>
  <c r="F69" i="2"/>
  <c r="H68" i="2"/>
  <c r="F68" i="2"/>
  <c r="H67" i="2"/>
  <c r="F67" i="2"/>
  <c r="H66" i="2"/>
  <c r="F66" i="2"/>
  <c r="H65" i="2"/>
  <c r="F65" i="2"/>
  <c r="H64" i="2"/>
  <c r="F64" i="2"/>
  <c r="H63" i="2"/>
  <c r="F63" i="2"/>
  <c r="H62" i="2"/>
  <c r="F62" i="2"/>
  <c r="H61" i="2"/>
  <c r="F61" i="2"/>
  <c r="H60" i="2"/>
  <c r="F60" i="2"/>
  <c r="H59" i="2"/>
  <c r="F59" i="2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" i="2"/>
  <c r="F2" i="2"/>
  <c r="B13" i="1" l="1"/>
  <c r="B7" i="1"/>
  <c r="B10" i="1"/>
  <c r="B4" i="1"/>
  <c r="B5" i="1"/>
  <c r="B9" i="1"/>
  <c r="B3" i="1"/>
  <c r="B15" i="1"/>
  <c r="B6" i="1"/>
  <c r="B14" i="1"/>
  <c r="B17" i="1"/>
  <c r="B16" i="1"/>
  <c r="B12" i="1"/>
  <c r="B8" i="1"/>
  <c r="B11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Lord, Mary Cathryn</author>
  </authors>
  <commentList>
    <comment ref="F137" authorId="0" shapeId="0" xr:uid="{2372AC8A-A149-E648-AB2F-3DB88113104E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Increase year over year formula</t>
        </r>
      </text>
    </comment>
    <comment ref="F138" authorId="0" shapeId="0" xr:uid="{6B7F036F-8F03-5148-BCE6-FD6FA0D833A8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Increase year over year formula</t>
        </r>
      </text>
    </comment>
    <comment ref="F139" authorId="0" shapeId="0" xr:uid="{11BC8C69-E118-F448-8EF0-52C3DFEE3D09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Increase year over year formula</t>
        </r>
      </text>
    </comment>
    <comment ref="F144" authorId="0" shapeId="0" xr:uid="{901BC63C-8AEB-2D47-A6B4-1DB3B0A2A21E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Remain flat formula</t>
        </r>
      </text>
    </comment>
    <comment ref="F146" authorId="0" shapeId="0" xr:uid="{723B65F1-1A4C-8A45-99E1-F641626DE184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2% year over year increase formula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<sst xmlns="http://schemas.openxmlformats.org/spreadsheetml/2006/main" count="1952" uniqueCount="633">
  <si>
    <t>Level</t>
  </si>
  <si>
    <t>Dashboard Item ID</t>
  </si>
  <si>
    <t>Item Name (auto)</t>
  </si>
  <si>
    <t>Also Show Under</t>
  </si>
  <si>
    <t>Also Under (auto)</t>
  </si>
  <si>
    <t>KPI ID</t>
  </si>
  <si>
    <t>Period</t>
  </si>
  <si>
    <t>Segment</t>
  </si>
  <si>
    <t>Value</t>
  </si>
  <si>
    <t>Target</t>
  </si>
  <si>
    <t>Benchmark</t>
  </si>
  <si>
    <t>Note</t>
  </si>
  <si>
    <t>Status Based On</t>
  </si>
  <si>
    <t>Drives Status</t>
  </si>
  <si>
    <t>KPI Name</t>
  </si>
  <si>
    <t>Unit</t>
  </si>
  <si>
    <t>Decimals</t>
  </si>
  <si>
    <t>Higher Is Better</t>
  </si>
  <si>
    <t>On Track Within %</t>
  </si>
  <si>
    <t>Off Track Beyond %</t>
  </si>
  <si>
    <t>Update Frequency</t>
  </si>
  <si>
    <t>Owner</t>
  </si>
  <si>
    <t>Source</t>
  </si>
  <si>
    <t>Description</t>
  </si>
  <si>
    <t>Footnote</t>
  </si>
  <si>
    <t>Employee engagement score</t>
  </si>
  <si>
    <t>Key Service</t>
  </si>
  <si>
    <t>ks5</t>
  </si>
  <si>
    <t>ob18</t>
  </si>
  <si>
    <t>percent</t>
  </si>
  <si>
    <t>Yes</t>
  </si>
  <si>
    <t>Every 2 years</t>
  </si>
  <si>
    <t>Employee Survey</t>
  </si>
  <si>
    <t>Overall engagement score from the City employee survey, compared with the survey benchmark.</t>
  </si>
  <si>
    <t>IT-UPTIME</t>
  </si>
  <si>
    <t>Network uptime</t>
  </si>
  <si>
    <t>Program</t>
  </si>
  <si>
    <t>p30</t>
  </si>
  <si>
    <t>ks7, ob14</t>
  </si>
  <si>
    <t>Every year</t>
  </si>
  <si>
    <t>2022</t>
  </si>
  <si>
    <t>Full-time employees only</t>
  </si>
  <si>
    <t>2024</t>
  </si>
  <si>
    <t>2026</t>
  </si>
  <si>
    <t>Full-time</t>
  </si>
  <si>
    <t>PT/Seasonal</t>
  </si>
  <si>
    <t>2020</t>
  </si>
  <si>
    <t>2021</t>
  </si>
  <si>
    <t>2023</t>
  </si>
  <si>
    <t>2025</t>
  </si>
  <si>
    <t>ID</t>
  </si>
  <si>
    <t>Name</t>
  </si>
  <si>
    <t>Key Service (for Programs)</t>
  </si>
  <si>
    <t>Work System</t>
  </si>
  <si>
    <t>Goal (for Objectives)</t>
  </si>
  <si>
    <t>ws1</t>
  </si>
  <si>
    <t>Leadership and Governance</t>
  </si>
  <si>
    <t>ws2</t>
  </si>
  <si>
    <t>Financial and Internal Services</t>
  </si>
  <si>
    <t>ws3</t>
  </si>
  <si>
    <t>Community Growth and Economic Vitality</t>
  </si>
  <si>
    <t>ws4</t>
  </si>
  <si>
    <t>Public Safety</t>
  </si>
  <si>
    <t>ws5</t>
  </si>
  <si>
    <t>Infrastructure</t>
  </si>
  <si>
    <t>ws6</t>
  </si>
  <si>
    <t>Parks, Recreation and Cultural Services</t>
  </si>
  <si>
    <t>ks1</t>
  </si>
  <si>
    <t>Administrative Leadership &amp; Governance</t>
  </si>
  <si>
    <t>ks2</t>
  </si>
  <si>
    <t>City Clerk &amp; Records Management</t>
  </si>
  <si>
    <t>ks3</t>
  </si>
  <si>
    <t>Public Information &amp; Community Engagement</t>
  </si>
  <si>
    <t>ks4</t>
  </si>
  <si>
    <t>Financial Management &amp; Accountability</t>
  </si>
  <si>
    <t>Human Resources &amp; Workforce Development</t>
  </si>
  <si>
    <t>ks6</t>
  </si>
  <si>
    <t>Legal Services</t>
  </si>
  <si>
    <t>ks7</t>
  </si>
  <si>
    <t>Information Technology Services</t>
  </si>
  <si>
    <t>ks8</t>
  </si>
  <si>
    <t>Community Development &amp; Planning</t>
  </si>
  <si>
    <t>ks9</t>
  </si>
  <si>
    <t>Economic Prosperity &amp; Business Support</t>
  </si>
  <si>
    <t>ks10</t>
  </si>
  <si>
    <t>Sustainability &amp; Environmental Stewardship</t>
  </si>
  <si>
    <t>ks11</t>
  </si>
  <si>
    <t>Public Safety Services</t>
  </si>
  <si>
    <t>ks12</t>
  </si>
  <si>
    <t>Municipal Court</t>
  </si>
  <si>
    <t>ks13</t>
  </si>
  <si>
    <t>Public Works &amp; Municipal Services</t>
  </si>
  <si>
    <t>ks14</t>
  </si>
  <si>
    <t>Transit Services</t>
  </si>
  <si>
    <t>ks15</t>
  </si>
  <si>
    <t>Asset Management</t>
  </si>
  <si>
    <t>ks16</t>
  </si>
  <si>
    <t>Airport Operations</t>
  </si>
  <si>
    <t>ks17</t>
  </si>
  <si>
    <t>Library &amp; Learning Services</t>
  </si>
  <si>
    <t>ks18</t>
  </si>
  <si>
    <t>Parks &amp; Open Space Management</t>
  </si>
  <si>
    <t>ks20</t>
  </si>
  <si>
    <t>Recreation &amp; Community Programs</t>
  </si>
  <si>
    <t>p1</t>
  </si>
  <si>
    <t>Executive Leadership Programs</t>
  </si>
  <si>
    <t>p2</t>
  </si>
  <si>
    <t>Strategic Planning</t>
  </si>
  <si>
    <t>p3</t>
  </si>
  <si>
    <t>Organizational Performance Management</t>
  </si>
  <si>
    <t>p4</t>
  </si>
  <si>
    <t>Ethics and Compliance Oversight</t>
  </si>
  <si>
    <t>p5</t>
  </si>
  <si>
    <t>Customer Service</t>
  </si>
  <si>
    <t>p7</t>
  </si>
  <si>
    <t>Records Management</t>
  </si>
  <si>
    <t>p8</t>
  </si>
  <si>
    <t>Elections Administration</t>
  </si>
  <si>
    <t>p6</t>
  </si>
  <si>
    <t>Council/Board Support</t>
  </si>
  <si>
    <t>p29</t>
  </si>
  <si>
    <t>Licensing</t>
  </si>
  <si>
    <t>p11</t>
  </si>
  <si>
    <t>Public Outreach</t>
  </si>
  <si>
    <t>p12</t>
  </si>
  <si>
    <t>Social Media</t>
  </si>
  <si>
    <t>p13</t>
  </si>
  <si>
    <t>Community Engagement Initiatives</t>
  </si>
  <si>
    <t>p15</t>
  </si>
  <si>
    <t>Budgeting and Forecasting</t>
  </si>
  <si>
    <t>p16</t>
  </si>
  <si>
    <t>Grants Management</t>
  </si>
  <si>
    <t>p17</t>
  </si>
  <si>
    <t>Procurement</t>
  </si>
  <si>
    <t>p97</t>
  </si>
  <si>
    <t>Contract Management</t>
  </si>
  <si>
    <t>p98</t>
  </si>
  <si>
    <t>Vendor Management</t>
  </si>
  <si>
    <t>p18</t>
  </si>
  <si>
    <t>Accounting and Reporting</t>
  </si>
  <si>
    <t>p21</t>
  </si>
  <si>
    <t>Revenue Collection</t>
  </si>
  <si>
    <t>p99</t>
  </si>
  <si>
    <t>Financial Compliance</t>
  </si>
  <si>
    <t>p22</t>
  </si>
  <si>
    <t>Learning and Development</t>
  </si>
  <si>
    <t>p24</t>
  </si>
  <si>
    <t>Recruitment and Retention</t>
  </si>
  <si>
    <t>p25</t>
  </si>
  <si>
    <t>Compensation and Benefits</t>
  </si>
  <si>
    <t>p26</t>
  </si>
  <si>
    <t>Legal Counsel</t>
  </si>
  <si>
    <t>p27</t>
  </si>
  <si>
    <t>Risk Management</t>
  </si>
  <si>
    <t>p28</t>
  </si>
  <si>
    <t>Code Compliance</t>
  </si>
  <si>
    <t>Network and Infrastructure Management</t>
  </si>
  <si>
    <t>p31</t>
  </si>
  <si>
    <t>Cybersecurity</t>
  </si>
  <si>
    <t>p32</t>
  </si>
  <si>
    <t>Business Applications Support</t>
  </si>
  <si>
    <t>p33</t>
  </si>
  <si>
    <t>GIS</t>
  </si>
  <si>
    <t>p34</t>
  </si>
  <si>
    <t>Help Desk</t>
  </si>
  <si>
    <t>p35</t>
  </si>
  <si>
    <t>Long Range Comprehensive Planning</t>
  </si>
  <si>
    <t>p36</t>
  </si>
  <si>
    <t>Development Review and Permitting (Inspections)</t>
  </si>
  <si>
    <t>p37</t>
  </si>
  <si>
    <t>Housing Initiatives</t>
  </si>
  <si>
    <t>p38</t>
  </si>
  <si>
    <t>Historical Preservation</t>
  </si>
  <si>
    <t>p100</t>
  </si>
  <si>
    <t>Community Investments, Partnerships, and Grant Making</t>
  </si>
  <si>
    <t>p40</t>
  </si>
  <si>
    <t>Business Support Services</t>
  </si>
  <si>
    <t>p43</t>
  </si>
  <si>
    <t>Destination Marketing and Management (Tourism)</t>
  </si>
  <si>
    <t>p44</t>
  </si>
  <si>
    <t>Energy, Climate and Sustainability Programs</t>
  </si>
  <si>
    <t>p45</t>
  </si>
  <si>
    <t>Waste Reduction (Recycling)</t>
  </si>
  <si>
    <t>p46</t>
  </si>
  <si>
    <t>Water Conservation</t>
  </si>
  <si>
    <t>p47</t>
  </si>
  <si>
    <t>Urban Forestry</t>
  </si>
  <si>
    <t>p48</t>
  </si>
  <si>
    <t>Resilience Planning</t>
  </si>
  <si>
    <t>p49</t>
  </si>
  <si>
    <t>Police Patrol</t>
  </si>
  <si>
    <t>p50</t>
  </si>
  <si>
    <t>Criminal Investigations</t>
  </si>
  <si>
    <t>p101</t>
  </si>
  <si>
    <t>911 Emergency Services</t>
  </si>
  <si>
    <t>p102</t>
  </si>
  <si>
    <t>Administrative Public Safety Services</t>
  </si>
  <si>
    <t>p51</t>
  </si>
  <si>
    <t>Emergency Management</t>
  </si>
  <si>
    <t>p103</t>
  </si>
  <si>
    <t>Code Enforcement</t>
  </si>
  <si>
    <t>p52</t>
  </si>
  <si>
    <t>Ranger Program</t>
  </si>
  <si>
    <t>p53</t>
  </si>
  <si>
    <t>p54</t>
  </si>
  <si>
    <t>Aircraft Rescue and Firefighting</t>
  </si>
  <si>
    <t>p104</t>
  </si>
  <si>
    <t>Public Safety Technology NG (NextGen) 911 Technologies</t>
  </si>
  <si>
    <t>p105</t>
  </si>
  <si>
    <t>Animal Control</t>
  </si>
  <si>
    <t>p55</t>
  </si>
  <si>
    <t>Municipal Court Administration</t>
  </si>
  <si>
    <t>p56</t>
  </si>
  <si>
    <t>Traffic Court</t>
  </si>
  <si>
    <t>p59</t>
  </si>
  <si>
    <t>Juvenile Court</t>
  </si>
  <si>
    <t>p57</t>
  </si>
  <si>
    <t>Criminal Court</t>
  </si>
  <si>
    <t>p58</t>
  </si>
  <si>
    <t>Specialty Court</t>
  </si>
  <si>
    <t>p60</t>
  </si>
  <si>
    <t>Prosecutor Success</t>
  </si>
  <si>
    <t>p61</t>
  </si>
  <si>
    <t>Streets and Traffic Operations</t>
  </si>
  <si>
    <t>p62</t>
  </si>
  <si>
    <t>Stormwater</t>
  </si>
  <si>
    <t>p63</t>
  </si>
  <si>
    <t>Fleet Management</t>
  </si>
  <si>
    <t>p64</t>
  </si>
  <si>
    <t>Facilities Maintenance</t>
  </si>
  <si>
    <t>p65</t>
  </si>
  <si>
    <t>Solid Waste</t>
  </si>
  <si>
    <t>p66</t>
  </si>
  <si>
    <t>Water Utility</t>
  </si>
  <si>
    <t>p106</t>
  </si>
  <si>
    <t>Wastewater Utility</t>
  </si>
  <si>
    <t>p67</t>
  </si>
  <si>
    <t>p68</t>
  </si>
  <si>
    <t>Capital Improvement Projects</t>
  </si>
  <si>
    <t>p69</t>
  </si>
  <si>
    <t>Fixed-Route Service</t>
  </si>
  <si>
    <t>p70</t>
  </si>
  <si>
    <t>Paratransit</t>
  </si>
  <si>
    <t>p71</t>
  </si>
  <si>
    <t>Multimodal Programs</t>
  </si>
  <si>
    <t>p72</t>
  </si>
  <si>
    <t>Microtransit</t>
  </si>
  <si>
    <t>p73</t>
  </si>
  <si>
    <t>Transit Planning</t>
  </si>
  <si>
    <t>p74</t>
  </si>
  <si>
    <t>Fare Administration</t>
  </si>
  <si>
    <t>p75</t>
  </si>
  <si>
    <t>Parking Management</t>
  </si>
  <si>
    <t>p76</t>
  </si>
  <si>
    <t>Fleet and Facility Management</t>
  </si>
  <si>
    <t>p107</t>
  </si>
  <si>
    <t>Inventory Management</t>
  </si>
  <si>
    <t>p108</t>
  </si>
  <si>
    <t>Asset Lifecycle Management</t>
  </si>
  <si>
    <t>p109</t>
  </si>
  <si>
    <t>Network Equipment</t>
  </si>
  <si>
    <t>p110</t>
  </si>
  <si>
    <t>End User Devices</t>
  </si>
  <si>
    <t>p77</t>
  </si>
  <si>
    <t>IT Fiber Network and Servers</t>
  </si>
  <si>
    <t>p111</t>
  </si>
  <si>
    <t>Parks and Recreation Assets</t>
  </si>
  <si>
    <t>p78</t>
  </si>
  <si>
    <t>Streets Systems</t>
  </si>
  <si>
    <t>p79</t>
  </si>
  <si>
    <t>Water Systems</t>
  </si>
  <si>
    <t>p112</t>
  </si>
  <si>
    <t>Wastewater Systems</t>
  </si>
  <si>
    <t>p80</t>
  </si>
  <si>
    <t>Airfield and Terminal Operations</t>
  </si>
  <si>
    <t>p81</t>
  </si>
  <si>
    <t>Aviation Services</t>
  </si>
  <si>
    <t>p113</t>
  </si>
  <si>
    <t>Airfield Service</t>
  </si>
  <si>
    <t>p114</t>
  </si>
  <si>
    <t>Terminal and Landside Service</t>
  </si>
  <si>
    <t>p82</t>
  </si>
  <si>
    <t>p83</t>
  </si>
  <si>
    <t>p84</t>
  </si>
  <si>
    <t>p85</t>
  </si>
  <si>
    <t>p86</t>
  </si>
  <si>
    <t>p87</t>
  </si>
  <si>
    <t>p88</t>
  </si>
  <si>
    <t>Park Maintenance</t>
  </si>
  <si>
    <t>p89</t>
  </si>
  <si>
    <t>Trails</t>
  </si>
  <si>
    <t>p90</t>
  </si>
  <si>
    <t>Natural Resource Management</t>
  </si>
  <si>
    <t>p91</t>
  </si>
  <si>
    <t>Open Space Preservation</t>
  </si>
  <si>
    <t>Cemetery</t>
  </si>
  <si>
    <t>Lake Nighthorse</t>
  </si>
  <si>
    <t>Open Space Management</t>
  </si>
  <si>
    <t>p92</t>
  </si>
  <si>
    <t>Recreation Center</t>
  </si>
  <si>
    <t>p94</t>
  </si>
  <si>
    <t>Youth/Teen Recreation Programs</t>
  </si>
  <si>
    <t>p96</t>
  </si>
  <si>
    <t>Adult/Senior Recreation Programs</t>
  </si>
  <si>
    <t>Chapman Hill</t>
  </si>
  <si>
    <t>Gymnastics Programs</t>
  </si>
  <si>
    <t>p95</t>
  </si>
  <si>
    <t>Community Events</t>
  </si>
  <si>
    <t>Childcare</t>
  </si>
  <si>
    <t>ob1</t>
  </si>
  <si>
    <t>Objective</t>
  </si>
  <si>
    <t>1.1 Financial Sustainability and Innovation</t>
  </si>
  <si>
    <t>Organizational Stewardship</t>
  </si>
  <si>
    <t>ob2</t>
  </si>
  <si>
    <t>1.2 Community Partnerships and Inclusion</t>
  </si>
  <si>
    <t>ob3</t>
  </si>
  <si>
    <t>1.3 Environmental Stewardship</t>
  </si>
  <si>
    <t>ob4</t>
  </si>
  <si>
    <t>2.1 Affordable, Multigenerational Housing</t>
  </si>
  <si>
    <t>Innovative Housing and Economic Development</t>
  </si>
  <si>
    <t>ob5</t>
  </si>
  <si>
    <t>2.2 Economic Growth and Entrepreneurship</t>
  </si>
  <si>
    <t>ob6</t>
  </si>
  <si>
    <t>2.3 Community Character and Investments</t>
  </si>
  <si>
    <t>ob7</t>
  </si>
  <si>
    <t>3.1 Public Safety and Emergency Services</t>
  </si>
  <si>
    <t>Safety &amp; Quality of Life</t>
  </si>
  <si>
    <t>ob8</t>
  </si>
  <si>
    <t>3.2 Arts, Culture, and Recreation</t>
  </si>
  <si>
    <t>ob9</t>
  </si>
  <si>
    <t>3.3 Parks, Trails and Natural Lands</t>
  </si>
  <si>
    <t>ob10</t>
  </si>
  <si>
    <t>4.1 Safe, Accessible Mobility</t>
  </si>
  <si>
    <t>Reliable Infrastructure and Community Connectivity</t>
  </si>
  <si>
    <t>ob11</t>
  </si>
  <si>
    <t>4.2 Transportation Infrastructure Investment</t>
  </si>
  <si>
    <t>ob12</t>
  </si>
  <si>
    <t>4.3 Water and Wastewater Systems</t>
  </si>
  <si>
    <t>ob13</t>
  </si>
  <si>
    <t>4.4 Airport and Aviation Hubs</t>
  </si>
  <si>
    <t>ob14</t>
  </si>
  <si>
    <t>4.5 Reliable and Secure IT Infrastrucutre</t>
  </si>
  <si>
    <t>ob15</t>
  </si>
  <si>
    <t>4.6 City surface Transit and Right of Way</t>
  </si>
  <si>
    <t>ob16</t>
  </si>
  <si>
    <t>5.1 Civic and Engaged Communication</t>
  </si>
  <si>
    <t>Engaged and Informed Community</t>
  </si>
  <si>
    <t>ob17</t>
  </si>
  <si>
    <t>5.2 Open and Accessible Information Communication</t>
  </si>
  <si>
    <t>6.1 Employee Growth and Retention</t>
  </si>
  <si>
    <t>Strategic Workforce Development</t>
  </si>
  <si>
    <t>ob19</t>
  </si>
  <si>
    <t>6.2 Comprehensive Career Progression Strategy</t>
  </si>
  <si>
    <t>ob20</t>
  </si>
  <si>
    <t>6.3 Workforce Preparedness and Optimization</t>
  </si>
  <si>
    <t>This list mirrors data.json as of 2 October 2026. If items are added there, ask for this sheet to be refreshed.</t>
  </si>
  <si>
    <t>Solar Winds</t>
  </si>
  <si>
    <t>SysAid</t>
  </si>
  <si>
    <t>Minor</t>
  </si>
  <si>
    <t>Urgent</t>
  </si>
  <si>
    <t>Critical</t>
  </si>
  <si>
    <t>Normal</t>
  </si>
  <si>
    <t>No</t>
  </si>
  <si>
    <t>Every Quarter</t>
  </si>
  <si>
    <t>KnowBe4</t>
  </si>
  <si>
    <t>2020-Q1</t>
  </si>
  <si>
    <t>2020-Q2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</si>
  <si>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</si>
  <si>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</si>
  <si>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</si>
  <si>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</si>
  <si>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</si>
  <si>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</si>
  <si>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</si>
  <si>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</si>
  <si>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</si>
  <si>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</si>
  <si>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</si>
  <si>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</si>
  <si>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</si>
  <si>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</si>
  <si>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</si>
  <si>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</si>
  <si>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</si>
  <si>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</si>
  <si>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Visitation</t>
  </si>
  <si>
    <t>number</t>
  </si>
  <si>
    <t>Every Year</t>
  </si>
  <si>
    <t>HR Director</t>
  </si>
  <si>
    <t>IT Director</t>
  </si>
  <si>
    <t>Library Director</t>
  </si>
  <si>
    <t>HR-TIMETOHIRE</t>
  </si>
  <si>
    <t>HR-EMPENG</t>
  </si>
  <si>
    <t>Safety / Risk Administrator</t>
  </si>
  <si>
    <t>IT-PITSURV</t>
  </si>
  <si>
    <t>IT-TIXSLA</t>
  </si>
  <si>
    <t>IT-PHISHRATE</t>
  </si>
  <si>
    <t>LIB-VISITS</t>
  </si>
  <si>
    <t>LIB-ROOMRENTALS</t>
  </si>
  <si>
    <t>LIB-REFQUEST</t>
  </si>
  <si>
    <t>LIB-SOCIALENG</t>
  </si>
  <si>
    <t>LIB-PATRONPPROG</t>
  </si>
  <si>
    <t>LIB-PROGATTEND</t>
  </si>
  <si>
    <t>LIB-OUTREACHCON</t>
  </si>
  <si>
    <t>Click through rate on City's election landing page</t>
  </si>
  <si>
    <t>Voter turnout (%)</t>
  </si>
  <si>
    <t>Response rate for public election related questions</t>
  </si>
  <si>
    <t>CLERK-CLICKTHRURATE</t>
  </si>
  <si>
    <t>CLERK-VOTERTURNOUT</t>
  </si>
  <si>
    <t>CLERK-LOGICTEST</t>
  </si>
  <si>
    <t>Liquor and marijuana license turnaround</t>
  </si>
  <si>
    <t>CLERK-QRESPRATE</t>
  </si>
  <si>
    <t>CLERK-CORARESPRATE</t>
  </si>
  <si>
    <t>CLERK-AGENDAPOST</t>
  </si>
  <si>
    <t>CLERK-LIQMARJLIC</t>
  </si>
  <si>
    <t>CLERK-BIZLIC</t>
  </si>
  <si>
    <t># cases resolved through graduating from specialty court</t>
  </si>
  <si>
    <t>Point in time help desk survey</t>
  </si>
  <si>
    <t>Help desk ticket SLA compliance</t>
  </si>
  <si>
    <t>Organization phish prone rate</t>
  </si>
  <si>
    <t>Program room rentals</t>
  </si>
  <si>
    <t>Reference questions</t>
  </si>
  <si>
    <t>Total social media user engagement</t>
  </si>
  <si>
    <t>Patron per program</t>
  </si>
  <si>
    <t>Total program attendance</t>
  </si>
  <si>
    <t>Total outreach contacts</t>
  </si>
  <si>
    <t>Records request response rate</t>
  </si>
  <si>
    <t>Agenda posting time</t>
  </si>
  <si>
    <t>Business license turnaround time</t>
  </si>
  <si>
    <t>Logic and accuracy test</t>
  </si>
  <si>
    <t>X</t>
  </si>
  <si>
    <t>PIO-ENGRATE</t>
  </si>
  <si>
    <t>Social media engagement rate</t>
  </si>
  <si>
    <t>Public Information Officer</t>
  </si>
  <si>
    <t>Instagram</t>
  </si>
  <si>
    <t>Facebook</t>
  </si>
  <si>
    <t>LinkedIn</t>
  </si>
  <si>
    <t>TikTok</t>
  </si>
  <si>
    <t>Instagram, Facebook, LinkedIn, TikTok</t>
  </si>
  <si>
    <t>Total circulation (physical and digital)</t>
  </si>
  <si>
    <t>Library Collections &amp; Resources</t>
  </si>
  <si>
    <t>Library Space Utilitzation</t>
  </si>
  <si>
    <t>Library Direct Patron Services</t>
  </si>
  <si>
    <t>Library Programming &amp; Outreach</t>
  </si>
  <si>
    <t>p93</t>
  </si>
  <si>
    <t>Unique wireless use and Total Computer Use</t>
  </si>
  <si>
    <t>LIB-COMPANDWIFI</t>
  </si>
  <si>
    <t>Digital</t>
  </si>
  <si>
    <t>Physical</t>
  </si>
  <si>
    <t>LIB-CIRCULATION</t>
  </si>
  <si>
    <t>Total</t>
  </si>
  <si>
    <t>TRAN-VACRATE</t>
  </si>
  <si>
    <t>TRAN-COMPSCORE</t>
  </si>
  <si>
    <t>TRAN-CITATIONCLOSE</t>
  </si>
  <si>
    <t>TRAN-WINDSHIELDRATE</t>
  </si>
  <si>
    <t>Parking Manager</t>
  </si>
  <si>
    <t>TRAN-CRASHDATA</t>
  </si>
  <si>
    <t>TRAN-BIKEPEDCOUNT</t>
  </si>
  <si>
    <t>TRAN-BIKEANDSWLINFT</t>
  </si>
  <si>
    <t>Multimodal Manager</t>
  </si>
  <si>
    <t>Vacany rate data collection</t>
  </si>
  <si>
    <t>Parking compliance count for the central business district</t>
  </si>
  <si>
    <t>Reasons for citations closure</t>
  </si>
  <si>
    <t>Citation payment rate</t>
  </si>
  <si>
    <t>Bi-annual bike and pedestrian counts</t>
  </si>
  <si>
    <t>Crash data</t>
  </si>
  <si>
    <t>Linear feet/miles of bike lanes and sidewalks by road classification</t>
  </si>
  <si>
    <t>Dept</t>
  </si>
  <si>
    <t>HR-DOTCOMP</t>
  </si>
  <si>
    <t>HR-EMOD</t>
  </si>
  <si>
    <t>HR-ACCIDENTREV</t>
  </si>
  <si>
    <t>HR-TRAININGS</t>
  </si>
  <si>
    <t>CLERK-SPECCOURT</t>
  </si>
  <si>
    <t>CFT participation</t>
  </si>
  <si>
    <t>Utilization of tuition reimbursement program</t>
  </si>
  <si>
    <t>Utilization of professional development budget</t>
  </si>
  <si>
    <t>Attracting: job posting view</t>
  </si>
  <si>
    <t>Attracting: applications per recruitment</t>
  </si>
  <si>
    <t>Attracting: traffic source data</t>
  </si>
  <si>
    <t>Hiring: time to hire from NeoGov</t>
  </si>
  <si>
    <t>Hiring: offer acceptance rate</t>
  </si>
  <si>
    <t>Retain &amp; develop: vacancy rate</t>
  </si>
  <si>
    <t>Retain &amp; develop: 1st year retention</t>
  </si>
  <si>
    <t>Retain &amp; Develop: Internal promotion rate</t>
  </si>
  <si>
    <t>Exit survey: satisfaction with compensation and benefits</t>
  </si>
  <si>
    <t>HR-CFT</t>
  </si>
  <si>
    <t>HR-TUITIONREIMB</t>
  </si>
  <si>
    <t>HR-PROFDEV</t>
  </si>
  <si>
    <t>HR-JOBPOSTVIEW</t>
  </si>
  <si>
    <t>HR-APPPERREC</t>
  </si>
  <si>
    <t>HR-TRAFFICSOURCE</t>
  </si>
  <si>
    <t>HR-OFFICERACC</t>
  </si>
  <si>
    <t>HR-VACRATE</t>
  </si>
  <si>
    <t>HR-RETENTION</t>
  </si>
  <si>
    <t>HR-INTPROMO</t>
  </si>
  <si>
    <t>HR-TURNRATE</t>
  </si>
  <si>
    <t>HR-COMPANDBEN</t>
  </si>
  <si>
    <t>DOT Compliance Score (employees with CDLs)</t>
  </si>
  <si>
    <t>EMOD (experience modification) for Work Comp - annually from Pinnacol, score dictates premium</t>
  </si>
  <si>
    <t>Work Comp (loss run report?)</t>
  </si>
  <si>
    <t>Property casualty claims (by department, dollar amount)</t>
  </si>
  <si>
    <t>Accident Review Board - Average or cumulative severity?</t>
  </si>
  <si>
    <t>Safety Training</t>
  </si>
  <si>
    <t>HR-DOTCOMPSCORE</t>
  </si>
  <si>
    <t>HR-LOSSRUNREPORT</t>
  </si>
  <si>
    <t>HR-PROPCASCLAIM</t>
  </si>
  <si>
    <t>HR-ACCREVBOARD</t>
  </si>
  <si>
    <t>HR-SAFETYTRAINING</t>
  </si>
  <si>
    <t>Retain &amp; develop: turnover rate by voluntary and involuntary</t>
  </si>
  <si>
    <t>Building Permits Issued Under Prop 123</t>
  </si>
  <si>
    <t>Total Residential Budilding Permits</t>
  </si>
  <si>
    <t>Total Regulated Affordable Housing Units</t>
  </si>
  <si>
    <t>PROS-PROP123</t>
  </si>
  <si>
    <t>PROS-RESBUILPERMIT</t>
  </si>
  <si>
    <t>PROS-REGULATEDUNITS</t>
  </si>
  <si>
    <t>Number of grants awarded Annually</t>
  </si>
  <si>
    <t>Local Spend from grants awarded Annually</t>
  </si>
  <si>
    <t>Annual URA Income as a rate of growth - broken out individually by URA and total</t>
  </si>
  <si>
    <t>Occupancy Rate (Year over Year Quarterly)</t>
  </si>
  <si>
    <t>Visitor Spend (Annual Year over Year)</t>
  </si>
  <si>
    <t>Total Nights on Tour Sales (annual)</t>
  </si>
  <si>
    <t>Welcome Center Door Count</t>
  </si>
  <si>
    <t>PROS-GRANTAWARDED</t>
  </si>
  <si>
    <t>PROS-LOCALSPEND</t>
  </si>
  <si>
    <t>PROS-URAINCOME</t>
  </si>
  <si>
    <t>PROS-OCCRATE</t>
  </si>
  <si>
    <t>PROS-VISITORSPEND</t>
  </si>
  <si>
    <t>PROS-NIGHTONTOUR</t>
  </si>
  <si>
    <t>PROS-WELCOMECENT</t>
  </si>
  <si>
    <t>All community events - segmented by total, produced and serviced.</t>
  </si>
  <si>
    <t>Number of Permits Issued (Activity, Parks, Banners)</t>
  </si>
  <si>
    <t>Comm survey- have you attended an event?</t>
  </si>
  <si>
    <t>PROS-ALLCOMMEVENTS</t>
  </si>
  <si>
    <t>PROS-PERMITNUM</t>
  </si>
  <si>
    <t>PROS-COMMSURVEY</t>
  </si>
  <si>
    <t>Benchmark is the goal of 99 by 2029</t>
  </si>
  <si>
    <t>Wildlife trends by type</t>
  </si>
  <si>
    <t>Citations Issued by kind (brings down number of incidents, traffic accidents, etc.)</t>
  </si>
  <si>
    <t>Total cases (CORE)</t>
  </si>
  <si>
    <t>Time to view case for Safe to Tell (could segment by type or solvability) - criminal vs school administrative issue</t>
  </si>
  <si>
    <t>Violent/property crime trend</t>
  </si>
  <si>
    <t xml:space="preserve">Traffic injury trend </t>
  </si>
  <si>
    <t>Fatal crash trend</t>
  </si>
  <si>
    <t>Response time - segmented into 911 and non emergent response</t>
  </si>
  <si>
    <t xml:space="preserve">Call volume - officer initiated vs citizen initiated </t>
  </si>
  <si>
    <t xml:space="preserve">Crime clearance rate - solvability by type. ticket, arrest, transfer out, etc. </t>
  </si>
  <si>
    <t>PD-VIOLENTPROPCRIME</t>
  </si>
  <si>
    <t>PD-TRAFFICINJURY</t>
  </si>
  <si>
    <t>PD-FATALCRASH</t>
  </si>
  <si>
    <t>PD-RESPONSETIME</t>
  </si>
  <si>
    <t>PD-CALLVOLUME</t>
  </si>
  <si>
    <t>PD-CRIMECLEARANCE</t>
  </si>
  <si>
    <t>Digital forensics processing (internal and external) - includes devices for other agencies</t>
  </si>
  <si>
    <t>Case Closure Rate by clearance code (cleared by arrest, inactive, etc.) - solvability percent - amount that ended in arrest vs the rest</t>
  </si>
  <si>
    <t>In custody felony reviews - increase in felony arrests by patrol</t>
  </si>
  <si>
    <t>CORA Requests Processed within specified time frame - PD specific</t>
  </si>
  <si>
    <t>Evidence Processed vs Discovery for DA (ratio)</t>
  </si>
  <si>
    <t>Cases/Records Processed trending (can compare to calls for service)</t>
  </si>
  <si>
    <t>Total Hours each property/records employee was spending per officer</t>
  </si>
  <si>
    <t>Backgrounds Completed vs people hired</t>
  </si>
  <si>
    <t>Drone as first responder</t>
  </si>
  <si>
    <t xml:space="preserve">Total incidents - officer initiatied/proactivity vs dispatch call for service by incident type? - outcome would be more proactivity. </t>
  </si>
  <si>
    <t>Proactive vs reactive time</t>
  </si>
  <si>
    <t>Officer initiated activity</t>
  </si>
  <si>
    <t>DUI Arrests</t>
  </si>
  <si>
    <t>PD-WILDLIFETRENDS</t>
  </si>
  <si>
    <t>PD-COMPLAINTS</t>
  </si>
  <si>
    <t>PD-CITATIONS</t>
  </si>
  <si>
    <t>Complaints (dog off leash in certain parks, ART, e-bikes, etc.) AND TRENDS</t>
  </si>
  <si>
    <t>PD-CORECASES</t>
  </si>
  <si>
    <t>PD-SAFETOTELL</t>
  </si>
  <si>
    <t>PD-INCIDENTS</t>
  </si>
  <si>
    <t>PD-PROACTIVETIME</t>
  </si>
  <si>
    <t>PD-OFFICERINITIATED</t>
  </si>
  <si>
    <t>PD-DUIARRESTS</t>
  </si>
  <si>
    <t>PD-DIGITALFORENSICS</t>
  </si>
  <si>
    <t>PD-CASECLOSURERATE</t>
  </si>
  <si>
    <t>PD-FELONYREVIEWS</t>
  </si>
  <si>
    <t>PD-CORAREQEUESTS</t>
  </si>
  <si>
    <t>PD-EVIDENCEFORDA</t>
  </si>
  <si>
    <t>PD-CASESPROCESSED</t>
  </si>
  <si>
    <t>PD-PROPERTYRECTIME</t>
  </si>
  <si>
    <t>PD-BGROUNDSVHIRED</t>
  </si>
  <si>
    <t>PD-DRONEASAFR</t>
  </si>
  <si>
    <t>p49,p104</t>
  </si>
  <si>
    <t>Special Operations - Community Support</t>
  </si>
  <si>
    <t>Chief of Police</t>
  </si>
  <si>
    <t>Prosperity Officer</t>
  </si>
  <si>
    <t>KPI count</t>
  </si>
  <si>
    <t>All data entered?</t>
  </si>
  <si>
    <t>Benchmark/ target entered?</t>
  </si>
  <si>
    <t>CAO</t>
  </si>
  <si>
    <t>CMO</t>
  </si>
  <si>
    <t>HR</t>
  </si>
  <si>
    <t>IT</t>
  </si>
  <si>
    <t>PD</t>
  </si>
  <si>
    <t>PIO</t>
  </si>
  <si>
    <t>Narrative added?</t>
  </si>
  <si>
    <t>Visual confirmation from dep?</t>
  </si>
  <si>
    <t xml:space="preserve">911 Answer Times; </t>
  </si>
  <si>
    <t xml:space="preserve">Quality Assurance; </t>
  </si>
  <si>
    <t xml:space="preserve">NFPA Drop Times; </t>
  </si>
  <si>
    <t>Complaint Resolution</t>
  </si>
  <si>
    <t>Community Satisfaction</t>
  </si>
  <si>
    <t xml:space="preserve">911 Services uptime (could roll up to system wide uptime under IT services); </t>
  </si>
  <si>
    <t>Staffing metrics: Vacancy, turnover, internal promotion?</t>
  </si>
  <si>
    <t>911-DISPATCHTIME</t>
  </si>
  <si>
    <t>911-QAQC</t>
  </si>
  <si>
    <t>911-NFPADROPTIME</t>
  </si>
  <si>
    <t>911-COMPLAINTRES</t>
  </si>
  <si>
    <t>911-COMSATISFACTION</t>
  </si>
  <si>
    <t>911-SERVICEUPTIME</t>
  </si>
  <si>
    <t>911-STAFFING</t>
  </si>
  <si>
    <t>OE</t>
  </si>
  <si>
    <t>COMDEV</t>
  </si>
  <si>
    <t>FIN</t>
  </si>
  <si>
    <t>AIR</t>
  </si>
  <si>
    <t>CLERK</t>
  </si>
  <si>
    <t>LIB</t>
  </si>
  <si>
    <t>PROSP</t>
  </si>
  <si>
    <t>PW</t>
  </si>
  <si>
    <t>TRAN</t>
  </si>
  <si>
    <t>All cataloged?</t>
  </si>
  <si>
    <t>See Click Fix requests</t>
  </si>
  <si>
    <t>Number of news releases posted within 24 hr of the meetings or event happening</t>
  </si>
  <si>
    <t>Website views + social media post link clicks + news letter open rate</t>
  </si>
  <si>
    <t>Number of post link clicks</t>
  </si>
  <si>
    <t>Social media audience growth</t>
  </si>
  <si>
    <t>PIO-SEECLICKFIX</t>
  </si>
  <si>
    <t>PIO-NEWSRELEASE</t>
  </si>
  <si>
    <t>PIO-VIEWERSHIP</t>
  </si>
  <si>
    <t>PIO-POSTLINKS</t>
  </si>
  <si>
    <t>PIO-AUDIENCEGROWTH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</si>
</sst>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color rgb="FF5B6B67"/>
      <name val="Arial"/>
      <family val="2"/>
    </font>
    <font>
      <i/>
      <sz val="9"/>
      <color rgb="FF5B6B67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  <scheme val="minor"/>
    </font>
    <font>
      <sz val="8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0"/>
      <name val="Calibri"/>
      <family val="2"/>
      <charset val="1"/>
    </font>
    <font>
      <sz val="11"/>
      <color theme="3"/>
      <name val="Calibri"/>
      <family val="2"/>
      <charset val="1"/>
    </font>
    <font>
      <sz val="10"/>
      <color rgb="FF14181F"/>
      <name val="Calibri"/>
      <family val="2"/>
      <charset val="1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006A53"/>
        <bgColor rgb="FF008080"/>
      </patternFill>
    </fill>
    <fill>
      <patternFill patternType="solid">
        <fgColor rgb="FFEAF2E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2" fillId="0" borderId="0" xfId="0" applyFont="1"/>
    <xf numFmtId="0" fontId="5" fillId="0" borderId="0" xfId="0" applyFont="1"/>
    <xf numFmtId="0" fontId="2" fillId="4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2" fillId="10" borderId="0" xfId="0" applyFont="1" applyFill="1" applyAlignment="1">
      <alignment vertical="top" wrapText="1"/>
    </xf>
    <xf numFmtId="0" fontId="1" fillId="0" borderId="0" xfId="0" applyFont="1"/>
    <xf numFmtId="49" fontId="2" fillId="14" borderId="0" xfId="0" applyNumberFormat="1" applyFont="1" applyFill="1" applyAlignment="1">
      <alignment vertical="top"/>
    </xf>
    <xf numFmtId="0" fontId="0" fillId="0" borderId="0" xfId="0" applyAlignment="1"/>
    <xf numFmtId="0" fontId="2" fillId="6" borderId="0" xfId="0" applyFont="1" applyFill="1" applyAlignment="1">
      <alignment vertical="top"/>
    </xf>
    <xf numFmtId="0" fontId="0" fillId="6" borderId="0" xfId="0" applyFill="1" applyAlignment="1"/>
    <xf numFmtId="0" fontId="0" fillId="0" borderId="0" xfId="0" applyAlignment="1">
      <alignment horizontal="center"/>
    </xf>
    <xf numFmtId="0" fontId="2" fillId="10" borderId="0" xfId="0" applyFont="1" applyFill="1" applyAlignment="1">
      <alignment horizontal="center" vertical="top" wrapText="1"/>
    </xf>
    <xf numFmtId="0" fontId="2" fillId="4" borderId="0" xfId="0" applyFont="1" applyFill="1" applyAlignment="1">
      <alignment horizontal="center" vertical="top" wrapText="1"/>
    </xf>
    <xf numFmtId="0" fontId="0" fillId="6" borderId="0" xfId="0" applyFill="1" applyAlignment="1">
      <alignment horizontal="center"/>
    </xf>
    <xf numFmtId="0" fontId="2" fillId="6" borderId="0" xfId="0" applyFont="1" applyFill="1" applyAlignment="1">
      <alignment horizontal="center" vertical="top"/>
    </xf>
    <xf numFmtId="49" fontId="2" fillId="6" borderId="0" xfId="0" applyNumberFormat="1" applyFont="1" applyFill="1" applyAlignment="1">
      <alignment horizontal="center" vertical="top"/>
    </xf>
    <xf numFmtId="0" fontId="2" fillId="6" borderId="0" xfId="0" applyFont="1" applyFill="1" applyAlignment="1">
      <alignment horizontal="center" vertical="top" wrapText="1"/>
    </xf>
    <xf numFmtId="49" fontId="1" fillId="6" borderId="0" xfId="0" applyNumberFormat="1" applyFont="1" applyFill="1" applyAlignment="1">
      <alignment horizontal="center" vertical="top"/>
    </xf>
    <xf numFmtId="0" fontId="1" fillId="6" borderId="0" xfId="0" applyFont="1" applyFill="1" applyAlignment="1">
      <alignment horizontal="center" vertical="top"/>
    </xf>
    <xf numFmtId="49" fontId="2" fillId="14" borderId="0" xfId="0" applyNumberFormat="1" applyFont="1" applyFill="1" applyAlignment="1">
      <alignment horizontal="center" vertical="top"/>
    </xf>
    <xf numFmtId="0" fontId="2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vertical="top"/>
    </xf>
    <xf numFmtId="0" fontId="1" fillId="8" borderId="0" xfId="0" applyFont="1" applyFill="1" applyAlignment="1">
      <alignment horizontal="center" wrapText="1"/>
    </xf>
    <xf numFmtId="0" fontId="1" fillId="12" borderId="0" xfId="0" applyFont="1" applyFill="1" applyAlignment="1">
      <alignment horizont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wrapText="1"/>
    </xf>
    <xf numFmtId="0" fontId="2" fillId="6" borderId="0" xfId="0" applyFont="1" applyFill="1" applyAlignment="1"/>
    <xf numFmtId="0" fontId="1" fillId="8" borderId="0" xfId="0" applyFont="1" applyFill="1" applyAlignment="1">
      <alignment wrapText="1"/>
    </xf>
    <xf numFmtId="0" fontId="1" fillId="12" borderId="0" xfId="0" applyFont="1" applyFill="1" applyAlignment="1">
      <alignment wrapText="1"/>
    </xf>
    <xf numFmtId="0" fontId="2" fillId="0" borderId="0" xfId="0" applyFont="1" applyAlignment="1"/>
    <xf numFmtId="0" fontId="3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top"/>
    </xf>
    <xf numFmtId="0" fontId="7" fillId="4" borderId="0" xfId="0" applyFont="1" applyFill="1" applyAlignment="1">
      <alignment horizontal="left"/>
    </xf>
    <xf numFmtId="0" fontId="2" fillId="4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49" fontId="2" fillId="4" borderId="0" xfId="0" applyNumberFormat="1" applyFont="1" applyFill="1" applyAlignment="1">
      <alignment horizontal="left" vertical="top"/>
    </xf>
    <xf numFmtId="0" fontId="0" fillId="4" borderId="0" xfId="0" applyFill="1" applyAlignment="1">
      <alignment horizontal="left"/>
    </xf>
    <xf numFmtId="49" fontId="1" fillId="4" borderId="0" xfId="0" applyNumberFormat="1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7" fillId="6" borderId="0" xfId="0" applyFont="1" applyFill="1" applyAlignment="1">
      <alignment horizontal="left"/>
    </xf>
    <xf numFmtId="0" fontId="4" fillId="7" borderId="0" xfId="0" applyFont="1" applyFill="1" applyAlignment="1">
      <alignment horizontal="left" vertical="top"/>
    </xf>
    <xf numFmtId="49" fontId="2" fillId="6" borderId="0" xfId="0" applyNumberFormat="1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0" fillId="6" borderId="0" xfId="0" applyFill="1" applyAlignment="1">
      <alignment horizontal="left"/>
    </xf>
    <xf numFmtId="49" fontId="1" fillId="6" borderId="0" xfId="0" applyNumberFormat="1" applyFont="1" applyFill="1" applyAlignment="1">
      <alignment horizontal="left" vertical="top"/>
    </xf>
    <xf numFmtId="0" fontId="1" fillId="8" borderId="0" xfId="0" applyFont="1" applyFill="1" applyAlignment="1">
      <alignment horizontal="left" vertical="top"/>
    </xf>
    <xf numFmtId="0" fontId="6" fillId="8" borderId="0" xfId="0" applyFont="1" applyFill="1" applyAlignment="1">
      <alignment horizontal="left"/>
    </xf>
    <xf numFmtId="0" fontId="2" fillId="8" borderId="0" xfId="0" applyFont="1" applyFill="1" applyAlignment="1">
      <alignment horizontal="left" vertical="top"/>
    </xf>
    <xf numFmtId="0" fontId="4" fillId="9" borderId="0" xfId="0" applyFont="1" applyFill="1" applyAlignment="1">
      <alignment horizontal="left" vertical="top"/>
    </xf>
    <xf numFmtId="49" fontId="1" fillId="8" borderId="0" xfId="0" applyNumberFormat="1" applyFont="1" applyFill="1" applyAlignment="1">
      <alignment horizontal="left" vertical="top"/>
    </xf>
    <xf numFmtId="0" fontId="0" fillId="8" borderId="0" xfId="0" applyFill="1" applyAlignment="1">
      <alignment horizontal="left"/>
    </xf>
    <xf numFmtId="49" fontId="2" fillId="8" borderId="0" xfId="0" applyNumberFormat="1" applyFont="1" applyFill="1" applyAlignment="1">
      <alignment horizontal="left" vertical="top"/>
    </xf>
    <xf numFmtId="0" fontId="1" fillId="10" borderId="0" xfId="0" applyFont="1" applyFill="1" applyAlignment="1">
      <alignment horizontal="left" vertical="top"/>
    </xf>
    <xf numFmtId="0" fontId="6" fillId="10" borderId="0" xfId="0" applyFont="1" applyFill="1" applyAlignment="1">
      <alignment horizontal="left"/>
    </xf>
    <xf numFmtId="0" fontId="2" fillId="10" borderId="0" xfId="0" applyFont="1" applyFill="1" applyAlignment="1">
      <alignment horizontal="left" vertical="top"/>
    </xf>
    <xf numFmtId="0" fontId="4" fillId="11" borderId="0" xfId="0" applyFont="1" applyFill="1" applyAlignment="1">
      <alignment horizontal="left" vertical="top"/>
    </xf>
    <xf numFmtId="49" fontId="2" fillId="10" borderId="0" xfId="0" applyNumberFormat="1" applyFont="1" applyFill="1" applyAlignment="1">
      <alignment horizontal="left" vertical="top"/>
    </xf>
    <xf numFmtId="0" fontId="0" fillId="10" borderId="0" xfId="0" applyFill="1" applyAlignment="1">
      <alignment horizontal="left"/>
    </xf>
    <xf numFmtId="49" fontId="1" fillId="10" borderId="0" xfId="0" applyNumberFormat="1" applyFont="1" applyFill="1" applyAlignment="1">
      <alignment horizontal="left" vertical="top"/>
    </xf>
    <xf numFmtId="0" fontId="1" fillId="12" borderId="0" xfId="0" applyFont="1" applyFill="1" applyAlignment="1">
      <alignment horizontal="left" vertical="top"/>
    </xf>
    <xf numFmtId="0" fontId="2" fillId="12" borderId="0" xfId="0" applyFont="1" applyFill="1" applyAlignment="1">
      <alignment horizontal="left" vertical="top"/>
    </xf>
    <xf numFmtId="0" fontId="4" fillId="13" borderId="0" xfId="0" applyFont="1" applyFill="1" applyAlignment="1">
      <alignment horizontal="left" vertical="top"/>
    </xf>
    <xf numFmtId="49" fontId="1" fillId="12" borderId="0" xfId="0" applyNumberFormat="1" applyFont="1" applyFill="1" applyAlignment="1">
      <alignment horizontal="left" vertical="top"/>
    </xf>
    <xf numFmtId="0" fontId="0" fillId="12" borderId="0" xfId="0" applyFill="1" applyAlignment="1">
      <alignment horizontal="left"/>
    </xf>
    <xf numFmtId="0" fontId="1" fillId="14" borderId="0" xfId="0" applyFont="1" applyFill="1" applyAlignment="1">
      <alignment horizontal="left" vertical="top"/>
    </xf>
    <xf numFmtId="0" fontId="2" fillId="14" borderId="0" xfId="0" applyFont="1" applyFill="1" applyAlignment="1">
      <alignment horizontal="left" vertical="top"/>
    </xf>
    <xf numFmtId="0" fontId="4" fillId="15" borderId="0" xfId="0" applyFont="1" applyFill="1" applyAlignment="1">
      <alignment horizontal="left" vertical="top"/>
    </xf>
    <xf numFmtId="49" fontId="1" fillId="14" borderId="0" xfId="0" applyNumberFormat="1" applyFont="1" applyFill="1" applyAlignment="1">
      <alignment horizontal="left" vertical="top"/>
    </xf>
    <xf numFmtId="0" fontId="0" fillId="14" borderId="0" xfId="0" applyFill="1" applyAlignment="1">
      <alignment horizontal="left"/>
    </xf>
    <xf numFmtId="49" fontId="2" fillId="14" borderId="0" xfId="0" applyNumberFormat="1" applyFont="1" applyFill="1" applyAlignment="1">
      <alignment horizontal="left" vertical="top"/>
    </xf>
    <xf numFmtId="0" fontId="0" fillId="16" borderId="0" xfId="0" applyFill="1" applyAlignment="1">
      <alignment horizontal="left"/>
    </xf>
    <xf numFmtId="0" fontId="1" fillId="16" borderId="0" xfId="0" applyFont="1" applyFill="1" applyAlignment="1">
      <alignment horizontal="left" vertical="top"/>
    </xf>
    <xf numFmtId="0" fontId="6" fillId="16" borderId="0" xfId="0" applyFont="1" applyFill="1" applyAlignment="1">
      <alignment horizontal="left"/>
    </xf>
    <xf numFmtId="0" fontId="2" fillId="16" borderId="0" xfId="0" applyFont="1" applyFill="1" applyAlignment="1">
      <alignment horizontal="left" vertical="top"/>
    </xf>
    <xf numFmtId="0" fontId="4" fillId="17" borderId="0" xfId="0" applyFont="1" applyFill="1" applyAlignment="1">
      <alignment horizontal="left" vertical="top"/>
    </xf>
    <xf numFmtId="49" fontId="2" fillId="16" borderId="0" xfId="0" applyNumberFormat="1" applyFont="1" applyFill="1" applyAlignment="1">
      <alignment horizontal="left" vertical="top"/>
    </xf>
    <xf numFmtId="49" fontId="1" fillId="16" borderId="0" xfId="0" applyNumberFormat="1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18" borderId="0" xfId="0" applyFill="1" applyAlignment="1">
      <alignment horizontal="left"/>
    </xf>
    <xf numFmtId="0" fontId="1" fillId="18" borderId="0" xfId="0" applyFont="1" applyFill="1" applyAlignment="1">
      <alignment horizontal="left" vertical="top"/>
    </xf>
    <xf numFmtId="0" fontId="6" fillId="20" borderId="0" xfId="0" applyFont="1" applyFill="1"/>
    <xf numFmtId="0" fontId="2" fillId="18" borderId="0" xfId="0" applyFont="1" applyFill="1" applyAlignment="1">
      <alignment horizontal="left" vertical="top"/>
    </xf>
    <xf numFmtId="0" fontId="4" fillId="19" borderId="0" xfId="0" applyFont="1" applyFill="1" applyAlignment="1">
      <alignment horizontal="left" vertical="top"/>
    </xf>
    <xf numFmtId="49" fontId="2" fillId="18" borderId="0" xfId="0" applyNumberFormat="1" applyFont="1" applyFill="1" applyAlignment="1">
      <alignment horizontal="left" vertical="top"/>
    </xf>
    <xf numFmtId="49" fontId="1" fillId="18" borderId="0" xfId="0" applyNumberFormat="1" applyFont="1" applyFill="1" applyAlignment="1">
      <alignment horizontal="left" vertical="top"/>
    </xf>
    <xf numFmtId="0" fontId="11" fillId="21" borderId="0" xfId="0" applyFont="1" applyFill="1"/>
    <xf numFmtId="0" fontId="11" fillId="21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6" fillId="4" borderId="0" xfId="0" applyFont="1" applyFill="1" applyAlignment="1">
      <alignment wrapText="1"/>
    </xf>
    <xf numFmtId="0" fontId="6" fillId="4" borderId="0" xfId="0" applyFont="1" applyFill="1"/>
    <xf numFmtId="0" fontId="0" fillId="22" borderId="0" xfId="0" applyFill="1"/>
    <xf numFmtId="0" fontId="13" fillId="0" borderId="0" xfId="0" applyFont="1" applyAlignment="1">
      <alignment horizontal="center"/>
    </xf>
  </cellXfs>
  <cellStyles count="1">
    <cellStyle name="Normal" xfId="0" builtinId="0"/>
  </cellStyles>
  <dxfs count="3"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charset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indexed="64"/>
          <bgColor theme="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A53"/>
      <rgbColor rgb="FFC0C0C0"/>
      <rgbColor rgb="FF808080"/>
      <rgbColor rgb="FF9999FF"/>
      <rgbColor rgb="FF993366"/>
      <rgbColor rgb="FFEAF2E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67"/>
      <rgbColor rgb="FF969696"/>
      <rgbColor rgb="FF004E3D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010235-E057-2942-A1B5-AE73243F41DF}" name="Table1" displayName="Table1" ref="A1:G17" totalsRowShown="0" headerRowDxfId="2">
  <autoFilter ref="A1:G17" xr:uid="{F6010235-E057-2942-A1B5-AE73243F41DF}"/>
  <sortState xmlns:xlrd2="http://schemas.microsoft.com/office/spreadsheetml/2017/richdata2" ref="A2:G17">
    <sortCondition descending="1" ref="B1:B17"/>
  </sortState>
  <tableColumns count="7">
    <tableColumn id="1" xr3:uid="{28D3DCE9-645E-CE43-974D-5631F77FF2C9}" name="Dept" dataDxfId="1"/>
    <tableColumn id="2" xr3:uid="{E3F1F381-40D3-CB46-92A5-8AF2EF06C06C}" name="KPI count" dataDxfId="0">
      <calculatedColumnFormula>COUNTIF('KPI Catalog'!A:A, A2)</calculatedColumnFormula>
    </tableColumn>
    <tableColumn id="3" xr3:uid="{735B4331-B890-754E-BBEB-5ECC83E6D5E6}" name="All cataloged?"/>
    <tableColumn id="4" xr3:uid="{7EDC2B91-0F2A-DF43-982C-A6B2FF4DE979}" name="All data entered?"/>
    <tableColumn id="5" xr3:uid="{3B38CE37-1063-4345-B6C8-CEEA56DB4AA7}" name="Benchmark/ target entered?"/>
    <tableColumn id="6" xr3:uid="{4FA3F63C-2D7A-B448-AABE-E2D1D3B6D604}" name="Narrative added?"/>
    <tableColumn id="7" xr3:uid="{8F1F645F-3B19-034F-90D2-E8C133D0B5EC}" name="Visual confirmation from dep?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tabSelected="1" zoomScaleNormal="100" workbookViewId="0">
      <selection activeCell="D13" sqref="D13"/>
    </sheetView>
  </sheetViews>
  <sheetFormatPr baseColWidth="10" defaultColWidth="8.6640625" defaultRowHeight="15" x14ac:dyDescent="0.2"/>
  <cols>
    <col min="1" max="1" width="9.33203125" style="13" bestFit="1" customWidth="1"/>
    <col min="2" max="2" width="10.83203125" style="13" customWidth="1"/>
    <col min="3" max="3" width="14.5" bestFit="1" customWidth="1"/>
    <col min="4" max="4" width="16.83203125" customWidth="1"/>
    <col min="5" max="5" width="25.5" customWidth="1"/>
    <col min="6" max="6" width="16.6640625" customWidth="1"/>
    <col min="7" max="7" width="26.6640625" customWidth="1"/>
  </cols>
  <sheetData>
    <row r="1" spans="1:7" x14ac:dyDescent="0.2">
      <c r="A1" s="91" t="s">
        <v>467</v>
      </c>
      <c r="B1" s="91" t="s">
        <v>588</v>
      </c>
      <c r="C1" s="90" t="s">
        <v>622</v>
      </c>
      <c r="D1" s="90" t="s">
        <v>589</v>
      </c>
      <c r="E1" s="90" t="s">
        <v>590</v>
      </c>
      <c r="F1" s="90" t="s">
        <v>597</v>
      </c>
      <c r="G1" s="90" t="s">
        <v>598</v>
      </c>
    </row>
    <row r="2" spans="1:7" x14ac:dyDescent="0.2">
      <c r="A2" s="92" t="s">
        <v>595</v>
      </c>
      <c r="B2" s="96">
        <f>COUNTIF('KPI Catalog'!A:A, A2)</f>
        <v>24</v>
      </c>
      <c r="C2" s="95"/>
    </row>
    <row r="3" spans="1:7" x14ac:dyDescent="0.2">
      <c r="A3" s="92" t="s">
        <v>593</v>
      </c>
      <c r="B3" s="96">
        <f>COUNTIF('KPI Catalog'!A:A, A3)</f>
        <v>20</v>
      </c>
      <c r="C3" s="95"/>
    </row>
    <row r="4" spans="1:7" x14ac:dyDescent="0.2">
      <c r="A4" s="92" t="s">
        <v>617</v>
      </c>
      <c r="B4" s="96">
        <f>COUNTIF('KPI Catalog'!A:A, A4)</f>
        <v>9</v>
      </c>
    </row>
    <row r="5" spans="1:7" x14ac:dyDescent="0.2">
      <c r="A5" s="92" t="s">
        <v>618</v>
      </c>
      <c r="B5" s="96">
        <f>COUNTIF('KPI Catalog'!A:A, A5)</f>
        <v>9</v>
      </c>
    </row>
    <row r="6" spans="1:7" x14ac:dyDescent="0.2">
      <c r="A6" s="92">
        <v>911</v>
      </c>
      <c r="B6" s="96">
        <f>COUNTIF('KPI Catalog'!A:A, A6)</f>
        <v>7</v>
      </c>
      <c r="C6" s="95"/>
    </row>
    <row r="7" spans="1:7" x14ac:dyDescent="0.2">
      <c r="A7" s="92" t="s">
        <v>621</v>
      </c>
      <c r="B7" s="96">
        <f>COUNTIF('KPI Catalog'!A:A, A7)</f>
        <v>7</v>
      </c>
    </row>
    <row r="8" spans="1:7" x14ac:dyDescent="0.2">
      <c r="A8" s="92" t="s">
        <v>596</v>
      </c>
      <c r="B8" s="96">
        <f>COUNTIF('KPI Catalog'!A:A, A8)</f>
        <v>6</v>
      </c>
    </row>
    <row r="9" spans="1:7" x14ac:dyDescent="0.2">
      <c r="A9" s="92" t="s">
        <v>594</v>
      </c>
      <c r="B9" s="96">
        <f>COUNTIF('KPI Catalog'!A:A, A9)</f>
        <v>4</v>
      </c>
    </row>
    <row r="10" spans="1:7" x14ac:dyDescent="0.2">
      <c r="A10" s="92" t="s">
        <v>616</v>
      </c>
      <c r="B10" s="96">
        <f>COUNTIF('KPI Catalog'!A:A, A10)</f>
        <v>0</v>
      </c>
    </row>
    <row r="11" spans="1:7" x14ac:dyDescent="0.2">
      <c r="A11" s="92" t="s">
        <v>591</v>
      </c>
      <c r="B11" s="96">
        <f>COUNTIF('KPI Catalog'!A:A, A11)</f>
        <v>0</v>
      </c>
    </row>
    <row r="12" spans="1:7" x14ac:dyDescent="0.2">
      <c r="A12" s="92" t="s">
        <v>592</v>
      </c>
      <c r="B12" s="96">
        <f>COUNTIF('KPI Catalog'!A:A, A12)</f>
        <v>0</v>
      </c>
    </row>
    <row r="13" spans="1:7" x14ac:dyDescent="0.2">
      <c r="A13" s="92" t="s">
        <v>613</v>
      </c>
      <c r="B13" s="96">
        <f>COUNTIF('KPI Catalog'!A:A, A13)</f>
        <v>0</v>
      </c>
    </row>
    <row r="14" spans="1:7" x14ac:dyDescent="0.2">
      <c r="A14" s="92" t="s">
        <v>614</v>
      </c>
      <c r="B14" s="96">
        <f>COUNTIF('KPI Catalog'!A:A, A14)</f>
        <v>0</v>
      </c>
    </row>
    <row r="15" spans="1:7" x14ac:dyDescent="0.2">
      <c r="A15" s="92" t="s">
        <v>615</v>
      </c>
      <c r="B15" s="96">
        <f>COUNTIF('KPI Catalog'!A:A, A15)</f>
        <v>0</v>
      </c>
    </row>
    <row r="16" spans="1:7" x14ac:dyDescent="0.2">
      <c r="A16" s="92" t="s">
        <v>619</v>
      </c>
      <c r="B16" s="96">
        <f>COUNTIF('KPI Catalog'!A:A, A16)</f>
        <v>0</v>
      </c>
    </row>
    <row r="17" spans="1:2" x14ac:dyDescent="0.2">
      <c r="A17" s="92" t="s">
        <v>620</v>
      </c>
      <c r="B17" s="96">
        <f>COUNTIF('KPI Catalog'!A:A, A17)</f>
        <v>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98"/>
  <sheetViews>
    <sheetView zoomScale="90" zoomScaleNormal="90" workbookViewId="0">
      <pane ySplit="1" topLeftCell="A2" activePane="bottomLeft" state="frozen"/>
      <selection pane="bottomLeft" activeCell="F23" sqref="F23"/>
    </sheetView>
  </sheetViews>
  <sheetFormatPr baseColWidth="10" defaultColWidth="8.6640625" defaultRowHeight="15" x14ac:dyDescent="0.2"/>
  <cols>
    <col min="1" max="1" width="8.6640625" style="27"/>
    <col min="2" max="2" width="21.6640625" style="27" bestFit="1" customWidth="1"/>
    <col min="3" max="3" width="67.5" style="27" customWidth="1"/>
    <col min="4" max="4" width="10.33203125" style="27" bestFit="1" customWidth="1"/>
    <col min="5" max="5" width="16.33203125" style="27" bestFit="1" customWidth="1"/>
    <col min="6" max="6" width="36.5" style="27" bestFit="1" customWidth="1"/>
    <col min="7" max="7" width="15.1640625" style="27" bestFit="1" customWidth="1"/>
    <col min="8" max="8" width="47.5" style="27" bestFit="1" customWidth="1"/>
    <col min="9" max="9" width="7" style="27" bestFit="1" customWidth="1"/>
    <col min="10" max="10" width="8.83203125" style="27" bestFit="1" customWidth="1"/>
    <col min="11" max="11" width="13.83203125" style="27" bestFit="1" customWidth="1"/>
    <col min="12" max="12" width="14.83203125" style="27" bestFit="1" customWidth="1"/>
    <col min="13" max="13" width="16.33203125" style="27" bestFit="1" customWidth="1"/>
    <col min="14" max="14" width="17.5" style="27" bestFit="1" customWidth="1"/>
    <col min="15" max="15" width="12.1640625" style="27" bestFit="1" customWidth="1"/>
    <col min="16" max="16" width="16" style="27" bestFit="1" customWidth="1"/>
    <col min="17" max="17" width="21.6640625" style="27" bestFit="1" customWidth="1"/>
    <col min="18" max="18" width="31.83203125" style="27" bestFit="1" customWidth="1"/>
    <col min="19" max="19" width="77.33203125" style="27" bestFit="1" customWidth="1"/>
    <col min="20" max="20" width="8.1640625" style="27" bestFit="1" customWidth="1"/>
    <col min="21" max="16384" width="8.6640625" style="27"/>
  </cols>
  <sheetData>
    <row r="1" spans="1:20" x14ac:dyDescent="0.2">
      <c r="A1" s="33" t="s">
        <v>467</v>
      </c>
      <c r="B1" s="33" t="s">
        <v>5</v>
      </c>
      <c r="C1" s="33" t="s">
        <v>14</v>
      </c>
      <c r="D1" s="33" t="s">
        <v>0</v>
      </c>
      <c r="E1" s="33" t="s">
        <v>1</v>
      </c>
      <c r="F1" s="33" t="s">
        <v>2</v>
      </c>
      <c r="G1" s="33" t="s">
        <v>3</v>
      </c>
      <c r="H1" s="33" t="s">
        <v>4</v>
      </c>
      <c r="I1" s="33" t="s">
        <v>15</v>
      </c>
      <c r="J1" s="33" t="s">
        <v>16</v>
      </c>
      <c r="K1" s="33" t="s">
        <v>17</v>
      </c>
      <c r="L1" s="33" t="s">
        <v>12</v>
      </c>
      <c r="M1" s="33" t="s">
        <v>18</v>
      </c>
      <c r="N1" s="33" t="s">
        <v>19</v>
      </c>
      <c r="O1" s="33" t="s">
        <v>13</v>
      </c>
      <c r="P1" s="33" t="s">
        <v>20</v>
      </c>
      <c r="Q1" s="33" t="s">
        <v>21</v>
      </c>
      <c r="R1" s="33" t="s">
        <v>22</v>
      </c>
      <c r="S1" s="33" t="s">
        <v>23</v>
      </c>
      <c r="T1" s="33" t="s">
        <v>24</v>
      </c>
    </row>
    <row r="2" spans="1:20" s="39" customFormat="1" ht="17" customHeight="1" x14ac:dyDescent="0.2">
      <c r="A2" s="34" t="str">
        <f>LEFT(B2, FIND("-", B2) - 1)</f>
        <v>HR</v>
      </c>
      <c r="B2" s="34" t="s">
        <v>392</v>
      </c>
      <c r="C2" s="35" t="s">
        <v>25</v>
      </c>
      <c r="D2" s="36" t="s">
        <v>26</v>
      </c>
      <c r="E2" s="36" t="s">
        <v>27</v>
      </c>
      <c r="F2" s="37" t="str">
        <f>IF(E2="","",IFERROR(IF(INDEX('Dashboard Items'!$B$2:$B$497,MATCH(E2,'Dashboard Items'!$A$2:$A$497,0))="Objective","Objectives go in the next column",IF(OR(D2="",INDEX('Dashboard Items'!$B$2:$B$497,MATCH(E2,'Dashboard Items'!$A$2:$A$497,0))=D2),INDEX('Dashboard Items'!$C$2:$C$497,MATCH(E2,'Dashboard Items'!$A$2:$A$497,0)),"Level does not match ID")),"ID not found"))</f>
        <v>Human Resources &amp; Workforce Development</v>
      </c>
      <c r="G2" s="38" t="s">
        <v>28</v>
      </c>
      <c r="H2" s="37" t="str">
        <f>IF(G2="","",IF(ISNUMBER(SEARCH(",",G2)),"Several items (the script lists them)",IFERROR(INDEX('Dashboard Items'!$B$2:$B$497,MATCH(G2,'Dashboard Items'!$A$2:$A$497,0))&amp;": "&amp;INDEX('Dashboard Items'!$C$2:$C$497,MATCH(G2,'Dashboard Items'!$A$2:$A$497,0)),"ID not found")))</f>
        <v>Objective: 6.1 Employee Growth and Retention</v>
      </c>
      <c r="I2" s="36" t="s">
        <v>29</v>
      </c>
      <c r="J2" s="36">
        <v>1</v>
      </c>
      <c r="K2" s="36" t="s">
        <v>30</v>
      </c>
      <c r="L2" s="36" t="s">
        <v>9</v>
      </c>
      <c r="M2" s="36">
        <v>5</v>
      </c>
      <c r="N2" s="36">
        <v>15</v>
      </c>
      <c r="O2" s="36" t="s">
        <v>30</v>
      </c>
      <c r="P2" s="36" t="s">
        <v>31</v>
      </c>
      <c r="Q2" s="34" t="s">
        <v>388</v>
      </c>
      <c r="R2" s="36" t="s">
        <v>32</v>
      </c>
      <c r="S2" s="36" t="s">
        <v>33</v>
      </c>
      <c r="T2" s="36"/>
    </row>
    <row r="3" spans="1:20" s="39" customFormat="1" ht="16" x14ac:dyDescent="0.2">
      <c r="A3" s="34" t="str">
        <f>LEFT(B3, FIND("-", B3) - 1)</f>
        <v>HR</v>
      </c>
      <c r="B3" s="34" t="s">
        <v>391</v>
      </c>
      <c r="C3" s="35" t="s">
        <v>479</v>
      </c>
      <c r="D3" s="36" t="s">
        <v>26</v>
      </c>
      <c r="E3" s="34" t="s">
        <v>27</v>
      </c>
      <c r="F3" s="37" t="str">
        <f>IF(E3="","",IFERROR(IF(INDEX('Dashboard Items'!$B$2:$B$497,MATCH(E3,'Dashboard Items'!$A$2:$A$497,0))="Objective","Objectives go in the next column",IF(OR(D3="",INDEX('Dashboard Items'!$B$2:$B$497,MATCH(E3,'Dashboard Items'!$A$2:$A$497,0))=D3),INDEX('Dashboard Items'!$C$2:$C$497,MATCH(E3,'Dashboard Items'!$A$2:$A$497,0)),"Level does not match ID")),"ID not found"))</f>
        <v>Human Resources &amp; Workforce Development</v>
      </c>
      <c r="G3" s="40" t="s">
        <v>146</v>
      </c>
      <c r="H3" s="37" t="str">
        <f>IF(G3="","",IF(ISNUMBER(SEARCH(",",G3)),"Several items (the script lists them)",IFERROR(INDEX('Dashboard Items'!$B$2:$B$497,MATCH(G3,'Dashboard Items'!$A$2:$A$497,0))&amp;": "&amp;INDEX('Dashboard Items'!$C$2:$C$497,MATCH(G3,'Dashboard Items'!$A$2:$A$497,0)),"ID not found")))</f>
        <v>Program: Recruitment and Retention</v>
      </c>
      <c r="I3" s="36"/>
      <c r="J3" s="36"/>
      <c r="K3" s="36"/>
      <c r="L3" s="36"/>
      <c r="M3" s="36"/>
      <c r="N3" s="36"/>
      <c r="O3" s="36"/>
      <c r="P3" s="36"/>
      <c r="Q3" s="34" t="s">
        <v>393</v>
      </c>
      <c r="R3" s="36"/>
      <c r="S3" s="36"/>
      <c r="T3" s="36"/>
    </row>
    <row r="4" spans="1:20" s="39" customFormat="1" ht="16" x14ac:dyDescent="0.2">
      <c r="A4" s="34" t="str">
        <f>LEFT(B4, FIND("-", B4) - 1)</f>
        <v>HR</v>
      </c>
      <c r="B4" s="34" t="s">
        <v>495</v>
      </c>
      <c r="C4" s="35" t="s">
        <v>508</v>
      </c>
      <c r="D4" s="36" t="s">
        <v>26</v>
      </c>
      <c r="E4" s="34" t="s">
        <v>27</v>
      </c>
      <c r="F4" s="37" t="str">
        <f>IF(E4="","",IFERROR(IF(INDEX('Dashboard Items'!$B$2:$B$497,MATCH(E4,'Dashboard Items'!$A$2:$A$497,0))="Objective","Objectives go in the next column",IF(OR(D4="",INDEX('Dashboard Items'!$B$2:$B$497,MATCH(E4,'Dashboard Items'!$A$2:$A$497,0))=D4),INDEX('Dashboard Items'!$C$2:$C$497,MATCH(E4,'Dashboard Items'!$A$2:$A$497,0)),"Level does not match ID")),"ID not found"))</f>
        <v>Human Resources &amp; Workforce Development</v>
      </c>
      <c r="G4" s="40" t="s">
        <v>146</v>
      </c>
      <c r="H4" s="37" t="str">
        <f>IF(G4="","",IF(ISNUMBER(SEARCH(",",G4)),"Several items (the script lists them)",IFERROR(INDEX('Dashboard Items'!$B$2:$B$497,MATCH(G4,'Dashboard Items'!$A$2:$A$497,0))&amp;": "&amp;INDEX('Dashboard Items'!$C$2:$C$497,MATCH(G4,'Dashboard Items'!$A$2:$A$497,0)),"ID not found")))</f>
        <v>Program: Recruitment and Retention</v>
      </c>
      <c r="I4" s="36"/>
      <c r="J4" s="36"/>
      <c r="K4" s="36"/>
      <c r="L4" s="36"/>
      <c r="M4" s="36"/>
      <c r="N4" s="36"/>
      <c r="O4" s="36"/>
      <c r="P4" s="36"/>
      <c r="Q4" s="34"/>
      <c r="R4" s="36"/>
      <c r="S4" s="36"/>
      <c r="T4" s="36"/>
    </row>
    <row r="5" spans="1:20" s="39" customFormat="1" ht="16" x14ac:dyDescent="0.2">
      <c r="A5" s="34" t="str">
        <f t="shared" ref="A5:A7" si="0">LEFT(B5, FIND("-", B5) - 1)</f>
        <v>HR</v>
      </c>
      <c r="B5" s="34" t="s">
        <v>485</v>
      </c>
      <c r="C5" s="35" t="s">
        <v>473</v>
      </c>
      <c r="D5" s="36" t="s">
        <v>36</v>
      </c>
      <c r="E5" s="34" t="s">
        <v>144</v>
      </c>
      <c r="F5" s="37" t="str">
        <f>IF(E5="","",IFERROR(IF(INDEX('Dashboard Items'!$B$2:$B$497,MATCH(E5,'Dashboard Items'!$A$2:$A$497,0))="Objective","Objectives go in the next column",IF(OR(D5="",INDEX('Dashboard Items'!$B$2:$B$497,MATCH(E5,'Dashboard Items'!$A$2:$A$497,0))=D5),INDEX('Dashboard Items'!$C$2:$C$497,MATCH(E5,'Dashboard Items'!$A$2:$A$497,0)),"Level does not match ID")),"ID not found"))</f>
        <v>Learning and Development</v>
      </c>
      <c r="G5" s="38"/>
      <c r="H5" s="37" t="str">
        <f>IF(G5="","",IF(ISNUMBER(SEARCH(",",G5)),"Several items (the script lists them)",IFERROR(INDEX('Dashboard Items'!$B$2:$B$497,MATCH(G5,'Dashboard Items'!$A$2:$A$497,0))&amp;": "&amp;INDEX('Dashboard Items'!$C$2:$C$497,MATCH(G5,'Dashboard Items'!$A$2:$A$497,0)),"ID not found")))</f>
        <v/>
      </c>
      <c r="I5" s="36"/>
      <c r="J5" s="36"/>
      <c r="K5" s="36"/>
      <c r="L5" s="36"/>
      <c r="M5" s="36"/>
      <c r="N5" s="36"/>
      <c r="O5" s="36"/>
      <c r="P5" s="36"/>
      <c r="Q5" s="34"/>
      <c r="R5" s="36"/>
      <c r="S5" s="36"/>
      <c r="T5" s="36"/>
    </row>
    <row r="6" spans="1:20" s="39" customFormat="1" ht="16" x14ac:dyDescent="0.2">
      <c r="A6" s="34" t="str">
        <f t="shared" si="0"/>
        <v>HR</v>
      </c>
      <c r="B6" s="34" t="s">
        <v>486</v>
      </c>
      <c r="C6" s="35" t="s">
        <v>474</v>
      </c>
      <c r="D6" s="36" t="s">
        <v>36</v>
      </c>
      <c r="E6" s="34" t="s">
        <v>144</v>
      </c>
      <c r="F6" s="37" t="str">
        <f>IF(E6="","",IFERROR(IF(INDEX('Dashboard Items'!$B$2:$B$497,MATCH(E6,'Dashboard Items'!$A$2:$A$497,0))="Objective","Objectives go in the next column",IF(OR(D6="",INDEX('Dashboard Items'!$B$2:$B$497,MATCH(E6,'Dashboard Items'!$A$2:$A$497,0))=D6),INDEX('Dashboard Items'!$C$2:$C$497,MATCH(E6,'Dashboard Items'!$A$2:$A$497,0)),"Level does not match ID")),"ID not found"))</f>
        <v>Learning and Development</v>
      </c>
      <c r="G6" s="38"/>
      <c r="H6" s="37" t="str">
        <f>IF(G6="","",IF(ISNUMBER(SEARCH(",",G6)),"Several items (the script lists them)",IFERROR(INDEX('Dashboard Items'!$B$2:$B$497,MATCH(G6,'Dashboard Items'!$A$2:$A$497,0))&amp;": "&amp;INDEX('Dashboard Items'!$C$2:$C$497,MATCH(G6,'Dashboard Items'!$A$2:$A$497,0)),"ID not found")))</f>
        <v/>
      </c>
      <c r="I6" s="36"/>
      <c r="J6" s="36"/>
      <c r="K6" s="36"/>
      <c r="L6" s="36"/>
      <c r="M6" s="36"/>
      <c r="N6" s="36"/>
      <c r="O6" s="36"/>
      <c r="P6" s="36"/>
      <c r="Q6" s="34"/>
      <c r="R6" s="36"/>
      <c r="S6" s="36"/>
      <c r="T6" s="36"/>
    </row>
    <row r="7" spans="1:20" s="39" customFormat="1" ht="16" x14ac:dyDescent="0.2">
      <c r="A7" s="34" t="str">
        <f t="shared" si="0"/>
        <v>HR</v>
      </c>
      <c r="B7" s="34" t="s">
        <v>487</v>
      </c>
      <c r="C7" s="35" t="s">
        <v>475</v>
      </c>
      <c r="D7" s="36" t="s">
        <v>36</v>
      </c>
      <c r="E7" s="34" t="s">
        <v>144</v>
      </c>
      <c r="F7" s="37" t="str">
        <f>IF(E7="","",IFERROR(IF(INDEX('Dashboard Items'!$B$2:$B$497,MATCH(E7,'Dashboard Items'!$A$2:$A$497,0))="Objective","Objectives go in the next column",IF(OR(D7="",INDEX('Dashboard Items'!$B$2:$B$497,MATCH(E7,'Dashboard Items'!$A$2:$A$497,0))=D7),INDEX('Dashboard Items'!$C$2:$C$497,MATCH(E7,'Dashboard Items'!$A$2:$A$497,0)),"Level does not match ID")),"ID not found"))</f>
        <v>Learning and Development</v>
      </c>
      <c r="G7" s="38"/>
      <c r="H7" s="37" t="str">
        <f>IF(G7="","",IF(ISNUMBER(SEARCH(",",G7)),"Several items (the script lists them)",IFERROR(INDEX('Dashboard Items'!$B$2:$B$497,MATCH(G7,'Dashboard Items'!$A$2:$A$497,0))&amp;": "&amp;INDEX('Dashboard Items'!$C$2:$C$497,MATCH(G7,'Dashboard Items'!$A$2:$A$497,0)),"ID not found")))</f>
        <v/>
      </c>
      <c r="I7" s="36"/>
      <c r="J7" s="36"/>
      <c r="K7" s="36"/>
      <c r="L7" s="36"/>
      <c r="M7" s="36"/>
      <c r="N7" s="36"/>
      <c r="O7" s="36"/>
      <c r="P7" s="36"/>
      <c r="Q7" s="34"/>
      <c r="R7" s="36"/>
      <c r="S7" s="36"/>
      <c r="T7" s="36"/>
    </row>
    <row r="8" spans="1:20" s="39" customFormat="1" ht="16" x14ac:dyDescent="0.2">
      <c r="A8" s="34" t="str">
        <f t="shared" ref="A8:A100" si="1">LEFT(B8, FIND("-", B8) - 1)</f>
        <v>HR</v>
      </c>
      <c r="B8" s="34" t="s">
        <v>488</v>
      </c>
      <c r="C8" s="35" t="s">
        <v>476</v>
      </c>
      <c r="D8" s="36" t="s">
        <v>36</v>
      </c>
      <c r="E8" s="34" t="s">
        <v>146</v>
      </c>
      <c r="F8" s="37" t="str">
        <f>IF(E8="","",IFERROR(IF(INDEX('Dashboard Items'!$B$2:$B$497,MATCH(E8,'Dashboard Items'!$A$2:$A$497,0))="Objective","Objectives go in the next column",IF(OR(D8="",INDEX('Dashboard Items'!$B$2:$B$497,MATCH(E8,'Dashboard Items'!$A$2:$A$497,0))=D8),INDEX('Dashboard Items'!$C$2:$C$497,MATCH(E8,'Dashboard Items'!$A$2:$A$497,0)),"Level does not match ID")),"ID not found"))</f>
        <v>Recruitment and Retention</v>
      </c>
      <c r="G8" s="38"/>
      <c r="H8" s="37" t="str">
        <f>IF(G8="","",IF(ISNUMBER(SEARCH(",",G8)),"Several items (the script lists them)",IFERROR(INDEX('Dashboard Items'!$B$2:$B$497,MATCH(G8,'Dashboard Items'!$A$2:$A$497,0))&amp;": "&amp;INDEX('Dashboard Items'!$C$2:$C$497,MATCH(G8,'Dashboard Items'!$A$2:$A$497,0)),"ID not found")))</f>
        <v/>
      </c>
      <c r="I8" s="36"/>
      <c r="J8" s="36"/>
      <c r="K8" s="36" t="s">
        <v>362</v>
      </c>
      <c r="L8" s="36"/>
      <c r="M8" s="36"/>
      <c r="N8" s="36"/>
      <c r="O8" s="36"/>
      <c r="P8" s="36"/>
      <c r="Q8" s="34" t="s">
        <v>393</v>
      </c>
      <c r="R8" s="36"/>
      <c r="S8" s="36"/>
      <c r="T8" s="36"/>
    </row>
    <row r="9" spans="1:20" s="39" customFormat="1" ht="16" x14ac:dyDescent="0.2">
      <c r="A9" s="34" t="str">
        <f t="shared" si="1"/>
        <v>HR</v>
      </c>
      <c r="B9" s="34" t="s">
        <v>489</v>
      </c>
      <c r="C9" s="35" t="s">
        <v>477</v>
      </c>
      <c r="D9" s="36" t="s">
        <v>36</v>
      </c>
      <c r="E9" s="34" t="s">
        <v>146</v>
      </c>
      <c r="F9" s="37" t="str">
        <f>IF(E9="","",IFERROR(IF(INDEX('Dashboard Items'!$B$2:$B$497,MATCH(E9,'Dashboard Items'!$A$2:$A$497,0))="Objective","Objectives go in the next column",IF(OR(D9="",INDEX('Dashboard Items'!$B$2:$B$497,MATCH(E9,'Dashboard Items'!$A$2:$A$497,0))=D9),INDEX('Dashboard Items'!$C$2:$C$497,MATCH(E9,'Dashboard Items'!$A$2:$A$497,0)),"Level does not match ID")),"ID not found"))</f>
        <v>Recruitment and Retention</v>
      </c>
      <c r="G9" s="38"/>
      <c r="H9" s="37" t="str">
        <f>IF(G9="","",IF(ISNUMBER(SEARCH(",",G9)),"Several items (the script lists them)",IFERROR(INDEX('Dashboard Items'!$B$2:$B$497,MATCH(G9,'Dashboard Items'!$A$2:$A$497,0))&amp;": "&amp;INDEX('Dashboard Items'!$C$2:$C$497,MATCH(G9,'Dashboard Items'!$A$2:$A$497,0)),"ID not found")))</f>
        <v/>
      </c>
      <c r="I9" s="36"/>
      <c r="J9" s="36"/>
      <c r="K9" s="36"/>
      <c r="L9" s="36"/>
      <c r="M9" s="36"/>
      <c r="N9" s="36"/>
      <c r="O9" s="36"/>
      <c r="P9" s="36"/>
      <c r="Q9" s="34" t="s">
        <v>393</v>
      </c>
      <c r="R9" s="36"/>
      <c r="S9" s="36"/>
      <c r="T9" s="36"/>
    </row>
    <row r="10" spans="1:20" s="39" customFormat="1" ht="16" x14ac:dyDescent="0.2">
      <c r="A10" s="34" t="str">
        <f t="shared" si="1"/>
        <v>HR</v>
      </c>
      <c r="B10" s="34" t="s">
        <v>490</v>
      </c>
      <c r="C10" s="35" t="s">
        <v>478</v>
      </c>
      <c r="D10" s="36" t="s">
        <v>36</v>
      </c>
      <c r="E10" s="34" t="s">
        <v>146</v>
      </c>
      <c r="F10" s="37" t="str">
        <f>IF(E10="","",IFERROR(IF(INDEX('Dashboard Items'!$B$2:$B$497,MATCH(E10,'Dashboard Items'!$A$2:$A$497,0))="Objective","Objectives go in the next column",IF(OR(D10="",INDEX('Dashboard Items'!$B$2:$B$497,MATCH(E10,'Dashboard Items'!$A$2:$A$497,0))=D10),INDEX('Dashboard Items'!$C$2:$C$497,MATCH(E10,'Dashboard Items'!$A$2:$A$497,0)),"Level does not match ID")),"ID not found"))</f>
        <v>Recruitment and Retention</v>
      </c>
      <c r="G10" s="38"/>
      <c r="H10" s="37" t="str">
        <f>IF(G10="","",IF(ISNUMBER(SEARCH(",",G10)),"Several items (the script lists them)",IFERROR(INDEX('Dashboard Items'!$B$2:$B$497,MATCH(G10,'Dashboard Items'!$A$2:$A$497,0))&amp;": "&amp;INDEX('Dashboard Items'!$C$2:$C$497,MATCH(G10,'Dashboard Items'!$A$2:$A$497,0)),"ID not found")))</f>
        <v/>
      </c>
      <c r="I10" s="36"/>
      <c r="J10" s="36"/>
      <c r="K10" s="36"/>
      <c r="L10" s="36"/>
      <c r="M10" s="36"/>
      <c r="N10" s="36"/>
      <c r="O10" s="36"/>
      <c r="P10" s="36"/>
      <c r="Q10" s="34" t="s">
        <v>393</v>
      </c>
      <c r="R10" s="36"/>
      <c r="S10" s="36"/>
      <c r="T10" s="36"/>
    </row>
    <row r="11" spans="1:20" s="39" customFormat="1" ht="16" x14ac:dyDescent="0.2">
      <c r="A11" s="34" t="str">
        <f t="shared" si="1"/>
        <v>HR</v>
      </c>
      <c r="B11" s="34" t="s">
        <v>491</v>
      </c>
      <c r="C11" s="35" t="s">
        <v>480</v>
      </c>
      <c r="D11" s="36" t="s">
        <v>36</v>
      </c>
      <c r="E11" s="34" t="s">
        <v>146</v>
      </c>
      <c r="F11" s="37" t="str">
        <f>IF(E11="","",IFERROR(IF(INDEX('Dashboard Items'!$B$2:$B$497,MATCH(E11,'Dashboard Items'!$A$2:$A$497,0))="Objective","Objectives go in the next column",IF(OR(D11="",INDEX('Dashboard Items'!$B$2:$B$497,MATCH(E11,'Dashboard Items'!$A$2:$A$497,0))=D11),INDEX('Dashboard Items'!$C$2:$C$497,MATCH(E11,'Dashboard Items'!$A$2:$A$497,0)),"Level does not match ID")),"ID not found"))</f>
        <v>Recruitment and Retention</v>
      </c>
      <c r="G11" s="38"/>
      <c r="H11" s="37" t="str">
        <f>IF(G11="","",IF(ISNUMBER(SEARCH(",",G11)),"Several items (the script lists them)",IFERROR(INDEX('Dashboard Items'!$B$2:$B$497,MATCH(G11,'Dashboard Items'!$A$2:$A$497,0))&amp;": "&amp;INDEX('Dashboard Items'!$C$2:$C$497,MATCH(G11,'Dashboard Items'!$A$2:$A$497,0)),"ID not found")))</f>
        <v/>
      </c>
      <c r="I11" s="36"/>
      <c r="J11" s="36"/>
      <c r="K11" s="36" t="s">
        <v>362</v>
      </c>
      <c r="L11" s="36"/>
      <c r="M11" s="36"/>
      <c r="N11" s="36"/>
      <c r="O11" s="36"/>
      <c r="P11" s="36"/>
      <c r="Q11" s="34" t="s">
        <v>393</v>
      </c>
      <c r="R11" s="36"/>
      <c r="S11" s="36"/>
      <c r="T11" s="36"/>
    </row>
    <row r="12" spans="1:20" s="39" customFormat="1" ht="16" x14ac:dyDescent="0.2">
      <c r="A12" s="34" t="str">
        <f t="shared" si="1"/>
        <v>HR</v>
      </c>
      <c r="B12" s="34" t="s">
        <v>492</v>
      </c>
      <c r="C12" s="35" t="s">
        <v>481</v>
      </c>
      <c r="D12" s="36" t="s">
        <v>36</v>
      </c>
      <c r="E12" s="34" t="s">
        <v>146</v>
      </c>
      <c r="F12" s="37" t="str">
        <f>IF(E12="","",IFERROR(IF(INDEX('Dashboard Items'!$B$2:$B$497,MATCH(E12,'Dashboard Items'!$A$2:$A$497,0))="Objective","Objectives go in the next column",IF(OR(D12="",INDEX('Dashboard Items'!$B$2:$B$497,MATCH(E12,'Dashboard Items'!$A$2:$A$497,0))=D12),INDEX('Dashboard Items'!$C$2:$C$497,MATCH(E12,'Dashboard Items'!$A$2:$A$497,0)),"Level does not match ID")),"ID not found"))</f>
        <v>Recruitment and Retention</v>
      </c>
      <c r="G12" s="38"/>
      <c r="H12" s="37" t="str">
        <f>IF(G12="","",IF(ISNUMBER(SEARCH(",",G12)),"Several items (the script lists them)",IFERROR(INDEX('Dashboard Items'!$B$2:$B$497,MATCH(G12,'Dashboard Items'!$A$2:$A$497,0))&amp;": "&amp;INDEX('Dashboard Items'!$C$2:$C$497,MATCH(G12,'Dashboard Items'!$A$2:$A$497,0)),"ID not found")))</f>
        <v/>
      </c>
      <c r="I12" s="36"/>
      <c r="J12" s="36"/>
      <c r="K12" s="36" t="s">
        <v>30</v>
      </c>
      <c r="L12" s="36"/>
      <c r="M12" s="36"/>
      <c r="N12" s="36"/>
      <c r="O12" s="36"/>
      <c r="P12" s="36"/>
      <c r="Q12" s="34" t="s">
        <v>393</v>
      </c>
      <c r="R12" s="36"/>
      <c r="S12" s="36"/>
      <c r="T12" s="36"/>
    </row>
    <row r="13" spans="1:20" s="39" customFormat="1" ht="16" x14ac:dyDescent="0.2">
      <c r="A13" s="34" t="str">
        <f t="shared" si="1"/>
        <v>HR</v>
      </c>
      <c r="B13" s="34" t="s">
        <v>493</v>
      </c>
      <c r="C13" s="35" t="s">
        <v>482</v>
      </c>
      <c r="D13" s="36" t="s">
        <v>36</v>
      </c>
      <c r="E13" s="34" t="s">
        <v>146</v>
      </c>
      <c r="F13" s="37" t="str">
        <f>IF(E13="","",IFERROR(IF(INDEX('Dashboard Items'!$B$2:$B$497,MATCH(E13,'Dashboard Items'!$A$2:$A$497,0))="Objective","Objectives go in the next column",IF(OR(D13="",INDEX('Dashboard Items'!$B$2:$B$497,MATCH(E13,'Dashboard Items'!$A$2:$A$497,0))=D13),INDEX('Dashboard Items'!$C$2:$C$497,MATCH(E13,'Dashboard Items'!$A$2:$A$497,0)),"Level does not match ID")),"ID not found"))</f>
        <v>Recruitment and Retention</v>
      </c>
      <c r="G13" s="38"/>
      <c r="H13" s="37" t="str">
        <f>IF(G13="","",IF(ISNUMBER(SEARCH(",",G13)),"Several items (the script lists them)",IFERROR(INDEX('Dashboard Items'!$B$2:$B$497,MATCH(G13,'Dashboard Items'!$A$2:$A$497,0))&amp;": "&amp;INDEX('Dashboard Items'!$C$2:$C$497,MATCH(G13,'Dashboard Items'!$A$2:$A$497,0)),"ID not found")))</f>
        <v/>
      </c>
      <c r="I13" s="36"/>
      <c r="J13" s="36"/>
      <c r="K13" s="36"/>
      <c r="L13" s="36"/>
      <c r="M13" s="36"/>
      <c r="N13" s="36"/>
      <c r="O13" s="36"/>
      <c r="P13" s="36"/>
      <c r="Q13" s="34"/>
      <c r="R13" s="36"/>
      <c r="S13" s="36"/>
      <c r="T13" s="36"/>
    </row>
    <row r="14" spans="1:20" s="39" customFormat="1" ht="16" x14ac:dyDescent="0.2">
      <c r="A14" s="34" t="str">
        <f t="shared" si="1"/>
        <v>HR</v>
      </c>
      <c r="B14" s="34" t="s">
        <v>494</v>
      </c>
      <c r="C14" s="35" t="s">
        <v>483</v>
      </c>
      <c r="D14" s="36" t="s">
        <v>36</v>
      </c>
      <c r="E14" s="34" t="s">
        <v>146</v>
      </c>
      <c r="F14" s="37" t="str">
        <f>IF(E14="","",IFERROR(IF(INDEX('Dashboard Items'!$B$2:$B$497,MATCH(E14,'Dashboard Items'!$A$2:$A$497,0))="Objective","Objectives go in the next column",IF(OR(D14="",INDEX('Dashboard Items'!$B$2:$B$497,MATCH(E14,'Dashboard Items'!$A$2:$A$497,0))=D14),INDEX('Dashboard Items'!$C$2:$C$497,MATCH(E14,'Dashboard Items'!$A$2:$A$497,0)),"Level does not match ID")),"ID not found"))</f>
        <v>Recruitment and Retention</v>
      </c>
      <c r="G14" s="38"/>
      <c r="H14" s="37" t="str">
        <f>IF(G14="","",IF(ISNUMBER(SEARCH(",",G14)),"Several items (the script lists them)",IFERROR(INDEX('Dashboard Items'!$B$2:$B$497,MATCH(G14,'Dashboard Items'!$A$2:$A$497,0))&amp;": "&amp;INDEX('Dashboard Items'!$C$2:$C$497,MATCH(G14,'Dashboard Items'!$A$2:$A$497,0)),"ID not found")))</f>
        <v/>
      </c>
      <c r="I14" s="36"/>
      <c r="J14" s="36"/>
      <c r="K14" s="36"/>
      <c r="L14" s="36"/>
      <c r="M14" s="36"/>
      <c r="N14" s="36"/>
      <c r="O14" s="36"/>
      <c r="P14" s="36"/>
      <c r="Q14" s="34"/>
      <c r="R14" s="36"/>
      <c r="S14" s="36"/>
      <c r="T14" s="36"/>
    </row>
    <row r="15" spans="1:20" s="39" customFormat="1" ht="16" x14ac:dyDescent="0.2">
      <c r="A15" s="34" t="str">
        <f t="shared" si="1"/>
        <v>HR</v>
      </c>
      <c r="B15" s="34" t="s">
        <v>496</v>
      </c>
      <c r="C15" s="35" t="s">
        <v>484</v>
      </c>
      <c r="D15" s="36" t="s">
        <v>36</v>
      </c>
      <c r="E15" s="34" t="s">
        <v>148</v>
      </c>
      <c r="F15" s="37" t="str">
        <f>IF(E15="","",IFERROR(IF(INDEX('Dashboard Items'!$B$2:$B$497,MATCH(E15,'Dashboard Items'!$A$2:$A$497,0))="Objective","Objectives go in the next column",IF(OR(D15="",INDEX('Dashboard Items'!$B$2:$B$497,MATCH(E15,'Dashboard Items'!$A$2:$A$497,0))=D15),INDEX('Dashboard Items'!$C$2:$C$497,MATCH(E15,'Dashboard Items'!$A$2:$A$497,0)),"Level does not match ID")),"ID not found"))</f>
        <v>Compensation and Benefits</v>
      </c>
      <c r="G15" s="38"/>
      <c r="H15" s="37" t="str">
        <f>IF(G15="","",IF(ISNUMBER(SEARCH(",",G15)),"Several items (the script lists them)",IFERROR(INDEX('Dashboard Items'!$B$2:$B$497,MATCH(G15,'Dashboard Items'!$A$2:$A$497,0))&amp;": "&amp;INDEX('Dashboard Items'!$C$2:$C$497,MATCH(G15,'Dashboard Items'!$A$2:$A$497,0)),"ID not found")))</f>
        <v/>
      </c>
      <c r="I15" s="36"/>
      <c r="J15" s="36"/>
      <c r="K15" s="36"/>
      <c r="L15" s="36"/>
      <c r="M15" s="36"/>
      <c r="N15" s="36"/>
      <c r="O15" s="36"/>
      <c r="P15" s="36"/>
      <c r="Q15" s="34"/>
      <c r="R15" s="36"/>
      <c r="S15" s="36"/>
      <c r="T15" s="36"/>
    </row>
    <row r="16" spans="1:20" s="39" customFormat="1" ht="16" x14ac:dyDescent="0.2">
      <c r="A16" s="34" t="str">
        <f t="shared" si="1"/>
        <v>HR</v>
      </c>
      <c r="B16" s="34" t="s">
        <v>503</v>
      </c>
      <c r="C16" s="35" t="s">
        <v>497</v>
      </c>
      <c r="D16" s="36" t="s">
        <v>36</v>
      </c>
      <c r="E16" s="34" t="s">
        <v>152</v>
      </c>
      <c r="F16" s="37" t="str">
        <f>IF(E16="","",IFERROR(IF(INDEX('Dashboard Items'!$B$2:$B$497,MATCH(E16,'Dashboard Items'!$A$2:$A$497,0))="Objective","Objectives go in the next column",IF(OR(D16="",INDEX('Dashboard Items'!$B$2:$B$497,MATCH(E16,'Dashboard Items'!$A$2:$A$497,0))=D16),INDEX('Dashboard Items'!$C$2:$C$497,MATCH(E16,'Dashboard Items'!$A$2:$A$497,0)),"Level does not match ID")),"ID not found"))</f>
        <v>Risk Management</v>
      </c>
      <c r="G16" s="38"/>
      <c r="H16" s="37" t="str">
        <f>IF(G16="","",IF(ISNUMBER(SEARCH(",",G16)),"Several items (the script lists them)",IFERROR(INDEX('Dashboard Items'!$B$2:$B$497,MATCH(G16,'Dashboard Items'!$A$2:$A$497,0))&amp;": "&amp;INDEX('Dashboard Items'!$C$2:$C$497,MATCH(G16,'Dashboard Items'!$A$2:$A$497,0)),"ID not found")))</f>
        <v/>
      </c>
      <c r="I16" s="36"/>
      <c r="J16" s="36"/>
      <c r="K16" s="36"/>
      <c r="L16" s="36"/>
      <c r="M16" s="36"/>
      <c r="N16" s="36"/>
      <c r="O16" s="36"/>
      <c r="P16" s="36"/>
      <c r="Q16" s="34"/>
      <c r="R16" s="36"/>
      <c r="S16" s="36"/>
      <c r="T16" s="36"/>
    </row>
    <row r="17" spans="1:20" s="39" customFormat="1" ht="16" x14ac:dyDescent="0.2">
      <c r="A17" s="34" t="str">
        <f t="shared" si="1"/>
        <v>HR</v>
      </c>
      <c r="B17" s="34" t="s">
        <v>469</v>
      </c>
      <c r="C17" s="35" t="s">
        <v>498</v>
      </c>
      <c r="D17" s="36" t="s">
        <v>36</v>
      </c>
      <c r="E17" s="34" t="s">
        <v>152</v>
      </c>
      <c r="F17" s="37" t="str">
        <f>IF(E17="","",IFERROR(IF(INDEX('Dashboard Items'!$B$2:$B$497,MATCH(E17,'Dashboard Items'!$A$2:$A$497,0))="Objective","Objectives go in the next column",IF(OR(D17="",INDEX('Dashboard Items'!$B$2:$B$497,MATCH(E17,'Dashboard Items'!$A$2:$A$497,0))=D17),INDEX('Dashboard Items'!$C$2:$C$497,MATCH(E17,'Dashboard Items'!$A$2:$A$497,0)),"Level does not match ID")),"ID not found"))</f>
        <v>Risk Management</v>
      </c>
      <c r="G17" s="38"/>
      <c r="H17" s="37" t="str">
        <f>IF(G17="","",IF(ISNUMBER(SEARCH(",",G17)),"Several items (the script lists them)",IFERROR(INDEX('Dashboard Items'!$B$2:$B$497,MATCH(G17,'Dashboard Items'!$A$2:$A$497,0))&amp;": "&amp;INDEX('Dashboard Items'!$C$2:$C$497,MATCH(G17,'Dashboard Items'!$A$2:$A$497,0)),"ID not found")))</f>
        <v/>
      </c>
      <c r="I17" s="36"/>
      <c r="J17" s="36"/>
      <c r="K17" s="36"/>
      <c r="L17" s="36"/>
      <c r="M17" s="36"/>
      <c r="N17" s="36"/>
      <c r="O17" s="36"/>
      <c r="P17" s="36"/>
      <c r="Q17" s="34"/>
      <c r="R17" s="36"/>
      <c r="S17" s="36"/>
      <c r="T17" s="36"/>
    </row>
    <row r="18" spans="1:20" s="39" customFormat="1" ht="16" x14ac:dyDescent="0.2">
      <c r="A18" s="34" t="str">
        <f t="shared" si="1"/>
        <v>HR</v>
      </c>
      <c r="B18" s="34" t="s">
        <v>504</v>
      </c>
      <c r="C18" s="35" t="s">
        <v>499</v>
      </c>
      <c r="D18" s="36" t="s">
        <v>36</v>
      </c>
      <c r="E18" s="34" t="s">
        <v>152</v>
      </c>
      <c r="F18" s="37" t="str">
        <f>IF(E18="","",IFERROR(IF(INDEX('Dashboard Items'!$B$2:$B$497,MATCH(E18,'Dashboard Items'!$A$2:$A$497,0))="Objective","Objectives go in the next column",IF(OR(D18="",INDEX('Dashboard Items'!$B$2:$B$497,MATCH(E18,'Dashboard Items'!$A$2:$A$497,0))=D18),INDEX('Dashboard Items'!$C$2:$C$497,MATCH(E18,'Dashboard Items'!$A$2:$A$497,0)),"Level does not match ID")),"ID not found"))</f>
        <v>Risk Management</v>
      </c>
      <c r="G18" s="38"/>
      <c r="H18" s="37" t="str">
        <f>IF(G18="","",IF(ISNUMBER(SEARCH(",",G18)),"Several items (the script lists them)",IFERROR(INDEX('Dashboard Items'!$B$2:$B$497,MATCH(G18,'Dashboard Items'!$A$2:$A$497,0))&amp;": "&amp;INDEX('Dashboard Items'!$C$2:$C$497,MATCH(G18,'Dashboard Items'!$A$2:$A$497,0)),"ID not found")))</f>
        <v/>
      </c>
      <c r="I18" s="36"/>
      <c r="J18" s="36"/>
      <c r="K18" s="36"/>
      <c r="L18" s="36"/>
      <c r="M18" s="36"/>
      <c r="N18" s="36"/>
      <c r="O18" s="36"/>
      <c r="P18" s="36"/>
      <c r="Q18" s="34"/>
      <c r="R18" s="36"/>
      <c r="S18" s="36"/>
      <c r="T18" s="36"/>
    </row>
    <row r="19" spans="1:20" s="39" customFormat="1" ht="16" x14ac:dyDescent="0.2">
      <c r="A19" s="34" t="str">
        <f t="shared" si="1"/>
        <v>HR</v>
      </c>
      <c r="B19" s="34" t="s">
        <v>505</v>
      </c>
      <c r="C19" s="35" t="s">
        <v>500</v>
      </c>
      <c r="D19" s="36" t="s">
        <v>36</v>
      </c>
      <c r="E19" s="34" t="s">
        <v>152</v>
      </c>
      <c r="F19" s="37" t="str">
        <f>IF(E19="","",IFERROR(IF(INDEX('Dashboard Items'!$B$2:$B$497,MATCH(E19,'Dashboard Items'!$A$2:$A$497,0))="Objective","Objectives go in the next column",IF(OR(D19="",INDEX('Dashboard Items'!$B$2:$B$497,MATCH(E19,'Dashboard Items'!$A$2:$A$497,0))=D19),INDEX('Dashboard Items'!$C$2:$C$497,MATCH(E19,'Dashboard Items'!$A$2:$A$497,0)),"Level does not match ID")),"ID not found"))</f>
        <v>Risk Management</v>
      </c>
      <c r="G19" s="38"/>
      <c r="H19" s="37" t="str">
        <f>IF(G19="","",IF(ISNUMBER(SEARCH(",",G19)),"Several items (the script lists them)",IFERROR(INDEX('Dashboard Items'!$B$2:$B$497,MATCH(G19,'Dashboard Items'!$A$2:$A$497,0))&amp;": "&amp;INDEX('Dashboard Items'!$C$2:$C$497,MATCH(G19,'Dashboard Items'!$A$2:$A$497,0)),"ID not found")))</f>
        <v/>
      </c>
      <c r="I19" s="36"/>
      <c r="J19" s="36"/>
      <c r="K19" s="36"/>
      <c r="L19" s="36"/>
      <c r="M19" s="36"/>
      <c r="N19" s="36"/>
      <c r="O19" s="36"/>
      <c r="P19" s="36"/>
      <c r="Q19" s="34"/>
      <c r="R19" s="36"/>
      <c r="S19" s="36"/>
      <c r="T19" s="36"/>
    </row>
    <row r="20" spans="1:20" s="39" customFormat="1" ht="16" x14ac:dyDescent="0.2">
      <c r="A20" s="34" t="str">
        <f t="shared" si="1"/>
        <v>HR</v>
      </c>
      <c r="B20" s="34" t="s">
        <v>506</v>
      </c>
      <c r="C20" s="35" t="s">
        <v>501</v>
      </c>
      <c r="D20" s="36" t="s">
        <v>36</v>
      </c>
      <c r="E20" s="34" t="s">
        <v>152</v>
      </c>
      <c r="F20" s="37" t="str">
        <f>IF(E20="","",IFERROR(IF(INDEX('Dashboard Items'!$B$2:$B$497,MATCH(E20,'Dashboard Items'!$A$2:$A$497,0))="Objective","Objectives go in the next column",IF(OR(D20="",INDEX('Dashboard Items'!$B$2:$B$497,MATCH(E20,'Dashboard Items'!$A$2:$A$497,0))=D20),INDEX('Dashboard Items'!$C$2:$C$497,MATCH(E20,'Dashboard Items'!$A$2:$A$497,0)),"Level does not match ID")),"ID not found"))</f>
        <v>Risk Management</v>
      </c>
      <c r="G20" s="38"/>
      <c r="H20" s="37" t="str">
        <f>IF(G20="","",IF(ISNUMBER(SEARCH(",",G20)),"Several items (the script lists them)",IFERROR(INDEX('Dashboard Items'!$B$2:$B$497,MATCH(G20,'Dashboard Items'!$A$2:$A$497,0))&amp;": "&amp;INDEX('Dashboard Items'!$C$2:$C$497,MATCH(G20,'Dashboard Items'!$A$2:$A$497,0)),"ID not found")))</f>
        <v/>
      </c>
      <c r="I20" s="36"/>
      <c r="J20" s="36"/>
      <c r="K20" s="36"/>
      <c r="L20" s="36"/>
      <c r="M20" s="36"/>
      <c r="N20" s="36"/>
      <c r="O20" s="36"/>
      <c r="P20" s="36"/>
      <c r="Q20" s="34"/>
      <c r="R20" s="36"/>
      <c r="S20" s="36"/>
      <c r="T20" s="36"/>
    </row>
    <row r="21" spans="1:20" s="39" customFormat="1" ht="16" x14ac:dyDescent="0.2">
      <c r="A21" s="34" t="str">
        <f t="shared" si="1"/>
        <v>HR</v>
      </c>
      <c r="B21" s="34" t="s">
        <v>507</v>
      </c>
      <c r="C21" s="35" t="s">
        <v>502</v>
      </c>
      <c r="D21" s="36" t="s">
        <v>36</v>
      </c>
      <c r="E21" s="34" t="s">
        <v>152</v>
      </c>
      <c r="F21" s="37" t="str">
        <f>IF(E21="","",IFERROR(IF(INDEX('Dashboard Items'!$B$2:$B$497,MATCH(E21,'Dashboard Items'!$A$2:$A$497,0))="Objective","Objectives go in the next column",IF(OR(D21="",INDEX('Dashboard Items'!$B$2:$B$497,MATCH(E21,'Dashboard Items'!$A$2:$A$497,0))=D21),INDEX('Dashboard Items'!$C$2:$C$497,MATCH(E21,'Dashboard Items'!$A$2:$A$497,0)),"Level does not match ID")),"ID not found"))</f>
        <v>Risk Management</v>
      </c>
      <c r="G21" s="38"/>
      <c r="H21" s="37" t="str">
        <f>IF(G21="","",IF(ISNUMBER(SEARCH(",",G21)),"Several items (the script lists them)",IFERROR(INDEX('Dashboard Items'!$B$2:$B$497,MATCH(G21,'Dashboard Items'!$A$2:$A$497,0))&amp;": "&amp;INDEX('Dashboard Items'!$C$2:$C$497,MATCH(G21,'Dashboard Items'!$A$2:$A$497,0)),"ID not found")))</f>
        <v/>
      </c>
      <c r="I21" s="36"/>
      <c r="J21" s="36"/>
      <c r="K21" s="36"/>
      <c r="L21" s="36"/>
      <c r="M21" s="36"/>
      <c r="N21" s="36"/>
      <c r="O21" s="36"/>
      <c r="P21" s="36"/>
      <c r="Q21" s="34"/>
      <c r="R21" s="36"/>
      <c r="S21" s="36"/>
      <c r="T21" s="36"/>
    </row>
    <row r="22" spans="1:20" s="46" customFormat="1" ht="16" x14ac:dyDescent="0.2">
      <c r="A22" s="41" t="str">
        <f t="shared" si="1"/>
        <v>IT</v>
      </c>
      <c r="B22" s="41" t="s">
        <v>34</v>
      </c>
      <c r="C22" s="42" t="s">
        <v>35</v>
      </c>
      <c r="D22" s="41" t="s">
        <v>36</v>
      </c>
      <c r="E22" s="41" t="s">
        <v>37</v>
      </c>
      <c r="F22" s="43" t="str">
        <f>IF(E22="","",IFERROR(IF(INDEX('Dashboard Items'!$B$2:$B$497,MATCH(E22,'Dashboard Items'!$A$2:$A$497,0))="Objective","Objectives go in the next column",IF(OR(D22="",INDEX('Dashboard Items'!$B$2:$B$497,MATCH(E22,'Dashboard Items'!$A$2:$A$497,0))=D22),INDEX('Dashboard Items'!$C$2:$C$497,MATCH(E22,'Dashboard Items'!$A$2:$A$497,0)),"Level does not match ID")),"ID not found"))</f>
        <v>Network and Infrastructure Management</v>
      </c>
      <c r="G22" s="44" t="s">
        <v>38</v>
      </c>
      <c r="H22" s="43" t="str">
        <f>IF(G22="","",IF(ISNUMBER(SEARCH(",",G22)),"Several items (the script lists them)",IFERROR(INDEX('Dashboard Items'!$B$2:$B$497,MATCH(G22,'Dashboard Items'!$A$2:$A$497,0))&amp;": "&amp;INDEX('Dashboard Items'!$C$2:$C$497,MATCH(G22,'Dashboard Items'!$A$2:$A$497,0)),"ID not found")))</f>
        <v>Several items (the script lists them)</v>
      </c>
      <c r="I22" s="41" t="s">
        <v>29</v>
      </c>
      <c r="J22" s="41">
        <v>2</v>
      </c>
      <c r="K22" s="41" t="s">
        <v>30</v>
      </c>
      <c r="L22" s="41" t="s">
        <v>9</v>
      </c>
      <c r="M22" s="41">
        <v>5</v>
      </c>
      <c r="N22" s="41">
        <v>15</v>
      </c>
      <c r="O22" s="41" t="s">
        <v>30</v>
      </c>
      <c r="P22" s="41" t="s">
        <v>39</v>
      </c>
      <c r="Q22" s="45" t="s">
        <v>389</v>
      </c>
      <c r="R22" s="45" t="s">
        <v>356</v>
      </c>
      <c r="S22" s="41"/>
      <c r="T22" s="41"/>
    </row>
    <row r="23" spans="1:20" s="46" customFormat="1" ht="16" x14ac:dyDescent="0.2">
      <c r="A23" s="41" t="str">
        <f t="shared" si="1"/>
        <v>IT</v>
      </c>
      <c r="B23" s="45" t="s">
        <v>394</v>
      </c>
      <c r="C23" s="42" t="s">
        <v>417</v>
      </c>
      <c r="D23" s="41" t="s">
        <v>36</v>
      </c>
      <c r="E23" s="45" t="s">
        <v>163</v>
      </c>
      <c r="F23" s="43" t="str">
        <f>IF(E23="","",IFERROR(IF(INDEX('Dashboard Items'!$B$2:$B$497,MATCH(E23,'Dashboard Items'!$A$2:$A$497,0))="Objective","Objectives go in the next column",IF(OR(D23="",INDEX('Dashboard Items'!$B$2:$B$497,MATCH(E23,'Dashboard Items'!$A$2:$A$497,0))=D23),INDEX('Dashboard Items'!$C$2:$C$497,MATCH(E23,'Dashboard Items'!$A$2:$A$497,0)),"Level does not match ID")),"ID not found"))</f>
        <v>Help Desk</v>
      </c>
      <c r="G23" s="47" t="s">
        <v>78</v>
      </c>
      <c r="H23" s="43" t="str">
        <f>IF(G23="","",IF(ISNUMBER(SEARCH(",",G23)),"Several items (the script lists them)",IFERROR(INDEX('Dashboard Items'!$B$2:$B$497,MATCH(G23,'Dashboard Items'!$A$2:$A$497,0))&amp;": "&amp;INDEX('Dashboard Items'!$C$2:$C$497,MATCH(G23,'Dashboard Items'!$A$2:$A$497,0)),"ID not found")))</f>
        <v>Key Service: Information Technology Services</v>
      </c>
      <c r="I23" s="45" t="s">
        <v>29</v>
      </c>
      <c r="J23" s="41">
        <v>1</v>
      </c>
      <c r="K23" s="41" t="s">
        <v>30</v>
      </c>
      <c r="L23" s="41" t="s">
        <v>9</v>
      </c>
      <c r="M23" s="41">
        <v>5</v>
      </c>
      <c r="N23" s="41">
        <v>15</v>
      </c>
      <c r="O23" s="41" t="s">
        <v>30</v>
      </c>
      <c r="P23" s="45" t="s">
        <v>39</v>
      </c>
      <c r="Q23" s="45" t="s">
        <v>389</v>
      </c>
      <c r="R23" s="45" t="s">
        <v>357</v>
      </c>
      <c r="S23" s="41"/>
      <c r="T23" s="41"/>
    </row>
    <row r="24" spans="1:20" s="46" customFormat="1" x14ac:dyDescent="0.2">
      <c r="A24" s="41" t="str">
        <f t="shared" si="1"/>
        <v>IT</v>
      </c>
      <c r="B24" s="45" t="s">
        <v>395</v>
      </c>
      <c r="C24" s="45" t="s">
        <v>418</v>
      </c>
      <c r="D24" s="41" t="s">
        <v>36</v>
      </c>
      <c r="E24" s="45" t="s">
        <v>163</v>
      </c>
      <c r="F24" s="43" t="str">
        <f>IF(E24="","",IFERROR(IF(INDEX('Dashboard Items'!$B$2:$B$497,MATCH(E24,'Dashboard Items'!$A$2:$A$497,0))="Objective","Objectives go in the next column",IF(OR(D24="",INDEX('Dashboard Items'!$B$2:$B$497,MATCH(E24,'Dashboard Items'!$A$2:$A$497,0))=D24),INDEX('Dashboard Items'!$C$2:$C$497,MATCH(E24,'Dashboard Items'!$A$2:$A$497,0)),"Level does not match ID")),"ID not found"))</f>
        <v>Help Desk</v>
      </c>
      <c r="G24" s="47" t="s">
        <v>78</v>
      </c>
      <c r="H24" s="43" t="str">
        <f>IF(G24="","",IF(ISNUMBER(SEARCH(",",G24)),"Several items (the script lists them)",IFERROR(INDEX('Dashboard Items'!$B$2:$B$497,MATCH(G24,'Dashboard Items'!$A$2:$A$497,0))&amp;": "&amp;INDEX('Dashboard Items'!$C$2:$C$497,MATCH(G24,'Dashboard Items'!$A$2:$A$497,0)),"ID not found")))</f>
        <v>Key Service: Information Technology Services</v>
      </c>
      <c r="I24" s="45" t="s">
        <v>29</v>
      </c>
      <c r="J24" s="41">
        <v>2</v>
      </c>
      <c r="K24" s="41" t="s">
        <v>30</v>
      </c>
      <c r="L24" s="41" t="s">
        <v>9</v>
      </c>
      <c r="M24" s="41">
        <v>5</v>
      </c>
      <c r="N24" s="41">
        <v>15</v>
      </c>
      <c r="O24" s="41" t="s">
        <v>30</v>
      </c>
      <c r="P24" s="45" t="s">
        <v>39</v>
      </c>
      <c r="Q24" s="45" t="s">
        <v>389</v>
      </c>
      <c r="R24" s="45" t="s">
        <v>357</v>
      </c>
      <c r="S24" s="41"/>
      <c r="T24" s="41"/>
    </row>
    <row r="25" spans="1:20" s="46" customFormat="1" x14ac:dyDescent="0.2">
      <c r="A25" s="41" t="str">
        <f t="shared" si="1"/>
        <v>IT</v>
      </c>
      <c r="B25" s="45" t="s">
        <v>396</v>
      </c>
      <c r="C25" s="45" t="s">
        <v>419</v>
      </c>
      <c r="D25" s="41" t="s">
        <v>36</v>
      </c>
      <c r="E25" s="45" t="s">
        <v>157</v>
      </c>
      <c r="F25" s="43" t="str">
        <f>IF(E25="","",IFERROR(IF(INDEX('Dashboard Items'!$B$2:$B$497,MATCH(E25,'Dashboard Items'!$A$2:$A$497,0))="Objective","Objectives go in the next column",IF(OR(D25="",INDEX('Dashboard Items'!$B$2:$B$497,MATCH(E25,'Dashboard Items'!$A$2:$A$497,0))=D25),INDEX('Dashboard Items'!$C$2:$C$497,MATCH(E25,'Dashboard Items'!$A$2:$A$497,0)),"Level does not match ID")),"ID not found"))</f>
        <v>Cybersecurity</v>
      </c>
      <c r="G25" s="47" t="s">
        <v>78</v>
      </c>
      <c r="H25" s="43" t="str">
        <f>IF(G25="","",IF(ISNUMBER(SEARCH(",",G25)),"Several items (the script lists them)",IFERROR(INDEX('Dashboard Items'!$B$2:$B$497,MATCH(G25,'Dashboard Items'!$A$2:$A$497,0))&amp;": "&amp;INDEX('Dashboard Items'!$C$2:$C$497,MATCH(G25,'Dashboard Items'!$A$2:$A$497,0)),"ID not found")))</f>
        <v>Key Service: Information Technology Services</v>
      </c>
      <c r="I25" s="45" t="s">
        <v>29</v>
      </c>
      <c r="J25" s="41">
        <v>2</v>
      </c>
      <c r="K25" s="41" t="s">
        <v>362</v>
      </c>
      <c r="L25" s="41" t="s">
        <v>9</v>
      </c>
      <c r="M25" s="41">
        <v>5</v>
      </c>
      <c r="N25" s="41">
        <v>15</v>
      </c>
      <c r="O25" s="41" t="s">
        <v>30</v>
      </c>
      <c r="P25" s="45" t="s">
        <v>363</v>
      </c>
      <c r="Q25" s="45" t="s">
        <v>389</v>
      </c>
      <c r="R25" s="45" t="s">
        <v>364</v>
      </c>
      <c r="S25" s="41"/>
      <c r="T25" s="41"/>
    </row>
    <row r="26" spans="1:20" s="53" customFormat="1" ht="16" x14ac:dyDescent="0.2">
      <c r="A26" s="48" t="str">
        <f t="shared" si="1"/>
        <v>LIB</v>
      </c>
      <c r="B26" s="48" t="s">
        <v>449</v>
      </c>
      <c r="C26" s="49" t="s">
        <v>439</v>
      </c>
      <c r="D26" s="50" t="s">
        <v>36</v>
      </c>
      <c r="E26" s="48" t="s">
        <v>281</v>
      </c>
      <c r="F26" s="51" t="str">
        <f>IF(E26="","",IFERROR(IF(INDEX('Dashboard Items'!$B$2:$B$497,MATCH(E26,'Dashboard Items'!$A$2:$A$497,0))="Objective","Objectives go in the next column",IF(OR(D26="",INDEX('Dashboard Items'!$B$2:$B$497,MATCH(E26,'Dashboard Items'!$A$2:$A$497,0))=D26),INDEX('Dashboard Items'!$C$2:$C$497,MATCH(E26,'Dashboard Items'!$A$2:$A$497,0)),"Level does not match ID")),"ID not found"))</f>
        <v>Library Collections &amp; Resources</v>
      </c>
      <c r="G26" s="52" t="s">
        <v>98</v>
      </c>
      <c r="H26" s="51" t="str">
        <f>IF(G26="","",IF(ISNUMBER(SEARCH(",",G26)),"Several items (the script lists them)",IFERROR(INDEX('Dashboard Items'!$B$2:$B$497,MATCH(G26,'Dashboard Items'!$A$2:$A$497,0))&amp;": "&amp;INDEX('Dashboard Items'!$C$2:$C$497,MATCH(G26,'Dashboard Items'!$A$2:$A$497,0)),"ID not found")))</f>
        <v>Key Service: Library &amp; Learning Services</v>
      </c>
      <c r="I26" s="48" t="s">
        <v>386</v>
      </c>
      <c r="J26" s="50">
        <v>2</v>
      </c>
      <c r="K26" s="50" t="s">
        <v>30</v>
      </c>
      <c r="L26" s="50" t="s">
        <v>9</v>
      </c>
      <c r="M26" s="50">
        <v>0</v>
      </c>
      <c r="N26" s="50">
        <v>0</v>
      </c>
      <c r="O26" s="50" t="s">
        <v>30</v>
      </c>
      <c r="P26" s="48" t="s">
        <v>387</v>
      </c>
      <c r="Q26" s="48" t="s">
        <v>390</v>
      </c>
      <c r="R26" s="50"/>
      <c r="S26" s="50"/>
      <c r="T26" s="50"/>
    </row>
    <row r="27" spans="1:20" s="53" customFormat="1" ht="16" x14ac:dyDescent="0.2">
      <c r="A27" s="48" t="str">
        <f t="shared" si="1"/>
        <v>LIB</v>
      </c>
      <c r="B27" s="48" t="s">
        <v>397</v>
      </c>
      <c r="C27" s="49" t="s">
        <v>385</v>
      </c>
      <c r="D27" s="50" t="s">
        <v>36</v>
      </c>
      <c r="E27" s="48" t="s">
        <v>282</v>
      </c>
      <c r="F27" s="51" t="str">
        <f>IF(E27="","",IFERROR(IF(INDEX('Dashboard Items'!$B$2:$B$497,MATCH(E27,'Dashboard Items'!$A$2:$A$497,0))="Objective","Objectives go in the next column",IF(OR(D27="",INDEX('Dashboard Items'!$B$2:$B$497,MATCH(E27,'Dashboard Items'!$A$2:$A$497,0))=D27),INDEX('Dashboard Items'!$C$2:$C$497,MATCH(E27,'Dashboard Items'!$A$2:$A$497,0)),"Level does not match ID")),"ID not found"))</f>
        <v>Library Space Utilitzation</v>
      </c>
      <c r="G27" s="52" t="s">
        <v>98</v>
      </c>
      <c r="H27" s="51" t="str">
        <f>IF(G27="","",IF(ISNUMBER(SEARCH(",",G27)),"Several items (the script lists them)",IFERROR(INDEX('Dashboard Items'!$B$2:$B$497,MATCH(G27,'Dashboard Items'!$A$2:$A$497,0))&amp;": "&amp;INDEX('Dashboard Items'!$C$2:$C$497,MATCH(G27,'Dashboard Items'!$A$2:$A$497,0)),"ID not found")))</f>
        <v>Key Service: Library &amp; Learning Services</v>
      </c>
      <c r="I27" s="48" t="s">
        <v>386</v>
      </c>
      <c r="J27" s="50">
        <v>2</v>
      </c>
      <c r="K27" s="50" t="s">
        <v>30</v>
      </c>
      <c r="L27" s="50" t="s">
        <v>9</v>
      </c>
      <c r="M27" s="50">
        <v>0</v>
      </c>
      <c r="N27" s="50">
        <v>0</v>
      </c>
      <c r="O27" s="50" t="s">
        <v>30</v>
      </c>
      <c r="P27" s="48" t="s">
        <v>387</v>
      </c>
      <c r="Q27" s="48" t="s">
        <v>390</v>
      </c>
      <c r="R27" s="50"/>
      <c r="S27" s="50"/>
      <c r="T27" s="50"/>
    </row>
    <row r="28" spans="1:20" s="53" customFormat="1" ht="16" x14ac:dyDescent="0.2">
      <c r="A28" s="48" t="str">
        <f t="shared" si="1"/>
        <v>LIB</v>
      </c>
      <c r="B28" s="48" t="s">
        <v>398</v>
      </c>
      <c r="C28" s="49" t="s">
        <v>420</v>
      </c>
      <c r="D28" s="50" t="s">
        <v>36</v>
      </c>
      <c r="E28" s="48" t="s">
        <v>282</v>
      </c>
      <c r="F28" s="51" t="str">
        <f>IF(E28="","",IFERROR(IF(INDEX('Dashboard Items'!$B$2:$B$497,MATCH(E28,'Dashboard Items'!$A$2:$A$497,0))="Objective","Objectives go in the next column",IF(OR(D28="",INDEX('Dashboard Items'!$B$2:$B$497,MATCH(E28,'Dashboard Items'!$A$2:$A$497,0))=D28),INDEX('Dashboard Items'!$C$2:$C$497,MATCH(E28,'Dashboard Items'!$A$2:$A$497,0)),"Level does not match ID")),"ID not found"))</f>
        <v>Library Space Utilitzation</v>
      </c>
      <c r="G28" s="54"/>
      <c r="H28" s="51" t="str">
        <f>IF(G28="","",IF(ISNUMBER(SEARCH(",",G28)),"Several items (the script lists them)",IFERROR(INDEX('Dashboard Items'!$B$2:$B$497,MATCH(G28,'Dashboard Items'!$A$2:$A$497,0))&amp;": "&amp;INDEX('Dashboard Items'!$C$2:$C$497,MATCH(G28,'Dashboard Items'!$A$2:$A$497,0)),"ID not found")))</f>
        <v/>
      </c>
      <c r="I28" s="48" t="s">
        <v>386</v>
      </c>
      <c r="J28" s="50">
        <v>2</v>
      </c>
      <c r="K28" s="50" t="s">
        <v>30</v>
      </c>
      <c r="L28" s="50" t="s">
        <v>9</v>
      </c>
      <c r="M28" s="50">
        <v>0</v>
      </c>
      <c r="N28" s="50">
        <v>0</v>
      </c>
      <c r="O28" s="50" t="s">
        <v>30</v>
      </c>
      <c r="P28" s="48" t="s">
        <v>387</v>
      </c>
      <c r="Q28" s="48" t="s">
        <v>390</v>
      </c>
      <c r="R28" s="50"/>
      <c r="S28" s="50"/>
      <c r="T28" s="50"/>
    </row>
    <row r="29" spans="1:20" s="53" customFormat="1" ht="16" x14ac:dyDescent="0.2">
      <c r="A29" s="48" t="str">
        <f t="shared" si="1"/>
        <v>LIB</v>
      </c>
      <c r="B29" s="48" t="s">
        <v>446</v>
      </c>
      <c r="C29" s="49" t="s">
        <v>445</v>
      </c>
      <c r="D29" s="50" t="s">
        <v>36</v>
      </c>
      <c r="E29" s="48" t="s">
        <v>282</v>
      </c>
      <c r="F29" s="51" t="str">
        <f>IF(E29="","",IFERROR(IF(INDEX('Dashboard Items'!$B$2:$B$497,MATCH(E29,'Dashboard Items'!$A$2:$A$497,0))="Objective","Objectives go in the next column",IF(OR(D29="",INDEX('Dashboard Items'!$B$2:$B$497,MATCH(E29,'Dashboard Items'!$A$2:$A$497,0))=D29),INDEX('Dashboard Items'!$C$2:$C$497,MATCH(E29,'Dashboard Items'!$A$2:$A$497,0)),"Level does not match ID")),"ID not found"))</f>
        <v>Library Space Utilitzation</v>
      </c>
      <c r="G29" s="54"/>
      <c r="H29" s="51" t="str">
        <f>IF(G29="","",IF(ISNUMBER(SEARCH(",",G29)),"Several items (the script lists them)",IFERROR(INDEX('Dashboard Items'!$B$2:$B$497,MATCH(G29,'Dashboard Items'!$A$2:$A$497,0))&amp;": "&amp;INDEX('Dashboard Items'!$C$2:$C$497,MATCH(G29,'Dashboard Items'!$A$2:$A$497,0)),"ID not found")))</f>
        <v/>
      </c>
      <c r="I29" s="48" t="s">
        <v>386</v>
      </c>
      <c r="J29" s="50">
        <v>2</v>
      </c>
      <c r="K29" s="50" t="s">
        <v>30</v>
      </c>
      <c r="L29" s="50" t="s">
        <v>9</v>
      </c>
      <c r="M29" s="50">
        <v>0</v>
      </c>
      <c r="N29" s="50">
        <v>0</v>
      </c>
      <c r="O29" s="50" t="s">
        <v>30</v>
      </c>
      <c r="P29" s="48" t="s">
        <v>387</v>
      </c>
      <c r="Q29" s="48" t="s">
        <v>390</v>
      </c>
      <c r="R29" s="50"/>
      <c r="S29" s="50"/>
      <c r="T29" s="50"/>
    </row>
    <row r="30" spans="1:20" s="53" customFormat="1" ht="16" x14ac:dyDescent="0.2">
      <c r="A30" s="48" t="str">
        <f t="shared" si="1"/>
        <v>LIB</v>
      </c>
      <c r="B30" s="48" t="s">
        <v>399</v>
      </c>
      <c r="C30" s="49" t="s">
        <v>421</v>
      </c>
      <c r="D30" s="50" t="s">
        <v>36</v>
      </c>
      <c r="E30" s="48" t="s">
        <v>283</v>
      </c>
      <c r="F30" s="51" t="str">
        <f>IF(E30="","",IFERROR(IF(INDEX('Dashboard Items'!$B$2:$B$497,MATCH(E30,'Dashboard Items'!$A$2:$A$497,0))="Objective","Objectives go in the next column",IF(OR(D30="",INDEX('Dashboard Items'!$B$2:$B$497,MATCH(E30,'Dashboard Items'!$A$2:$A$497,0))=D30),INDEX('Dashboard Items'!$C$2:$C$497,MATCH(E30,'Dashboard Items'!$A$2:$A$497,0)),"Level does not match ID")),"ID not found"))</f>
        <v>Library Direct Patron Services</v>
      </c>
      <c r="G30" s="54"/>
      <c r="H30" s="51" t="str">
        <f>IF(G30="","",IF(ISNUMBER(SEARCH(",",G30)),"Several items (the script lists them)",IFERROR(INDEX('Dashboard Items'!$B$2:$B$497,MATCH(G30,'Dashboard Items'!$A$2:$A$497,0))&amp;": "&amp;INDEX('Dashboard Items'!$C$2:$C$497,MATCH(G30,'Dashboard Items'!$A$2:$A$497,0)),"ID not found")))</f>
        <v/>
      </c>
      <c r="I30" s="48" t="s">
        <v>386</v>
      </c>
      <c r="J30" s="50">
        <v>2</v>
      </c>
      <c r="K30" s="50" t="s">
        <v>30</v>
      </c>
      <c r="L30" s="50" t="s">
        <v>9</v>
      </c>
      <c r="M30" s="50">
        <v>0</v>
      </c>
      <c r="N30" s="50">
        <v>0</v>
      </c>
      <c r="O30" s="50" t="s">
        <v>30</v>
      </c>
      <c r="P30" s="48" t="s">
        <v>387</v>
      </c>
      <c r="Q30" s="48" t="s">
        <v>390</v>
      </c>
      <c r="R30" s="50"/>
      <c r="S30" s="50"/>
      <c r="T30" s="50"/>
    </row>
    <row r="31" spans="1:20" s="53" customFormat="1" ht="16" x14ac:dyDescent="0.2">
      <c r="A31" s="48" t="str">
        <f t="shared" si="1"/>
        <v>LIB</v>
      </c>
      <c r="B31" s="48" t="s">
        <v>400</v>
      </c>
      <c r="C31" s="49" t="s">
        <v>422</v>
      </c>
      <c r="D31" s="50" t="s">
        <v>36</v>
      </c>
      <c r="E31" s="48" t="s">
        <v>284</v>
      </c>
      <c r="F31" s="51" t="str">
        <f>IF(E31="","",IFERROR(IF(INDEX('Dashboard Items'!$B$2:$B$497,MATCH(E31,'Dashboard Items'!$A$2:$A$497,0))="Objective","Objectives go in the next column",IF(OR(D31="",INDEX('Dashboard Items'!$B$2:$B$497,MATCH(E31,'Dashboard Items'!$A$2:$A$497,0))=D31),INDEX('Dashboard Items'!$C$2:$C$497,MATCH(E31,'Dashboard Items'!$A$2:$A$497,0)),"Level does not match ID")),"ID not found"))</f>
        <v>Library Programming &amp; Outreach</v>
      </c>
      <c r="G31" s="54"/>
      <c r="H31" s="51" t="str">
        <f>IF(G31="","",IF(ISNUMBER(SEARCH(",",G31)),"Several items (the script lists them)",IFERROR(INDEX('Dashboard Items'!$B$2:$B$497,MATCH(G31,'Dashboard Items'!$A$2:$A$497,0))&amp;": "&amp;INDEX('Dashboard Items'!$C$2:$C$497,MATCH(G31,'Dashboard Items'!$A$2:$A$497,0)),"ID not found")))</f>
        <v/>
      </c>
      <c r="I31" s="48" t="s">
        <v>386</v>
      </c>
      <c r="J31" s="50">
        <v>2</v>
      </c>
      <c r="K31" s="50" t="s">
        <v>30</v>
      </c>
      <c r="L31" s="50" t="s">
        <v>9</v>
      </c>
      <c r="M31" s="50">
        <v>0</v>
      </c>
      <c r="N31" s="50">
        <v>0</v>
      </c>
      <c r="O31" s="50" t="s">
        <v>30</v>
      </c>
      <c r="P31" s="48" t="s">
        <v>387</v>
      </c>
      <c r="Q31" s="48" t="s">
        <v>390</v>
      </c>
      <c r="R31" s="50"/>
      <c r="S31" s="50"/>
      <c r="T31" s="50"/>
    </row>
    <row r="32" spans="1:20" s="53" customFormat="1" ht="16" x14ac:dyDescent="0.2">
      <c r="A32" s="48" t="str">
        <f t="shared" si="1"/>
        <v>LIB</v>
      </c>
      <c r="B32" s="48" t="s">
        <v>401</v>
      </c>
      <c r="C32" s="49" t="s">
        <v>423</v>
      </c>
      <c r="D32" s="50" t="s">
        <v>36</v>
      </c>
      <c r="E32" s="48" t="s">
        <v>284</v>
      </c>
      <c r="F32" s="51" t="str">
        <f>IF(E32="","",IFERROR(IF(INDEX('Dashboard Items'!$B$2:$B$497,MATCH(E32,'Dashboard Items'!$A$2:$A$497,0))="Objective","Objectives go in the next column",IF(OR(D32="",INDEX('Dashboard Items'!$B$2:$B$497,MATCH(E32,'Dashboard Items'!$A$2:$A$497,0))=D32),INDEX('Dashboard Items'!$C$2:$C$497,MATCH(E32,'Dashboard Items'!$A$2:$A$497,0)),"Level does not match ID")),"ID not found"))</f>
        <v>Library Programming &amp; Outreach</v>
      </c>
      <c r="G32" s="54"/>
      <c r="H32" s="51" t="str">
        <f>IF(G32="","",IF(ISNUMBER(SEARCH(",",G32)),"Several items (the script lists them)",IFERROR(INDEX('Dashboard Items'!$B$2:$B$497,MATCH(G32,'Dashboard Items'!$A$2:$A$497,0))&amp;": "&amp;INDEX('Dashboard Items'!$C$2:$C$497,MATCH(G32,'Dashboard Items'!$A$2:$A$497,0)),"ID not found")))</f>
        <v/>
      </c>
      <c r="I32" s="48" t="s">
        <v>386</v>
      </c>
      <c r="J32" s="50">
        <v>2</v>
      </c>
      <c r="K32" s="50" t="s">
        <v>30</v>
      </c>
      <c r="L32" s="50" t="s">
        <v>9</v>
      </c>
      <c r="M32" s="50">
        <v>0</v>
      </c>
      <c r="N32" s="50">
        <v>0</v>
      </c>
      <c r="O32" s="50" t="s">
        <v>30</v>
      </c>
      <c r="P32" s="48" t="s">
        <v>387</v>
      </c>
      <c r="Q32" s="48" t="s">
        <v>390</v>
      </c>
      <c r="R32" s="50"/>
      <c r="S32" s="50"/>
      <c r="T32" s="50"/>
    </row>
    <row r="33" spans="1:20" s="53" customFormat="1" ht="16" x14ac:dyDescent="0.2">
      <c r="A33" s="48" t="str">
        <f t="shared" si="1"/>
        <v>LIB</v>
      </c>
      <c r="B33" s="48" t="s">
        <v>402</v>
      </c>
      <c r="C33" s="49" t="s">
        <v>424</v>
      </c>
      <c r="D33" s="50" t="s">
        <v>36</v>
      </c>
      <c r="E33" s="48" t="s">
        <v>284</v>
      </c>
      <c r="F33" s="51" t="str">
        <f>IF(E33="","",IFERROR(IF(INDEX('Dashboard Items'!$B$2:$B$497,MATCH(E33,'Dashboard Items'!$A$2:$A$497,0))="Objective","Objectives go in the next column",IF(OR(D33="",INDEX('Dashboard Items'!$B$2:$B$497,MATCH(E33,'Dashboard Items'!$A$2:$A$497,0))=D33),INDEX('Dashboard Items'!$C$2:$C$497,MATCH(E33,'Dashboard Items'!$A$2:$A$497,0)),"Level does not match ID")),"ID not found"))</f>
        <v>Library Programming &amp; Outreach</v>
      </c>
      <c r="G33" s="54"/>
      <c r="H33" s="51" t="str">
        <f>IF(G33="","",IF(ISNUMBER(SEARCH(",",G33)),"Several items (the script lists them)",IFERROR(INDEX('Dashboard Items'!$B$2:$B$497,MATCH(G33,'Dashboard Items'!$A$2:$A$497,0))&amp;": "&amp;INDEX('Dashboard Items'!$C$2:$C$497,MATCH(G33,'Dashboard Items'!$A$2:$A$497,0)),"ID not found")))</f>
        <v/>
      </c>
      <c r="I33" s="48" t="s">
        <v>386</v>
      </c>
      <c r="J33" s="50">
        <v>2</v>
      </c>
      <c r="K33" s="50" t="s">
        <v>30</v>
      </c>
      <c r="L33" s="50" t="s">
        <v>9</v>
      </c>
      <c r="M33" s="50">
        <v>0</v>
      </c>
      <c r="N33" s="50">
        <v>0</v>
      </c>
      <c r="O33" s="50" t="s">
        <v>30</v>
      </c>
      <c r="P33" s="48" t="s">
        <v>387</v>
      </c>
      <c r="Q33" s="48" t="s">
        <v>390</v>
      </c>
      <c r="R33" s="50"/>
      <c r="S33" s="50"/>
      <c r="T33" s="50"/>
    </row>
    <row r="34" spans="1:20" s="53" customFormat="1" ht="16" x14ac:dyDescent="0.2">
      <c r="A34" s="48" t="str">
        <f t="shared" si="1"/>
        <v>LIB</v>
      </c>
      <c r="B34" s="48" t="s">
        <v>403</v>
      </c>
      <c r="C34" s="49" t="s">
        <v>425</v>
      </c>
      <c r="D34" s="50" t="s">
        <v>36</v>
      </c>
      <c r="E34" s="48" t="s">
        <v>284</v>
      </c>
      <c r="F34" s="51" t="str">
        <f>IF(E34="","",IFERROR(IF(INDEX('Dashboard Items'!$B$2:$B$497,MATCH(E34,'Dashboard Items'!$A$2:$A$497,0))="Objective","Objectives go in the next column",IF(OR(D34="",INDEX('Dashboard Items'!$B$2:$B$497,MATCH(E34,'Dashboard Items'!$A$2:$A$497,0))=D34),INDEX('Dashboard Items'!$C$2:$C$497,MATCH(E34,'Dashboard Items'!$A$2:$A$497,0)),"Level does not match ID")),"ID not found"))</f>
        <v>Library Programming &amp; Outreach</v>
      </c>
      <c r="G34" s="54"/>
      <c r="H34" s="51" t="str">
        <f>IF(G34="","",IF(ISNUMBER(SEARCH(",",G34)),"Several items (the script lists them)",IFERROR(INDEX('Dashboard Items'!$B$2:$B$497,MATCH(G34,'Dashboard Items'!$A$2:$A$497,0))&amp;": "&amp;INDEX('Dashboard Items'!$C$2:$C$497,MATCH(G34,'Dashboard Items'!$A$2:$A$497,0)),"ID not found")))</f>
        <v/>
      </c>
      <c r="I34" s="48" t="s">
        <v>386</v>
      </c>
      <c r="J34" s="50">
        <v>2</v>
      </c>
      <c r="K34" s="50" t="s">
        <v>30</v>
      </c>
      <c r="L34" s="50" t="s">
        <v>9</v>
      </c>
      <c r="M34" s="50">
        <v>0</v>
      </c>
      <c r="N34" s="50">
        <v>0</v>
      </c>
      <c r="O34" s="50" t="s">
        <v>30</v>
      </c>
      <c r="P34" s="48" t="s">
        <v>387</v>
      </c>
      <c r="Q34" s="48" t="s">
        <v>390</v>
      </c>
      <c r="R34" s="50"/>
      <c r="S34" s="50"/>
      <c r="T34" s="50"/>
    </row>
    <row r="35" spans="1:20" s="60" customFormat="1" ht="16" x14ac:dyDescent="0.2">
      <c r="A35" s="55" t="str">
        <f t="shared" si="1"/>
        <v>CLERK</v>
      </c>
      <c r="B35" s="55" t="s">
        <v>407</v>
      </c>
      <c r="C35" s="56" t="s">
        <v>404</v>
      </c>
      <c r="D35" s="57" t="s">
        <v>36</v>
      </c>
      <c r="E35" s="55" t="s">
        <v>116</v>
      </c>
      <c r="F35" s="58" t="str">
        <f>IF(E35="","",IFERROR(IF(INDEX('Dashboard Items'!$B$2:$B$497,MATCH(E35,'Dashboard Items'!$A$2:$A$497,0))="Objective","Objectives go in the next column",IF(OR(D35="",INDEX('Dashboard Items'!$B$2:$B$497,MATCH(E35,'Dashboard Items'!$A$2:$A$497,0))=D35),INDEX('Dashboard Items'!$C$2:$C$497,MATCH(E35,'Dashboard Items'!$A$2:$A$497,0)),"Level does not match ID")),"ID not found"))</f>
        <v>Elections Administration</v>
      </c>
      <c r="G35" s="59"/>
      <c r="H35" s="58" t="str">
        <f>IF(G35="","",IF(ISNUMBER(SEARCH(",",G35)),"Several items (the script lists them)",IFERROR(INDEX('Dashboard Items'!$B$2:$B$497,MATCH(G35,'Dashboard Items'!$A$2:$A$497,0))&amp;": "&amp;INDEX('Dashboard Items'!$C$2:$C$497,MATCH(G35,'Dashboard Items'!$A$2:$A$497,0)),"ID not found")))</f>
        <v/>
      </c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</row>
    <row r="36" spans="1:20" s="60" customFormat="1" ht="16" x14ac:dyDescent="0.2">
      <c r="A36" s="55" t="str">
        <f t="shared" si="1"/>
        <v>CLERK</v>
      </c>
      <c r="B36" s="55" t="s">
        <v>411</v>
      </c>
      <c r="C36" s="56" t="s">
        <v>406</v>
      </c>
      <c r="D36" s="57" t="s">
        <v>36</v>
      </c>
      <c r="E36" s="55" t="s">
        <v>116</v>
      </c>
      <c r="F36" s="58" t="str">
        <f>IF(E36="","",IFERROR(IF(INDEX('Dashboard Items'!$B$2:$B$497,MATCH(E36,'Dashboard Items'!$A$2:$A$497,0))="Objective","Objectives go in the next column",IF(OR(D36="",INDEX('Dashboard Items'!$B$2:$B$497,MATCH(E36,'Dashboard Items'!$A$2:$A$497,0))=D36),INDEX('Dashboard Items'!$C$2:$C$497,MATCH(E36,'Dashboard Items'!$A$2:$A$497,0)),"Level does not match ID")),"ID not found"))</f>
        <v>Elections Administration</v>
      </c>
      <c r="G36" s="59"/>
      <c r="H36" s="58" t="str">
        <f>IF(G36="","",IF(ISNUMBER(SEARCH(",",G36)),"Several items (the script lists them)",IFERROR(INDEX('Dashboard Items'!$B$2:$B$497,MATCH(G36,'Dashboard Items'!$A$2:$A$497,0))&amp;": "&amp;INDEX('Dashboard Items'!$C$2:$C$497,MATCH(G36,'Dashboard Items'!$A$2:$A$497,0)),"ID not found")))</f>
        <v/>
      </c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</row>
    <row r="37" spans="1:20" s="60" customFormat="1" ht="16" x14ac:dyDescent="0.2">
      <c r="A37" s="55" t="str">
        <f t="shared" si="1"/>
        <v>CLERK</v>
      </c>
      <c r="B37" s="55" t="s">
        <v>408</v>
      </c>
      <c r="C37" s="56" t="s">
        <v>405</v>
      </c>
      <c r="D37" s="57" t="s">
        <v>36</v>
      </c>
      <c r="E37" s="55" t="s">
        <v>116</v>
      </c>
      <c r="F37" s="58" t="str">
        <f>IF(E37="","",IFERROR(IF(INDEX('Dashboard Items'!$B$2:$B$497,MATCH(E37,'Dashboard Items'!$A$2:$A$497,0))="Objective","Objectives go in the next column",IF(OR(D37="",INDEX('Dashboard Items'!$B$2:$B$497,MATCH(E37,'Dashboard Items'!$A$2:$A$497,0))=D37),INDEX('Dashboard Items'!$C$2:$C$497,MATCH(E37,'Dashboard Items'!$A$2:$A$497,0)),"Level does not match ID")),"ID not found"))</f>
        <v>Elections Administration</v>
      </c>
      <c r="G37" s="61" t="s">
        <v>69</v>
      </c>
      <c r="H37" s="58" t="str">
        <f>IF(G37="","",IF(ISNUMBER(SEARCH(",",G37)),"Several items (the script lists them)",IFERROR(INDEX('Dashboard Items'!$B$2:$B$497,MATCH(G37,'Dashboard Items'!$A$2:$A$497,0))&amp;": "&amp;INDEX('Dashboard Items'!$C$2:$C$497,MATCH(G37,'Dashboard Items'!$A$2:$A$497,0)),"ID not found")))</f>
        <v>Key Service: City Clerk &amp; Records Management</v>
      </c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</row>
    <row r="38" spans="1:20" s="60" customFormat="1" ht="16" x14ac:dyDescent="0.2">
      <c r="A38" s="55" t="str">
        <f t="shared" si="1"/>
        <v>CLERK</v>
      </c>
      <c r="B38" s="55" t="s">
        <v>409</v>
      </c>
      <c r="C38" s="56" t="s">
        <v>429</v>
      </c>
      <c r="D38" s="57" t="s">
        <v>36</v>
      </c>
      <c r="E38" s="55" t="s">
        <v>116</v>
      </c>
      <c r="F38" s="58" t="str">
        <f>IF(E38="","",IFERROR(IF(INDEX('Dashboard Items'!$B$2:$B$497,MATCH(E38,'Dashboard Items'!$A$2:$A$497,0))="Objective","Objectives go in the next column",IF(OR(D38="",INDEX('Dashboard Items'!$B$2:$B$497,MATCH(E38,'Dashboard Items'!$A$2:$A$497,0))=D38),INDEX('Dashboard Items'!$C$2:$C$497,MATCH(E38,'Dashboard Items'!$A$2:$A$497,0)),"Level does not match ID")),"ID not found"))</f>
        <v>Elections Administration</v>
      </c>
      <c r="G38" s="59"/>
      <c r="H38" s="58" t="str">
        <f>IF(G38="","",IF(ISNUMBER(SEARCH(",",G38)),"Several items (the script lists them)",IFERROR(INDEX('Dashboard Items'!$B$2:$B$497,MATCH(G38,'Dashboard Items'!$A$2:$A$497,0))&amp;": "&amp;INDEX('Dashboard Items'!$C$2:$C$497,MATCH(G38,'Dashboard Items'!$A$2:$A$497,0)),"ID not found")))</f>
        <v/>
      </c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</row>
    <row r="39" spans="1:20" s="60" customFormat="1" ht="16" x14ac:dyDescent="0.2">
      <c r="A39" s="55" t="str">
        <f t="shared" si="1"/>
        <v>CLERK</v>
      </c>
      <c r="B39" s="55" t="s">
        <v>412</v>
      </c>
      <c r="C39" s="56" t="s">
        <v>426</v>
      </c>
      <c r="D39" s="57" t="s">
        <v>36</v>
      </c>
      <c r="E39" s="55" t="s">
        <v>114</v>
      </c>
      <c r="F39" s="58" t="str">
        <f>IF(E39="","",IFERROR(IF(INDEX('Dashboard Items'!$B$2:$B$497,MATCH(E39,'Dashboard Items'!$A$2:$A$497,0))="Objective","Objectives go in the next column",IF(OR(D39="",INDEX('Dashboard Items'!$B$2:$B$497,MATCH(E39,'Dashboard Items'!$A$2:$A$497,0))=D39),INDEX('Dashboard Items'!$C$2:$C$497,MATCH(E39,'Dashboard Items'!$A$2:$A$497,0)),"Level does not match ID")),"ID not found"))</f>
        <v>Records Management</v>
      </c>
      <c r="G39" s="61" t="s">
        <v>69</v>
      </c>
      <c r="H39" s="58" t="str">
        <f>IF(G39="","",IF(ISNUMBER(SEARCH(",",G39)),"Several items (the script lists them)",IFERROR(INDEX('Dashboard Items'!$B$2:$B$497,MATCH(G39,'Dashboard Items'!$A$2:$A$497,0))&amp;": "&amp;INDEX('Dashboard Items'!$C$2:$C$497,MATCH(G39,'Dashboard Items'!$A$2:$A$497,0)),"ID not found")))</f>
        <v>Key Service: City Clerk &amp; Records Management</v>
      </c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</row>
    <row r="40" spans="1:20" s="60" customFormat="1" ht="16" x14ac:dyDescent="0.2">
      <c r="A40" s="55" t="str">
        <f t="shared" si="1"/>
        <v>CLERK</v>
      </c>
      <c r="B40" s="55" t="s">
        <v>413</v>
      </c>
      <c r="C40" s="56" t="s">
        <v>427</v>
      </c>
      <c r="D40" s="57" t="s">
        <v>36</v>
      </c>
      <c r="E40" s="55" t="s">
        <v>118</v>
      </c>
      <c r="F40" s="58" t="str">
        <f>IF(E40="","",IFERROR(IF(INDEX('Dashboard Items'!$B$2:$B$497,MATCH(E40,'Dashboard Items'!$A$2:$A$497,0))="Objective","Objectives go in the next column",IF(OR(D40="",INDEX('Dashboard Items'!$B$2:$B$497,MATCH(E40,'Dashboard Items'!$A$2:$A$497,0))=D40),INDEX('Dashboard Items'!$C$2:$C$497,MATCH(E40,'Dashboard Items'!$A$2:$A$497,0)),"Level does not match ID")),"ID not found"))</f>
        <v>Council/Board Support</v>
      </c>
      <c r="G40" s="61" t="s">
        <v>69</v>
      </c>
      <c r="H40" s="58" t="str">
        <f>IF(G40="","",IF(ISNUMBER(SEARCH(",",G40)),"Several items (the script lists them)",IFERROR(INDEX('Dashboard Items'!$B$2:$B$497,MATCH(G40,'Dashboard Items'!$A$2:$A$497,0))&amp;": "&amp;INDEX('Dashboard Items'!$C$2:$C$497,MATCH(G40,'Dashboard Items'!$A$2:$A$497,0)),"ID not found")))</f>
        <v>Key Service: City Clerk &amp; Records Management</v>
      </c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</row>
    <row r="41" spans="1:20" s="60" customFormat="1" ht="16" x14ac:dyDescent="0.2">
      <c r="A41" s="55" t="str">
        <f t="shared" si="1"/>
        <v>CLERK</v>
      </c>
      <c r="B41" s="55" t="s">
        <v>414</v>
      </c>
      <c r="C41" s="56" t="s">
        <v>410</v>
      </c>
      <c r="D41" s="57" t="s">
        <v>36</v>
      </c>
      <c r="E41" s="55" t="s">
        <v>120</v>
      </c>
      <c r="F41" s="58" t="str">
        <f>IF(E41="","",IFERROR(IF(INDEX('Dashboard Items'!$B$2:$B$497,MATCH(E41,'Dashboard Items'!$A$2:$A$497,0))="Objective","Objectives go in the next column",IF(OR(D41="",INDEX('Dashboard Items'!$B$2:$B$497,MATCH(E41,'Dashboard Items'!$A$2:$A$497,0))=D41),INDEX('Dashboard Items'!$C$2:$C$497,MATCH(E41,'Dashboard Items'!$A$2:$A$497,0)),"Level does not match ID")),"ID not found"))</f>
        <v>Licensing</v>
      </c>
      <c r="G41" s="61" t="s">
        <v>69</v>
      </c>
      <c r="H41" s="58" t="str">
        <f>IF(G41="","",IF(ISNUMBER(SEARCH(",",G41)),"Several items (the script lists them)",IFERROR(INDEX('Dashboard Items'!$B$2:$B$497,MATCH(G41,'Dashboard Items'!$A$2:$A$497,0))&amp;": "&amp;INDEX('Dashboard Items'!$C$2:$C$497,MATCH(G41,'Dashboard Items'!$A$2:$A$497,0)),"ID not found")))</f>
        <v>Key Service: City Clerk &amp; Records Management</v>
      </c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</row>
    <row r="42" spans="1:20" s="60" customFormat="1" ht="16" x14ac:dyDescent="0.2">
      <c r="A42" s="55" t="str">
        <f t="shared" si="1"/>
        <v>CLERK</v>
      </c>
      <c r="B42" s="55" t="s">
        <v>415</v>
      </c>
      <c r="C42" s="56" t="s">
        <v>428</v>
      </c>
      <c r="D42" s="57" t="s">
        <v>36</v>
      </c>
      <c r="E42" s="55" t="s">
        <v>120</v>
      </c>
      <c r="F42" s="58" t="str">
        <f>IF(E42="","",IFERROR(IF(INDEX('Dashboard Items'!$B$2:$B$497,MATCH(E42,'Dashboard Items'!$A$2:$A$497,0))="Objective","Objectives go in the next column",IF(OR(D42="",INDEX('Dashboard Items'!$B$2:$B$497,MATCH(E42,'Dashboard Items'!$A$2:$A$497,0))=D42),INDEX('Dashboard Items'!$C$2:$C$497,MATCH(E42,'Dashboard Items'!$A$2:$A$497,0)),"Level does not match ID")),"ID not found"))</f>
        <v>Licensing</v>
      </c>
      <c r="G42" s="61" t="s">
        <v>69</v>
      </c>
      <c r="H42" s="58" t="str">
        <f>IF(G42="","",IF(ISNUMBER(SEARCH(",",G42)),"Several items (the script lists them)",IFERROR(INDEX('Dashboard Items'!$B$2:$B$497,MATCH(G42,'Dashboard Items'!$A$2:$A$497,0))&amp;": "&amp;INDEX('Dashboard Items'!$C$2:$C$497,MATCH(G42,'Dashboard Items'!$A$2:$A$497,0)),"ID not found")))</f>
        <v>Key Service: City Clerk &amp; Records Management</v>
      </c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</row>
    <row r="43" spans="1:20" s="60" customFormat="1" ht="16" x14ac:dyDescent="0.2">
      <c r="A43" s="55" t="str">
        <f t="shared" si="1"/>
        <v>CLERK</v>
      </c>
      <c r="B43" s="55" t="s">
        <v>472</v>
      </c>
      <c r="C43" s="56" t="s">
        <v>416</v>
      </c>
      <c r="D43" s="57" t="s">
        <v>36</v>
      </c>
      <c r="E43" s="55" t="s">
        <v>218</v>
      </c>
      <c r="F43" s="58" t="str">
        <f>IF(E43="","",IFERROR(IF(INDEX('Dashboard Items'!$B$2:$B$497,MATCH(E43,'Dashboard Items'!$A$2:$A$497,0))="Objective","Objectives go in the next column",IF(OR(D43="",INDEX('Dashboard Items'!$B$2:$B$497,MATCH(E43,'Dashboard Items'!$A$2:$A$497,0))=D43),INDEX('Dashboard Items'!$C$2:$C$497,MATCH(E43,'Dashboard Items'!$A$2:$A$497,0)),"Level does not match ID")),"ID not found"))</f>
        <v>Specialty Court</v>
      </c>
      <c r="G43" s="61" t="s">
        <v>88</v>
      </c>
      <c r="H43" s="58" t="str">
        <f>IF(G43="","",IF(ISNUMBER(SEARCH(",",G43)),"Several items (the script lists them)",IFERROR(INDEX('Dashboard Items'!$B$2:$B$497,MATCH(G43,'Dashboard Items'!$A$2:$A$497,0))&amp;": "&amp;INDEX('Dashboard Items'!$C$2:$C$497,MATCH(G43,'Dashboard Items'!$A$2:$A$497,0)),"ID not found")))</f>
        <v>Key Service: Municipal Court</v>
      </c>
      <c r="I43" s="55"/>
      <c r="J43" s="57"/>
      <c r="K43" s="57"/>
      <c r="L43" s="57"/>
      <c r="M43" s="57"/>
      <c r="N43" s="57"/>
      <c r="O43" s="57"/>
      <c r="P43" s="55"/>
      <c r="Q43" s="55"/>
      <c r="R43" s="55"/>
      <c r="S43" s="57"/>
      <c r="T43" s="57"/>
    </row>
    <row r="44" spans="1:20" s="66" customFormat="1" x14ac:dyDescent="0.2">
      <c r="A44" s="62" t="str">
        <f t="shared" si="1"/>
        <v>PIO</v>
      </c>
      <c r="B44" s="62" t="s">
        <v>431</v>
      </c>
      <c r="C44" s="62" t="s">
        <v>432</v>
      </c>
      <c r="D44" s="63" t="s">
        <v>36</v>
      </c>
      <c r="E44" s="62" t="s">
        <v>124</v>
      </c>
      <c r="F44" s="64" t="str">
        <f>IF(E44="","",IFERROR(IF(INDEX('Dashboard Items'!$B$2:$B$497,MATCH(E44,'Dashboard Items'!$A$2:$A$497,0))="Objective","Objectives go in the next column",IF(OR(D44="",INDEX('Dashboard Items'!$B$2:$B$497,MATCH(E44,'Dashboard Items'!$A$2:$A$497,0))=D44),INDEX('Dashboard Items'!$C$2:$C$497,MATCH(E44,'Dashboard Items'!$A$2:$A$497,0)),"Level does not match ID")),"ID not found"))</f>
        <v>Social Media</v>
      </c>
      <c r="G44" s="65" t="s">
        <v>71</v>
      </c>
      <c r="H44" s="64" t="str">
        <f>IF(G44="","",IF(ISNUMBER(SEARCH(",",G44)),"Several items (the script lists them)",IFERROR(INDEX('Dashboard Items'!$B$2:$B$497,MATCH(G44,'Dashboard Items'!$A$2:$A$497,0))&amp;": "&amp;INDEX('Dashboard Items'!$C$2:$C$497,MATCH(G44,'Dashboard Items'!$A$2:$A$497,0)),"ID not found")))</f>
        <v>Key Service: Public Information &amp; Community Engagement</v>
      </c>
      <c r="I44" s="63"/>
      <c r="J44" s="63">
        <v>2</v>
      </c>
      <c r="K44" s="63" t="s">
        <v>30</v>
      </c>
      <c r="L44" s="63" t="s">
        <v>9</v>
      </c>
      <c r="M44" s="63">
        <v>0</v>
      </c>
      <c r="N44" s="63">
        <v>0</v>
      </c>
      <c r="O44" s="63" t="s">
        <v>30</v>
      </c>
      <c r="P44" s="63" t="s">
        <v>39</v>
      </c>
      <c r="Q44" s="63" t="s">
        <v>433</v>
      </c>
      <c r="R44" s="63" t="s">
        <v>438</v>
      </c>
      <c r="S44" s="63"/>
      <c r="T44" s="63"/>
    </row>
    <row r="45" spans="1:20" s="66" customFormat="1" x14ac:dyDescent="0.2">
      <c r="A45" s="62" t="str">
        <f t="shared" si="1"/>
        <v>PIO</v>
      </c>
      <c r="B45" s="62" t="s">
        <v>628</v>
      </c>
      <c r="C45" s="62" t="s">
        <v>623</v>
      </c>
      <c r="D45" s="63" t="s">
        <v>36</v>
      </c>
      <c r="E45" s="62" t="s">
        <v>122</v>
      </c>
      <c r="F45" s="64" t="str">
        <f>IF(E45="","",IFERROR(IF(INDEX('Dashboard Items'!$B$2:$B$497,MATCH(E45,'Dashboard Items'!$A$2:$A$497,0))="Objective","Objectives go in the next column",IF(OR(D45="",INDEX('Dashboard Items'!$B$2:$B$497,MATCH(E45,'Dashboard Items'!$A$2:$A$497,0))=D45),INDEX('Dashboard Items'!$C$2:$C$497,MATCH(E45,'Dashboard Items'!$A$2:$A$497,0)),"Level does not match ID")),"ID not found"))</f>
        <v>Public Outreach</v>
      </c>
      <c r="G45" s="65" t="s">
        <v>71</v>
      </c>
      <c r="H45" s="64" t="str">
        <f>IF(G45="","",IF(ISNUMBER(SEARCH(",",G45)),"Several items (the script lists them)",IFERROR(INDEX('Dashboard Items'!$B$2:$B$497,MATCH(G45,'Dashboard Items'!$A$2:$A$497,0))&amp;": "&amp;INDEX('Dashboard Items'!$C$2:$C$497,MATCH(G45,'Dashboard Items'!$A$2:$A$497,0)),"ID not found")))</f>
        <v>Key Service: Public Information &amp; Community Engagement</v>
      </c>
      <c r="I45" s="63"/>
      <c r="J45" s="63"/>
      <c r="K45" s="63"/>
      <c r="L45" s="63"/>
      <c r="M45" s="63"/>
      <c r="N45" s="63"/>
      <c r="O45" s="63" t="s">
        <v>30</v>
      </c>
      <c r="P45" s="63" t="s">
        <v>39</v>
      </c>
      <c r="Q45" s="63"/>
      <c r="R45" s="63"/>
      <c r="S45" s="63"/>
      <c r="T45" s="63"/>
    </row>
    <row r="46" spans="1:20" s="66" customFormat="1" x14ac:dyDescent="0.2">
      <c r="A46" s="62" t="str">
        <f t="shared" si="1"/>
        <v>PIO</v>
      </c>
      <c r="B46" s="62" t="s">
        <v>629</v>
      </c>
      <c r="C46" s="62" t="s">
        <v>624</v>
      </c>
      <c r="D46" s="63" t="s">
        <v>36</v>
      </c>
      <c r="E46" s="62" t="s">
        <v>122</v>
      </c>
      <c r="F46" s="64" t="str">
        <f>IF(E46="","",IFERROR(IF(INDEX('Dashboard Items'!$B$2:$B$497,MATCH(E46,'Dashboard Items'!$A$2:$A$497,0))="Objective","Objectives go in the next column",IF(OR(D46="",INDEX('Dashboard Items'!$B$2:$B$497,MATCH(E46,'Dashboard Items'!$A$2:$A$497,0))=D46),INDEX('Dashboard Items'!$C$2:$C$497,MATCH(E46,'Dashboard Items'!$A$2:$A$497,0)),"Level does not match ID")),"ID not found"))</f>
        <v>Public Outreach</v>
      </c>
      <c r="G46" s="65" t="s">
        <v>71</v>
      </c>
      <c r="H46" s="64" t="str">
        <f>IF(G46="","",IF(ISNUMBER(SEARCH(",",G46)),"Several items (the script lists them)",IFERROR(INDEX('Dashboard Items'!$B$2:$B$497,MATCH(G46,'Dashboard Items'!$A$2:$A$497,0))&amp;": "&amp;INDEX('Dashboard Items'!$C$2:$C$497,MATCH(G46,'Dashboard Items'!$A$2:$A$497,0)),"ID not found")))</f>
        <v>Key Service: Public Information &amp; Community Engagement</v>
      </c>
      <c r="I46" s="63"/>
      <c r="J46" s="63"/>
      <c r="K46" s="63"/>
      <c r="L46" s="63"/>
      <c r="M46" s="63"/>
      <c r="N46" s="63"/>
      <c r="O46" s="63" t="s">
        <v>30</v>
      </c>
      <c r="P46" s="63" t="s">
        <v>39</v>
      </c>
      <c r="Q46" s="63"/>
      <c r="R46" s="63"/>
      <c r="S46" s="63"/>
      <c r="T46" s="63"/>
    </row>
    <row r="47" spans="1:20" s="66" customFormat="1" x14ac:dyDescent="0.2">
      <c r="A47" s="62" t="str">
        <f t="shared" si="1"/>
        <v>PIO</v>
      </c>
      <c r="B47" s="62" t="s">
        <v>630</v>
      </c>
      <c r="C47" s="62" t="s">
        <v>625</v>
      </c>
      <c r="D47" s="63" t="s">
        <v>36</v>
      </c>
      <c r="E47" s="62" t="s">
        <v>122</v>
      </c>
      <c r="F47" s="64" t="str">
        <f>IF(E47="","",IFERROR(IF(INDEX('Dashboard Items'!$B$2:$B$497,MATCH(E47,'Dashboard Items'!$A$2:$A$497,0))="Objective","Objectives go in the next column",IF(OR(D47="",INDEX('Dashboard Items'!$B$2:$B$497,MATCH(E47,'Dashboard Items'!$A$2:$A$497,0))=D47),INDEX('Dashboard Items'!$C$2:$C$497,MATCH(E47,'Dashboard Items'!$A$2:$A$497,0)),"Level does not match ID")),"ID not found"))</f>
        <v>Public Outreach</v>
      </c>
      <c r="G47" s="65" t="s">
        <v>71</v>
      </c>
      <c r="H47" s="64" t="str">
        <f>IF(G47="","",IF(ISNUMBER(SEARCH(",",G47)),"Several items (the script lists them)",IFERROR(INDEX('Dashboard Items'!$B$2:$B$497,MATCH(G47,'Dashboard Items'!$A$2:$A$497,0))&amp;": "&amp;INDEX('Dashboard Items'!$C$2:$C$497,MATCH(G47,'Dashboard Items'!$A$2:$A$497,0)),"ID not found")))</f>
        <v>Key Service: Public Information &amp; Community Engagement</v>
      </c>
      <c r="I47" s="63"/>
      <c r="J47" s="63"/>
      <c r="K47" s="63"/>
      <c r="L47" s="63"/>
      <c r="M47" s="63"/>
      <c r="N47" s="63"/>
      <c r="O47" s="63" t="s">
        <v>30</v>
      </c>
      <c r="P47" s="63" t="s">
        <v>39</v>
      </c>
      <c r="Q47" s="63"/>
      <c r="R47" s="63"/>
      <c r="S47" s="63"/>
      <c r="T47" s="63"/>
    </row>
    <row r="48" spans="1:20" s="66" customFormat="1" x14ac:dyDescent="0.2">
      <c r="A48" s="62" t="str">
        <f t="shared" si="1"/>
        <v>PIO</v>
      </c>
      <c r="B48" s="62" t="s">
        <v>631</v>
      </c>
      <c r="C48" s="62" t="s">
        <v>626</v>
      </c>
      <c r="D48" s="63" t="s">
        <v>36</v>
      </c>
      <c r="E48" s="62" t="s">
        <v>124</v>
      </c>
      <c r="F48" s="64" t="str">
        <f>IF(E48="","",IFERROR(IF(INDEX('Dashboard Items'!$B$2:$B$497,MATCH(E48,'Dashboard Items'!$A$2:$A$497,0))="Objective","Objectives go in the next column",IF(OR(D48="",INDEX('Dashboard Items'!$B$2:$B$497,MATCH(E48,'Dashboard Items'!$A$2:$A$497,0))=D48),INDEX('Dashboard Items'!$C$2:$C$497,MATCH(E48,'Dashboard Items'!$A$2:$A$497,0)),"Level does not match ID")),"ID not found"))</f>
        <v>Social Media</v>
      </c>
      <c r="G48" s="65"/>
      <c r="H48" s="64"/>
      <c r="I48" s="63"/>
      <c r="J48" s="63"/>
      <c r="K48" s="63"/>
      <c r="L48" s="63"/>
      <c r="M48" s="63"/>
      <c r="N48" s="63"/>
      <c r="O48" s="63" t="s">
        <v>30</v>
      </c>
      <c r="P48" s="63" t="s">
        <v>39</v>
      </c>
      <c r="Q48" s="63"/>
      <c r="R48" s="63"/>
      <c r="S48" s="63"/>
      <c r="T48" s="63"/>
    </row>
    <row r="49" spans="1:20" s="66" customFormat="1" x14ac:dyDescent="0.2">
      <c r="A49" s="62" t="str">
        <f t="shared" si="1"/>
        <v>PIO</v>
      </c>
      <c r="B49" s="62" t="s">
        <v>632</v>
      </c>
      <c r="C49" s="62" t="s">
        <v>627</v>
      </c>
      <c r="D49" s="63" t="s">
        <v>36</v>
      </c>
      <c r="E49" s="62" t="s">
        <v>124</v>
      </c>
      <c r="F49" s="64" t="str">
        <f>IF(E49="","",IFERROR(IF(INDEX('Dashboard Items'!$B$2:$B$497,MATCH(E49,'Dashboard Items'!$A$2:$A$497,0))="Objective","Objectives go in the next column",IF(OR(D49="",INDEX('Dashboard Items'!$B$2:$B$497,MATCH(E49,'Dashboard Items'!$A$2:$A$497,0))=D49),INDEX('Dashboard Items'!$C$2:$C$497,MATCH(E49,'Dashboard Items'!$A$2:$A$497,0)),"Level does not match ID")),"ID not found"))</f>
        <v>Social Media</v>
      </c>
      <c r="G49" s="65"/>
      <c r="H49" s="64"/>
      <c r="I49" s="63"/>
      <c r="J49" s="63"/>
      <c r="K49" s="63"/>
      <c r="L49" s="63"/>
      <c r="M49" s="63"/>
      <c r="N49" s="63"/>
      <c r="O49" s="63" t="s">
        <v>30</v>
      </c>
      <c r="P49" s="63" t="s">
        <v>39</v>
      </c>
      <c r="Q49" s="63"/>
      <c r="R49" s="63"/>
      <c r="S49" s="63"/>
      <c r="T49" s="63"/>
    </row>
    <row r="50" spans="1:20" s="71" customFormat="1" x14ac:dyDescent="0.2">
      <c r="A50" s="67" t="str">
        <f t="shared" si="1"/>
        <v>TRAN</v>
      </c>
      <c r="B50" s="67" t="s">
        <v>451</v>
      </c>
      <c r="C50" s="67" t="s">
        <v>460</v>
      </c>
      <c r="D50" s="68" t="s">
        <v>36</v>
      </c>
      <c r="E50" s="67" t="s">
        <v>251</v>
      </c>
      <c r="F50" s="69" t="str">
        <f>IF(E50="","",IFERROR(IF(INDEX('Dashboard Items'!$B$2:$B$497,MATCH(E50,'Dashboard Items'!$A$2:$A$497,0))="Objective","Objectives go in the next column",IF(OR(D50="",INDEX('Dashboard Items'!$B$2:$B$497,MATCH(E50,'Dashboard Items'!$A$2:$A$497,0))=D50),INDEX('Dashboard Items'!$C$2:$C$497,MATCH(E50,'Dashboard Items'!$A$2:$A$497,0)),"Level does not match ID")),"ID not found"))</f>
        <v>Parking Management</v>
      </c>
      <c r="G50" s="70" t="s">
        <v>92</v>
      </c>
      <c r="H50" s="69" t="str">
        <f>IF(G50="","",IF(ISNUMBER(SEARCH(",",G50)),"Several items (the script lists them)",IFERROR(INDEX('Dashboard Items'!$B$2:$B$497,MATCH(G50,'Dashboard Items'!$A$2:$A$497,0))&amp;": "&amp;INDEX('Dashboard Items'!$C$2:$C$497,MATCH(G50,'Dashboard Items'!$A$2:$A$497,0)),"ID not found")))</f>
        <v>Key Service: Transit Services</v>
      </c>
      <c r="I50" s="67" t="s">
        <v>29</v>
      </c>
      <c r="J50" s="68">
        <v>2</v>
      </c>
      <c r="K50" s="68" t="s">
        <v>362</v>
      </c>
      <c r="L50" s="68" t="s">
        <v>9</v>
      </c>
      <c r="M50" s="68">
        <v>0</v>
      </c>
      <c r="N50" s="68">
        <v>0</v>
      </c>
      <c r="O50" s="68" t="s">
        <v>30</v>
      </c>
      <c r="P50" s="67" t="s">
        <v>39</v>
      </c>
      <c r="Q50" s="67" t="s">
        <v>455</v>
      </c>
      <c r="R50" s="68"/>
      <c r="S50" s="68"/>
      <c r="T50" s="68"/>
    </row>
    <row r="51" spans="1:20" s="71" customFormat="1" x14ac:dyDescent="0.2">
      <c r="A51" s="67" t="str">
        <f t="shared" si="1"/>
        <v>TRAN</v>
      </c>
      <c r="B51" s="67" t="s">
        <v>452</v>
      </c>
      <c r="C51" s="67" t="s">
        <v>461</v>
      </c>
      <c r="D51" s="68" t="s">
        <v>36</v>
      </c>
      <c r="E51" s="67" t="s">
        <v>251</v>
      </c>
      <c r="F51" s="69" t="str">
        <f>IF(E51="","",IFERROR(IF(INDEX('Dashboard Items'!$B$2:$B$497,MATCH(E51,'Dashboard Items'!$A$2:$A$497,0))="Objective","Objectives go in the next column",IF(OR(D51="",INDEX('Dashboard Items'!$B$2:$B$497,MATCH(E51,'Dashboard Items'!$A$2:$A$497,0))=D51),INDEX('Dashboard Items'!$C$2:$C$497,MATCH(E51,'Dashboard Items'!$A$2:$A$497,0)),"Level does not match ID")),"ID not found"))</f>
        <v>Parking Management</v>
      </c>
      <c r="G51" s="72"/>
      <c r="H51" s="69" t="str">
        <f>IF(G51="","",IF(ISNUMBER(SEARCH(",",G51)),"Several items (the script lists them)",IFERROR(INDEX('Dashboard Items'!$B$2:$B$497,MATCH(G51,'Dashboard Items'!$A$2:$A$497,0))&amp;": "&amp;INDEX('Dashboard Items'!$C$2:$C$497,MATCH(G51,'Dashboard Items'!$A$2:$A$497,0)),"ID not found")))</f>
        <v/>
      </c>
      <c r="I51" s="67" t="s">
        <v>386</v>
      </c>
      <c r="J51" s="68">
        <v>2</v>
      </c>
      <c r="K51" s="68" t="s">
        <v>30</v>
      </c>
      <c r="L51" s="68" t="s">
        <v>9</v>
      </c>
      <c r="M51" s="68">
        <v>0</v>
      </c>
      <c r="N51" s="68">
        <v>0</v>
      </c>
      <c r="O51" s="68" t="s">
        <v>30</v>
      </c>
      <c r="P51" s="67" t="s">
        <v>39</v>
      </c>
      <c r="Q51" s="67" t="s">
        <v>455</v>
      </c>
      <c r="R51" s="68"/>
      <c r="S51" s="68"/>
      <c r="T51" s="68"/>
    </row>
    <row r="52" spans="1:20" s="71" customFormat="1" x14ac:dyDescent="0.2">
      <c r="A52" s="67" t="str">
        <f t="shared" si="1"/>
        <v>TRAN</v>
      </c>
      <c r="B52" s="67" t="s">
        <v>453</v>
      </c>
      <c r="C52" s="67" t="s">
        <v>462</v>
      </c>
      <c r="D52" s="68" t="s">
        <v>36</v>
      </c>
      <c r="E52" s="67" t="s">
        <v>251</v>
      </c>
      <c r="F52" s="69" t="str">
        <f>IF(E52="","",IFERROR(IF(INDEX('Dashboard Items'!$B$2:$B$497,MATCH(E52,'Dashboard Items'!$A$2:$A$497,0))="Objective","Objectives go in the next column",IF(OR(D52="",INDEX('Dashboard Items'!$B$2:$B$497,MATCH(E52,'Dashboard Items'!$A$2:$A$497,0))=D52),INDEX('Dashboard Items'!$C$2:$C$497,MATCH(E52,'Dashboard Items'!$A$2:$A$497,0)),"Level does not match ID")),"ID not found"))</f>
        <v>Parking Management</v>
      </c>
      <c r="G52" s="72"/>
      <c r="H52" s="69" t="str">
        <f>IF(G52="","",IF(ISNUMBER(SEARCH(",",G52)),"Several items (the script lists them)",IFERROR(INDEX('Dashboard Items'!$B$2:$B$497,MATCH(G52,'Dashboard Items'!$A$2:$A$497,0))&amp;": "&amp;INDEX('Dashboard Items'!$C$2:$C$497,MATCH(G52,'Dashboard Items'!$A$2:$A$497,0)),"ID not found")))</f>
        <v/>
      </c>
      <c r="I52" s="67" t="s">
        <v>29</v>
      </c>
      <c r="J52" s="68">
        <v>2</v>
      </c>
      <c r="K52" s="68" t="s">
        <v>30</v>
      </c>
      <c r="L52" s="68" t="s">
        <v>9</v>
      </c>
      <c r="M52" s="68">
        <v>0</v>
      </c>
      <c r="N52" s="68">
        <v>0</v>
      </c>
      <c r="O52" s="68" t="s">
        <v>30</v>
      </c>
      <c r="P52" s="67" t="s">
        <v>39</v>
      </c>
      <c r="Q52" s="67" t="s">
        <v>455</v>
      </c>
      <c r="R52" s="68"/>
      <c r="S52" s="68"/>
      <c r="T52" s="68"/>
    </row>
    <row r="53" spans="1:20" s="71" customFormat="1" x14ac:dyDescent="0.2">
      <c r="A53" s="67" t="str">
        <f t="shared" si="1"/>
        <v>TRAN</v>
      </c>
      <c r="B53" s="67" t="s">
        <v>454</v>
      </c>
      <c r="C53" s="67" t="s">
        <v>463</v>
      </c>
      <c r="D53" s="68" t="s">
        <v>36</v>
      </c>
      <c r="E53" s="67" t="s">
        <v>251</v>
      </c>
      <c r="F53" s="69" t="str">
        <f>IF(E53="","",IFERROR(IF(INDEX('Dashboard Items'!$B$2:$B$497,MATCH(E53,'Dashboard Items'!$A$2:$A$497,0))="Objective","Objectives go in the next column",IF(OR(D53="",INDEX('Dashboard Items'!$B$2:$B$497,MATCH(E53,'Dashboard Items'!$A$2:$A$497,0))=D53),INDEX('Dashboard Items'!$C$2:$C$497,MATCH(E53,'Dashboard Items'!$A$2:$A$497,0)),"Level does not match ID")),"ID not found"))</f>
        <v>Parking Management</v>
      </c>
      <c r="G53" s="72"/>
      <c r="H53" s="69" t="str">
        <f>IF(G53="","",IF(ISNUMBER(SEARCH(",",G53)),"Several items (the script lists them)",IFERROR(INDEX('Dashboard Items'!$B$2:$B$497,MATCH(G53,'Dashboard Items'!$A$2:$A$497,0))&amp;": "&amp;INDEX('Dashboard Items'!$C$2:$C$497,MATCH(G53,'Dashboard Items'!$A$2:$A$497,0)),"ID not found")))</f>
        <v/>
      </c>
      <c r="I53" s="67" t="s">
        <v>29</v>
      </c>
      <c r="J53" s="68">
        <v>2</v>
      </c>
      <c r="K53" s="68" t="s">
        <v>30</v>
      </c>
      <c r="L53" s="68" t="s">
        <v>9</v>
      </c>
      <c r="M53" s="68">
        <v>0</v>
      </c>
      <c r="N53" s="68">
        <v>0</v>
      </c>
      <c r="O53" s="67" t="s">
        <v>30</v>
      </c>
      <c r="P53" s="67" t="s">
        <v>39</v>
      </c>
      <c r="Q53" s="67" t="s">
        <v>455</v>
      </c>
      <c r="R53" s="68"/>
      <c r="S53" s="68"/>
      <c r="T53" s="68"/>
    </row>
    <row r="54" spans="1:20" s="71" customFormat="1" x14ac:dyDescent="0.2">
      <c r="A54" s="67" t="str">
        <f t="shared" si="1"/>
        <v>TRAN</v>
      </c>
      <c r="B54" s="67" t="s">
        <v>457</v>
      </c>
      <c r="C54" s="67" t="s">
        <v>464</v>
      </c>
      <c r="D54" s="68" t="s">
        <v>36</v>
      </c>
      <c r="E54" s="67" t="s">
        <v>243</v>
      </c>
      <c r="F54" s="69" t="str">
        <f>IF(E54="","",IFERROR(IF(INDEX('Dashboard Items'!$B$2:$B$497,MATCH(E54,'Dashboard Items'!$A$2:$A$497,0))="Objective","Objectives go in the next column",IF(OR(D54="",INDEX('Dashboard Items'!$B$2:$B$497,MATCH(E54,'Dashboard Items'!$A$2:$A$497,0))=D54),INDEX('Dashboard Items'!$C$2:$C$497,MATCH(E54,'Dashboard Items'!$A$2:$A$497,0)),"Level does not match ID")),"ID not found"))</f>
        <v>Multimodal Programs</v>
      </c>
      <c r="G54" s="72"/>
      <c r="H54" s="69" t="str">
        <f>IF(G54="","",IF(ISNUMBER(SEARCH(",",G54)),"Several items (the script lists them)",IFERROR(INDEX('Dashboard Items'!$B$2:$B$497,MATCH(G54,'Dashboard Items'!$A$2:$A$497,0))&amp;": "&amp;INDEX('Dashboard Items'!$C$2:$C$497,MATCH(G54,'Dashboard Items'!$A$2:$A$497,0)),"ID not found")))</f>
        <v/>
      </c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</row>
    <row r="55" spans="1:20" s="71" customFormat="1" x14ac:dyDescent="0.2">
      <c r="A55" s="67" t="str">
        <f t="shared" si="1"/>
        <v>TRAN</v>
      </c>
      <c r="B55" s="67" t="s">
        <v>456</v>
      </c>
      <c r="C55" s="67" t="s">
        <v>465</v>
      </c>
      <c r="D55" s="68" t="s">
        <v>36</v>
      </c>
      <c r="E55" s="67" t="s">
        <v>243</v>
      </c>
      <c r="F55" s="69" t="str">
        <f>IF(E55="","",IFERROR(IF(INDEX('Dashboard Items'!$B$2:$B$497,MATCH(E55,'Dashboard Items'!$A$2:$A$497,0))="Objective","Objectives go in the next column",IF(OR(D55="",INDEX('Dashboard Items'!$B$2:$B$497,MATCH(E55,'Dashboard Items'!$A$2:$A$497,0))=D55),INDEX('Dashboard Items'!$C$2:$C$497,MATCH(E55,'Dashboard Items'!$A$2:$A$497,0)),"Level does not match ID")),"ID not found"))</f>
        <v>Multimodal Programs</v>
      </c>
      <c r="G55" s="70" t="s">
        <v>92</v>
      </c>
      <c r="H55" s="69" t="str">
        <f>IF(G55="","",IF(ISNUMBER(SEARCH(",",G55)),"Several items (the script lists them)",IFERROR(INDEX('Dashboard Items'!$B$2:$B$497,MATCH(G55,'Dashboard Items'!$A$2:$A$497,0))&amp;": "&amp;INDEX('Dashboard Items'!$C$2:$C$497,MATCH(G55,'Dashboard Items'!$A$2:$A$497,0)),"ID not found")))</f>
        <v>Key Service: Transit Services</v>
      </c>
      <c r="I55" s="67" t="s">
        <v>386</v>
      </c>
      <c r="J55" s="68">
        <v>2</v>
      </c>
      <c r="K55" s="68" t="s">
        <v>30</v>
      </c>
      <c r="L55" s="68" t="s">
        <v>9</v>
      </c>
      <c r="M55" s="68">
        <v>0</v>
      </c>
      <c r="N55" s="68">
        <v>0</v>
      </c>
      <c r="O55" s="67" t="s">
        <v>30</v>
      </c>
      <c r="P55" s="67" t="s">
        <v>39</v>
      </c>
      <c r="Q55" s="67" t="s">
        <v>459</v>
      </c>
      <c r="R55" s="68"/>
      <c r="S55" s="68"/>
      <c r="T55" s="68"/>
    </row>
    <row r="56" spans="1:20" s="71" customFormat="1" x14ac:dyDescent="0.2">
      <c r="A56" s="67" t="str">
        <f t="shared" si="1"/>
        <v>TRAN</v>
      </c>
      <c r="B56" s="67" t="s">
        <v>458</v>
      </c>
      <c r="C56" s="67" t="s">
        <v>466</v>
      </c>
      <c r="D56" s="68" t="s">
        <v>36</v>
      </c>
      <c r="E56" s="67" t="s">
        <v>243</v>
      </c>
      <c r="F56" s="69" t="str">
        <f>IF(E56="","",IFERROR(IF(INDEX('Dashboard Items'!$B$2:$B$497,MATCH(E56,'Dashboard Items'!$A$2:$A$497,0))="Objective","Objectives go in the next column",IF(OR(D56="",INDEX('Dashboard Items'!$B$2:$B$497,MATCH(E56,'Dashboard Items'!$A$2:$A$497,0))=D56),INDEX('Dashboard Items'!$C$2:$C$497,MATCH(E56,'Dashboard Items'!$A$2:$A$497,0)),"Level does not match ID")),"ID not found"))</f>
        <v>Multimodal Programs</v>
      </c>
      <c r="G56" s="70" t="s">
        <v>92</v>
      </c>
      <c r="H56" s="69" t="str">
        <f>IF(G56="","",IF(ISNUMBER(SEARCH(",",G56)),"Several items (the script lists them)",IFERROR(INDEX('Dashboard Items'!$B$2:$B$497,MATCH(G56,'Dashboard Items'!$A$2:$A$497,0))&amp;": "&amp;INDEX('Dashboard Items'!$C$2:$C$497,MATCH(G56,'Dashboard Items'!$A$2:$A$497,0)),"ID not found")))</f>
        <v>Key Service: Transit Services</v>
      </c>
      <c r="I56" s="67" t="s">
        <v>386</v>
      </c>
      <c r="J56" s="68">
        <v>2</v>
      </c>
      <c r="K56" s="68" t="s">
        <v>30</v>
      </c>
      <c r="L56" s="68" t="s">
        <v>9</v>
      </c>
      <c r="M56" s="68">
        <v>0</v>
      </c>
      <c r="N56" s="68">
        <v>0</v>
      </c>
      <c r="O56" s="67" t="s">
        <v>30</v>
      </c>
      <c r="P56" s="67" t="s">
        <v>39</v>
      </c>
      <c r="Q56" s="67" t="s">
        <v>459</v>
      </c>
      <c r="R56" s="68"/>
      <c r="S56" s="68"/>
      <c r="T56" s="68"/>
    </row>
    <row r="57" spans="1:20" s="73" customFormat="1" ht="16" x14ac:dyDescent="0.2">
      <c r="A57" s="73" t="str">
        <f t="shared" si="1"/>
        <v>PROS</v>
      </c>
      <c r="B57" s="74" t="s">
        <v>512</v>
      </c>
      <c r="C57" s="75" t="s">
        <v>509</v>
      </c>
      <c r="D57" s="76" t="s">
        <v>36</v>
      </c>
      <c r="E57" s="74" t="s">
        <v>169</v>
      </c>
      <c r="F57" s="77" t="str">
        <f>IF(E57="","",IFERROR(IF(INDEX('Dashboard Items'!$B$2:$B$497,MATCH(E57,'Dashboard Items'!$A$2:$A$497,0))="Objective","Objectives go in the next column",IF(OR(D57="",INDEX('Dashboard Items'!$B$2:$B$497,MATCH(E57,'Dashboard Items'!$A$2:$A$497,0))=D57),INDEX('Dashboard Items'!$C$2:$C$497,MATCH(E57,'Dashboard Items'!$A$2:$A$497,0)),"Level does not match ID")),"ID not found"))</f>
        <v>Housing Initiatives</v>
      </c>
      <c r="G57" s="78"/>
      <c r="H57" s="77" t="str">
        <f>IF(G57="","",IF(ISNUMBER(SEARCH(",",G57)),"Several items (the script lists them)",IFERROR(INDEX('Dashboard Items'!$B$2:$B$497,MATCH(G57,'Dashboard Items'!$A$2:$A$497,0))&amp;": "&amp;INDEX('Dashboard Items'!$C$2:$C$497,MATCH(G57,'Dashboard Items'!$A$2:$A$497,0)),"ID not found")))</f>
        <v/>
      </c>
      <c r="I57" s="76" t="s">
        <v>386</v>
      </c>
      <c r="J57" s="76">
        <v>2</v>
      </c>
      <c r="K57" s="76" t="s">
        <v>30</v>
      </c>
      <c r="L57" s="76" t="s">
        <v>9</v>
      </c>
      <c r="M57" s="76">
        <v>0</v>
      </c>
      <c r="N57" s="76">
        <v>0</v>
      </c>
      <c r="O57" s="76" t="s">
        <v>30</v>
      </c>
      <c r="P57" s="76" t="s">
        <v>39</v>
      </c>
      <c r="Q57" s="74" t="s">
        <v>587</v>
      </c>
      <c r="R57" s="76"/>
      <c r="S57" s="76"/>
      <c r="T57" s="74" t="s">
        <v>535</v>
      </c>
    </row>
    <row r="58" spans="1:20" s="73" customFormat="1" ht="16" x14ac:dyDescent="0.2">
      <c r="A58" s="73" t="str">
        <f t="shared" si="1"/>
        <v>PROS</v>
      </c>
      <c r="B58" s="74" t="s">
        <v>513</v>
      </c>
      <c r="C58" s="75" t="s">
        <v>510</v>
      </c>
      <c r="D58" s="76" t="s">
        <v>36</v>
      </c>
      <c r="E58" s="74" t="s">
        <v>169</v>
      </c>
      <c r="F58" s="77" t="str">
        <f>IF(E58="","",IFERROR(IF(INDEX('Dashboard Items'!$B$2:$B$497,MATCH(E58,'Dashboard Items'!$A$2:$A$497,0))="Objective","Objectives go in the next column",IF(OR(D58="",INDEX('Dashboard Items'!$B$2:$B$497,MATCH(E58,'Dashboard Items'!$A$2:$A$497,0))=D58),INDEX('Dashboard Items'!$C$2:$C$497,MATCH(E58,'Dashboard Items'!$A$2:$A$497,0)),"Level does not match ID")),"ID not found"))</f>
        <v>Housing Initiatives</v>
      </c>
      <c r="G58" s="78"/>
      <c r="H58" s="77" t="str">
        <f>IF(G58="","",IF(ISNUMBER(SEARCH(",",G58)),"Several items (the script lists them)",IFERROR(INDEX('Dashboard Items'!$B$2:$B$497,MATCH(G58,'Dashboard Items'!$A$2:$A$497,0))&amp;": "&amp;INDEX('Dashboard Items'!$C$2:$C$497,MATCH(G58,'Dashboard Items'!$A$2:$A$497,0)),"ID not found")))</f>
        <v/>
      </c>
      <c r="I58" s="76" t="s">
        <v>386</v>
      </c>
      <c r="J58" s="76">
        <v>2</v>
      </c>
      <c r="K58" s="76" t="s">
        <v>30</v>
      </c>
      <c r="L58" s="76" t="s">
        <v>9</v>
      </c>
      <c r="M58" s="76">
        <v>0</v>
      </c>
      <c r="N58" s="76">
        <v>0</v>
      </c>
      <c r="O58" s="76" t="s">
        <v>30</v>
      </c>
      <c r="P58" s="76" t="s">
        <v>39</v>
      </c>
      <c r="Q58" s="74" t="s">
        <v>587</v>
      </c>
      <c r="R58" s="76"/>
      <c r="S58" s="76"/>
      <c r="T58" s="76"/>
    </row>
    <row r="59" spans="1:20" s="73" customFormat="1" ht="16" x14ac:dyDescent="0.2">
      <c r="A59" s="73" t="str">
        <f t="shared" si="1"/>
        <v>PROS</v>
      </c>
      <c r="B59" s="74" t="s">
        <v>514</v>
      </c>
      <c r="C59" s="75" t="s">
        <v>511</v>
      </c>
      <c r="D59" s="76" t="s">
        <v>26</v>
      </c>
      <c r="E59" s="74" t="s">
        <v>80</v>
      </c>
      <c r="F59" s="77" t="str">
        <f>IF(E59="","",IFERROR(IF(INDEX('Dashboard Items'!$B$2:$B$497,MATCH(E59,'Dashboard Items'!$A$2:$A$497,0))="Objective","Objectives go in the next column",IF(OR(D59="",INDEX('Dashboard Items'!$B$2:$B$497,MATCH(E59,'Dashboard Items'!$A$2:$A$497,0))=D59),INDEX('Dashboard Items'!$C$2:$C$497,MATCH(E59,'Dashboard Items'!$A$2:$A$497,0)),"Level does not match ID")),"ID not found"))</f>
        <v>Community Development &amp; Planning</v>
      </c>
      <c r="G59" s="79" t="s">
        <v>169</v>
      </c>
      <c r="H59" s="77" t="str">
        <f>IF(G59="","",IF(ISNUMBER(SEARCH(",",G59)),"Several items (the script lists them)",IFERROR(INDEX('Dashboard Items'!$B$2:$B$497,MATCH(G59,'Dashboard Items'!$A$2:$A$497,0))&amp;": "&amp;INDEX('Dashboard Items'!$C$2:$C$497,MATCH(G59,'Dashboard Items'!$A$2:$A$497,0)),"ID not found")))</f>
        <v>Program: Housing Initiatives</v>
      </c>
      <c r="I59" s="76" t="s">
        <v>386</v>
      </c>
      <c r="J59" s="76">
        <v>2</v>
      </c>
      <c r="K59" s="76" t="s">
        <v>30</v>
      </c>
      <c r="L59" s="76" t="s">
        <v>9</v>
      </c>
      <c r="M59" s="76">
        <v>0</v>
      </c>
      <c r="N59" s="76">
        <v>0</v>
      </c>
      <c r="O59" s="76" t="s">
        <v>30</v>
      </c>
      <c r="P59" s="76" t="s">
        <v>39</v>
      </c>
      <c r="Q59" s="74" t="s">
        <v>587</v>
      </c>
      <c r="R59" s="76"/>
      <c r="S59" s="76"/>
      <c r="T59" s="76"/>
    </row>
    <row r="60" spans="1:20" s="73" customFormat="1" ht="16" x14ac:dyDescent="0.2">
      <c r="A60" s="73" t="str">
        <f t="shared" si="1"/>
        <v>PROS</v>
      </c>
      <c r="B60" s="74" t="s">
        <v>522</v>
      </c>
      <c r="C60" s="75" t="s">
        <v>515</v>
      </c>
      <c r="D60" s="76" t="s">
        <v>36</v>
      </c>
      <c r="E60" s="74" t="s">
        <v>173</v>
      </c>
      <c r="F60" s="77" t="str">
        <f>IF(E60="","",IFERROR(IF(INDEX('Dashboard Items'!$B$2:$B$497,MATCH(E60,'Dashboard Items'!$A$2:$A$497,0))="Objective","Objectives go in the next column",IF(OR(D60="",INDEX('Dashboard Items'!$B$2:$B$497,MATCH(E60,'Dashboard Items'!$A$2:$A$497,0))=D60),INDEX('Dashboard Items'!$C$2:$C$497,MATCH(E60,'Dashboard Items'!$A$2:$A$497,0)),"Level does not match ID")),"ID not found"))</f>
        <v>Community Investments, Partnerships, and Grant Making</v>
      </c>
      <c r="G60" s="78"/>
      <c r="H60" s="77" t="str">
        <f>IF(G60="","",IF(ISNUMBER(SEARCH(",",G60)),"Several items (the script lists them)",IFERROR(INDEX('Dashboard Items'!$B$2:$B$497,MATCH(G60,'Dashboard Items'!$A$2:$A$497,0))&amp;": "&amp;INDEX('Dashboard Items'!$C$2:$C$497,MATCH(G60,'Dashboard Items'!$A$2:$A$497,0)),"ID not found")))</f>
        <v/>
      </c>
      <c r="I60" s="76" t="s">
        <v>386</v>
      </c>
      <c r="J60" s="76">
        <v>2</v>
      </c>
      <c r="K60" s="76" t="s">
        <v>30</v>
      </c>
      <c r="L60" s="76" t="s">
        <v>9</v>
      </c>
      <c r="M60" s="76">
        <v>0</v>
      </c>
      <c r="N60" s="76">
        <v>0</v>
      </c>
      <c r="O60" s="76" t="s">
        <v>30</v>
      </c>
      <c r="P60" s="76" t="s">
        <v>39</v>
      </c>
      <c r="Q60" s="74" t="s">
        <v>587</v>
      </c>
      <c r="R60" s="76"/>
      <c r="S60" s="76"/>
      <c r="T60" s="76"/>
    </row>
    <row r="61" spans="1:20" s="73" customFormat="1" ht="16" x14ac:dyDescent="0.2">
      <c r="A61" s="73" t="str">
        <f t="shared" si="1"/>
        <v>PROS</v>
      </c>
      <c r="B61" s="74" t="s">
        <v>523</v>
      </c>
      <c r="C61" s="75" t="s">
        <v>516</v>
      </c>
      <c r="D61" s="76" t="s">
        <v>36</v>
      </c>
      <c r="E61" s="74" t="s">
        <v>173</v>
      </c>
      <c r="F61" s="77" t="str">
        <f>IF(E61="","",IFERROR(IF(INDEX('Dashboard Items'!$B$2:$B$497,MATCH(E61,'Dashboard Items'!$A$2:$A$497,0))="Objective","Objectives go in the next column",IF(OR(D61="",INDEX('Dashboard Items'!$B$2:$B$497,MATCH(E61,'Dashboard Items'!$A$2:$A$497,0))=D61),INDEX('Dashboard Items'!$C$2:$C$497,MATCH(E61,'Dashboard Items'!$A$2:$A$497,0)),"Level does not match ID")),"ID not found"))</f>
        <v>Community Investments, Partnerships, and Grant Making</v>
      </c>
      <c r="G61" s="78"/>
      <c r="H61" s="77" t="str">
        <f>IF(G61="","",IF(ISNUMBER(SEARCH(",",G61)),"Several items (the script lists them)",IFERROR(INDEX('Dashboard Items'!$B$2:$B$497,MATCH(G61,'Dashboard Items'!$A$2:$A$497,0))&amp;": "&amp;INDEX('Dashboard Items'!$C$2:$C$497,MATCH(G61,'Dashboard Items'!$A$2:$A$497,0)),"ID not found")))</f>
        <v/>
      </c>
      <c r="I61" s="76" t="s">
        <v>386</v>
      </c>
      <c r="J61" s="76">
        <v>2</v>
      </c>
      <c r="K61" s="76" t="s">
        <v>30</v>
      </c>
      <c r="L61" s="76" t="s">
        <v>9</v>
      </c>
      <c r="M61" s="76">
        <v>0</v>
      </c>
      <c r="N61" s="76">
        <v>0</v>
      </c>
      <c r="O61" s="76" t="s">
        <v>30</v>
      </c>
      <c r="P61" s="76" t="s">
        <v>39</v>
      </c>
      <c r="Q61" s="74" t="s">
        <v>587</v>
      </c>
      <c r="R61" s="76"/>
      <c r="S61" s="76"/>
      <c r="T61" s="76"/>
    </row>
    <row r="62" spans="1:20" s="73" customFormat="1" ht="16" x14ac:dyDescent="0.2">
      <c r="A62" s="73" t="str">
        <f t="shared" si="1"/>
        <v>PROS</v>
      </c>
      <c r="B62" s="74" t="s">
        <v>524</v>
      </c>
      <c r="C62" s="75" t="s">
        <v>517</v>
      </c>
      <c r="D62" s="76" t="s">
        <v>26</v>
      </c>
      <c r="E62" s="74" t="s">
        <v>82</v>
      </c>
      <c r="F62" s="77" t="str">
        <f>IF(E62="","",IFERROR(IF(INDEX('Dashboard Items'!$B$2:$B$497,MATCH(E62,'Dashboard Items'!$A$2:$A$497,0))="Objective","Objectives go in the next column",IF(OR(D62="",INDEX('Dashboard Items'!$B$2:$B$497,MATCH(E62,'Dashboard Items'!$A$2:$A$497,0))=D62),INDEX('Dashboard Items'!$C$2:$C$497,MATCH(E62,'Dashboard Items'!$A$2:$A$497,0)),"Level does not match ID")),"ID not found"))</f>
        <v>Economic Prosperity &amp; Business Support</v>
      </c>
      <c r="G62" s="79" t="s">
        <v>173</v>
      </c>
      <c r="H62" s="77" t="str">
        <f>IF(G62="","",IF(ISNUMBER(SEARCH(",",G62)),"Several items (the script lists them)",IFERROR(INDEX('Dashboard Items'!$B$2:$B$497,MATCH(G62,'Dashboard Items'!$A$2:$A$497,0))&amp;": "&amp;INDEX('Dashboard Items'!$C$2:$C$497,MATCH(G62,'Dashboard Items'!$A$2:$A$497,0)),"ID not found")))</f>
        <v>Program: Community Investments, Partnerships, and Grant Making</v>
      </c>
      <c r="I62" s="74" t="s">
        <v>29</v>
      </c>
      <c r="J62" s="76">
        <v>2</v>
      </c>
      <c r="K62" s="76" t="s">
        <v>30</v>
      </c>
      <c r="L62" s="76" t="s">
        <v>9</v>
      </c>
      <c r="M62" s="76">
        <v>0</v>
      </c>
      <c r="N62" s="76">
        <v>0</v>
      </c>
      <c r="O62" s="76" t="s">
        <v>30</v>
      </c>
      <c r="P62" s="76" t="s">
        <v>39</v>
      </c>
      <c r="Q62" s="74" t="s">
        <v>587</v>
      </c>
      <c r="R62" s="76"/>
      <c r="S62" s="76"/>
      <c r="T62" s="76"/>
    </row>
    <row r="63" spans="1:20" s="73" customFormat="1" ht="16" x14ac:dyDescent="0.2">
      <c r="A63" s="73" t="str">
        <f t="shared" si="1"/>
        <v>PROS</v>
      </c>
      <c r="B63" s="74" t="s">
        <v>525</v>
      </c>
      <c r="C63" s="75" t="s">
        <v>518</v>
      </c>
      <c r="D63" s="76" t="s">
        <v>26</v>
      </c>
      <c r="E63" s="74" t="s">
        <v>82</v>
      </c>
      <c r="F63" s="77" t="str">
        <f>IF(E63="","",IFERROR(IF(INDEX('Dashboard Items'!$B$2:$B$497,MATCH(E63,'Dashboard Items'!$A$2:$A$497,0))="Objective","Objectives go in the next column",IF(OR(D63="",INDEX('Dashboard Items'!$B$2:$B$497,MATCH(E63,'Dashboard Items'!$A$2:$A$497,0))=D63),INDEX('Dashboard Items'!$C$2:$C$497,MATCH(E63,'Dashboard Items'!$A$2:$A$497,0)),"Level does not match ID")),"ID not found"))</f>
        <v>Economic Prosperity &amp; Business Support</v>
      </c>
      <c r="G63" s="79" t="s">
        <v>173</v>
      </c>
      <c r="H63" s="77" t="str">
        <f>IF(G63="","",IF(ISNUMBER(SEARCH(",",G63)),"Several items (the script lists them)",IFERROR(INDEX('Dashboard Items'!$B$2:$B$497,MATCH(G63,'Dashboard Items'!$A$2:$A$497,0))&amp;": "&amp;INDEX('Dashboard Items'!$C$2:$C$497,MATCH(G63,'Dashboard Items'!$A$2:$A$497,0)),"ID not found")))</f>
        <v>Program: Community Investments, Partnerships, and Grant Making</v>
      </c>
      <c r="I63" s="74" t="s">
        <v>29</v>
      </c>
      <c r="J63" s="76">
        <v>2</v>
      </c>
      <c r="K63" s="76" t="s">
        <v>30</v>
      </c>
      <c r="L63" s="76" t="s">
        <v>9</v>
      </c>
      <c r="M63" s="76">
        <v>0</v>
      </c>
      <c r="N63" s="76">
        <v>0</v>
      </c>
      <c r="O63" s="76" t="s">
        <v>30</v>
      </c>
      <c r="P63" s="76" t="s">
        <v>39</v>
      </c>
      <c r="Q63" s="74" t="s">
        <v>587</v>
      </c>
      <c r="R63" s="76"/>
      <c r="S63" s="76"/>
      <c r="T63" s="76"/>
    </row>
    <row r="64" spans="1:20" s="73" customFormat="1" ht="16" x14ac:dyDescent="0.2">
      <c r="A64" s="73" t="str">
        <f t="shared" si="1"/>
        <v>PROS</v>
      </c>
      <c r="B64" s="74" t="s">
        <v>526</v>
      </c>
      <c r="C64" s="75" t="s">
        <v>519</v>
      </c>
      <c r="D64" s="76" t="s">
        <v>36</v>
      </c>
      <c r="E64" s="74" t="s">
        <v>175</v>
      </c>
      <c r="F64" s="77" t="str">
        <f>IF(E64="","",IFERROR(IF(INDEX('Dashboard Items'!$B$2:$B$497,MATCH(E64,'Dashboard Items'!$A$2:$A$497,0))="Objective","Objectives go in the next column",IF(OR(D64="",INDEX('Dashboard Items'!$B$2:$B$497,MATCH(E64,'Dashboard Items'!$A$2:$A$497,0))=D64),INDEX('Dashboard Items'!$C$2:$C$497,MATCH(E64,'Dashboard Items'!$A$2:$A$497,0)),"Level does not match ID")),"ID not found"))</f>
        <v>Business Support Services</v>
      </c>
      <c r="G64" s="78"/>
      <c r="H64" s="77" t="str">
        <f>IF(G64="","",IF(ISNUMBER(SEARCH(",",G64)),"Several items (the script lists them)",IFERROR(INDEX('Dashboard Items'!$B$2:$B$497,MATCH(G64,'Dashboard Items'!$A$2:$A$497,0))&amp;": "&amp;INDEX('Dashboard Items'!$C$2:$C$497,MATCH(G64,'Dashboard Items'!$A$2:$A$497,0)),"ID not found")))</f>
        <v/>
      </c>
      <c r="I64" s="76" t="s">
        <v>386</v>
      </c>
      <c r="J64" s="76">
        <v>2</v>
      </c>
      <c r="K64" s="76" t="s">
        <v>30</v>
      </c>
      <c r="L64" s="76" t="s">
        <v>9</v>
      </c>
      <c r="M64" s="76">
        <v>0</v>
      </c>
      <c r="N64" s="76">
        <v>0</v>
      </c>
      <c r="O64" s="76" t="s">
        <v>30</v>
      </c>
      <c r="P64" s="76" t="s">
        <v>39</v>
      </c>
      <c r="Q64" s="74" t="s">
        <v>587</v>
      </c>
      <c r="R64" s="76"/>
      <c r="S64" s="76"/>
      <c r="T64" s="76"/>
    </row>
    <row r="65" spans="1:20" s="73" customFormat="1" ht="16" x14ac:dyDescent="0.2">
      <c r="A65" s="73" t="str">
        <f t="shared" si="1"/>
        <v>PROS</v>
      </c>
      <c r="B65" s="74" t="s">
        <v>527</v>
      </c>
      <c r="C65" s="75" t="s">
        <v>520</v>
      </c>
      <c r="D65" s="76" t="s">
        <v>36</v>
      </c>
      <c r="E65" s="74" t="s">
        <v>175</v>
      </c>
      <c r="F65" s="77" t="str">
        <f>IF(E65="","",IFERROR(IF(INDEX('Dashboard Items'!$B$2:$B$497,MATCH(E65,'Dashboard Items'!$A$2:$A$497,0))="Objective","Objectives go in the next column",IF(OR(D65="",INDEX('Dashboard Items'!$B$2:$B$497,MATCH(E65,'Dashboard Items'!$A$2:$A$497,0))=D65),INDEX('Dashboard Items'!$C$2:$C$497,MATCH(E65,'Dashboard Items'!$A$2:$A$497,0)),"Level does not match ID")),"ID not found"))</f>
        <v>Business Support Services</v>
      </c>
      <c r="G65" s="78"/>
      <c r="H65" s="77" t="str">
        <f>IF(G65="","",IF(ISNUMBER(SEARCH(",",G65)),"Several items (the script lists them)",IFERROR(INDEX('Dashboard Items'!$B$2:$B$497,MATCH(G65,'Dashboard Items'!$A$2:$A$497,0))&amp;": "&amp;INDEX('Dashboard Items'!$C$2:$C$497,MATCH(G65,'Dashboard Items'!$A$2:$A$497,0)),"ID not found")))</f>
        <v/>
      </c>
      <c r="I65" s="76" t="s">
        <v>386</v>
      </c>
      <c r="J65" s="76">
        <v>2</v>
      </c>
      <c r="K65" s="76" t="s">
        <v>30</v>
      </c>
      <c r="L65" s="76" t="s">
        <v>9</v>
      </c>
      <c r="M65" s="76">
        <v>0</v>
      </c>
      <c r="N65" s="76">
        <v>0</v>
      </c>
      <c r="O65" s="76" t="s">
        <v>30</v>
      </c>
      <c r="P65" s="76" t="s">
        <v>39</v>
      </c>
      <c r="Q65" s="74" t="s">
        <v>587</v>
      </c>
      <c r="R65" s="76"/>
      <c r="S65" s="76"/>
      <c r="T65" s="76"/>
    </row>
    <row r="66" spans="1:20" s="73" customFormat="1" ht="16" x14ac:dyDescent="0.2">
      <c r="A66" s="73" t="str">
        <f t="shared" si="1"/>
        <v>PROS</v>
      </c>
      <c r="B66" s="74" t="s">
        <v>528</v>
      </c>
      <c r="C66" s="75" t="s">
        <v>521</v>
      </c>
      <c r="D66" s="76" t="s">
        <v>36</v>
      </c>
      <c r="E66" s="74" t="s">
        <v>175</v>
      </c>
      <c r="F66" s="77" t="str">
        <f>IF(E66="","",IFERROR(IF(INDEX('Dashboard Items'!$B$2:$B$497,MATCH(E66,'Dashboard Items'!$A$2:$A$497,0))="Objective","Objectives go in the next column",IF(OR(D66="",INDEX('Dashboard Items'!$B$2:$B$497,MATCH(E66,'Dashboard Items'!$A$2:$A$497,0))=D66),INDEX('Dashboard Items'!$C$2:$C$497,MATCH(E66,'Dashboard Items'!$A$2:$A$497,0)),"Level does not match ID")),"ID not found"))</f>
        <v>Business Support Services</v>
      </c>
      <c r="G66" s="78"/>
      <c r="H66" s="77" t="str">
        <f>IF(G66="","",IF(ISNUMBER(SEARCH(",",G66)),"Several items (the script lists them)",IFERROR(INDEX('Dashboard Items'!$B$2:$B$497,MATCH(G66,'Dashboard Items'!$A$2:$A$497,0))&amp;": "&amp;INDEX('Dashboard Items'!$C$2:$C$497,MATCH(G66,'Dashboard Items'!$A$2:$A$497,0)),"ID not found")))</f>
        <v/>
      </c>
      <c r="I66" s="76" t="s">
        <v>386</v>
      </c>
      <c r="J66" s="76">
        <v>2</v>
      </c>
      <c r="K66" s="76" t="s">
        <v>30</v>
      </c>
      <c r="L66" s="76" t="s">
        <v>9</v>
      </c>
      <c r="M66" s="76">
        <v>0</v>
      </c>
      <c r="N66" s="76">
        <v>0</v>
      </c>
      <c r="O66" s="76" t="s">
        <v>30</v>
      </c>
      <c r="P66" s="76" t="s">
        <v>39</v>
      </c>
      <c r="Q66" s="74" t="s">
        <v>587</v>
      </c>
      <c r="R66" s="76"/>
      <c r="S66" s="76"/>
      <c r="T66" s="76"/>
    </row>
    <row r="67" spans="1:20" s="73" customFormat="1" ht="16" x14ac:dyDescent="0.2">
      <c r="A67" s="73" t="str">
        <f t="shared" si="1"/>
        <v>PROS</v>
      </c>
      <c r="B67" s="74" t="s">
        <v>532</v>
      </c>
      <c r="C67" s="75" t="s">
        <v>529</v>
      </c>
      <c r="D67" s="76" t="s">
        <v>26</v>
      </c>
      <c r="E67" s="74" t="s">
        <v>102</v>
      </c>
      <c r="F67" s="77" t="str">
        <f>IF(E67="","",IFERROR(IF(INDEX('Dashboard Items'!$B$2:$B$497,MATCH(E67,'Dashboard Items'!$A$2:$A$497,0))="Objective","Objectives go in the next column",IF(OR(D67="",INDEX('Dashboard Items'!$B$2:$B$497,MATCH(E67,'Dashboard Items'!$A$2:$A$497,0))=D67),INDEX('Dashboard Items'!$C$2:$C$497,MATCH(E67,'Dashboard Items'!$A$2:$A$497,0)),"Level does not match ID")),"ID not found"))</f>
        <v>Recreation &amp; Community Programs</v>
      </c>
      <c r="G67" s="79" t="s">
        <v>136</v>
      </c>
      <c r="H67" s="77" t="str">
        <f>IF(G67="","",IF(ISNUMBER(SEARCH(",",G67)),"Several items (the script lists them)",IFERROR(INDEX('Dashboard Items'!$B$2:$B$497,MATCH(G67,'Dashboard Items'!$A$2:$A$497,0))&amp;": "&amp;INDEX('Dashboard Items'!$C$2:$C$497,MATCH(G67,'Dashboard Items'!$A$2:$A$497,0)),"ID not found")))</f>
        <v>Program: Vendor Management</v>
      </c>
      <c r="I67" s="76" t="s">
        <v>386</v>
      </c>
      <c r="J67" s="76">
        <v>2</v>
      </c>
      <c r="K67" s="76" t="s">
        <v>30</v>
      </c>
      <c r="L67" s="76" t="s">
        <v>9</v>
      </c>
      <c r="M67" s="76">
        <v>0</v>
      </c>
      <c r="N67" s="76">
        <v>0</v>
      </c>
      <c r="O67" s="76" t="s">
        <v>30</v>
      </c>
      <c r="P67" s="76" t="s">
        <v>39</v>
      </c>
      <c r="Q67" s="74" t="s">
        <v>587</v>
      </c>
      <c r="R67" s="76"/>
      <c r="S67" s="76"/>
      <c r="T67" s="76"/>
    </row>
    <row r="68" spans="1:20" s="73" customFormat="1" ht="16" x14ac:dyDescent="0.2">
      <c r="A68" s="73" t="str">
        <f t="shared" si="1"/>
        <v>PROS</v>
      </c>
      <c r="B68" s="74" t="s">
        <v>533</v>
      </c>
      <c r="C68" s="75" t="s">
        <v>530</v>
      </c>
      <c r="D68" s="76" t="s">
        <v>36</v>
      </c>
      <c r="E68" s="74" t="s">
        <v>136</v>
      </c>
      <c r="F68" s="77" t="str">
        <f>IF(E68="","",IFERROR(IF(INDEX('Dashboard Items'!$B$2:$B$497,MATCH(E68,'Dashboard Items'!$A$2:$A$497,0))="Objective","Objectives go in the next column",IF(OR(D68="",INDEX('Dashboard Items'!$B$2:$B$497,MATCH(E68,'Dashboard Items'!$A$2:$A$497,0))=D68),INDEX('Dashboard Items'!$C$2:$C$497,MATCH(E68,'Dashboard Items'!$A$2:$A$497,0)),"Level does not match ID")),"ID not found"))</f>
        <v>Vendor Management</v>
      </c>
      <c r="G68" s="78"/>
      <c r="H68" s="77" t="str">
        <f>IF(G68="","",IF(ISNUMBER(SEARCH(",",G68)),"Several items (the script lists them)",IFERROR(INDEX('Dashboard Items'!$B$2:$B$497,MATCH(G68,'Dashboard Items'!$A$2:$A$497,0))&amp;": "&amp;INDEX('Dashboard Items'!$C$2:$C$497,MATCH(G68,'Dashboard Items'!$A$2:$A$497,0)),"ID not found")))</f>
        <v/>
      </c>
      <c r="I68" s="76" t="s">
        <v>386</v>
      </c>
      <c r="J68" s="76">
        <v>2</v>
      </c>
      <c r="K68" s="76" t="s">
        <v>30</v>
      </c>
      <c r="L68" s="76" t="s">
        <v>9</v>
      </c>
      <c r="M68" s="76">
        <v>0</v>
      </c>
      <c r="N68" s="76">
        <v>0</v>
      </c>
      <c r="O68" s="76" t="s">
        <v>30</v>
      </c>
      <c r="P68" s="76" t="s">
        <v>39</v>
      </c>
      <c r="Q68" s="74" t="s">
        <v>587</v>
      </c>
      <c r="R68" s="76"/>
      <c r="S68" s="76"/>
      <c r="T68" s="76"/>
    </row>
    <row r="69" spans="1:20" s="73" customFormat="1" ht="16" x14ac:dyDescent="0.2">
      <c r="A69" s="73" t="str">
        <f t="shared" si="1"/>
        <v>PROS</v>
      </c>
      <c r="B69" s="74" t="s">
        <v>534</v>
      </c>
      <c r="C69" s="75" t="s">
        <v>531</v>
      </c>
      <c r="D69" s="76" t="s">
        <v>36</v>
      </c>
      <c r="E69" s="74" t="s">
        <v>136</v>
      </c>
      <c r="F69" s="77" t="str">
        <f>IF(E69="","",IFERROR(IF(INDEX('Dashboard Items'!$B$2:$B$497,MATCH(E69,'Dashboard Items'!$A$2:$A$497,0))="Objective","Objectives go in the next column",IF(OR(D69="",INDEX('Dashboard Items'!$B$2:$B$497,MATCH(E69,'Dashboard Items'!$A$2:$A$497,0))=D69),INDEX('Dashboard Items'!$C$2:$C$497,MATCH(E69,'Dashboard Items'!$A$2:$A$497,0)),"Level does not match ID")),"ID not found"))</f>
        <v>Vendor Management</v>
      </c>
      <c r="G69" s="78"/>
      <c r="H69" s="77" t="str">
        <f>IF(G69="","",IF(ISNUMBER(SEARCH(",",G69)),"Several items (the script lists them)",IFERROR(INDEX('Dashboard Items'!$B$2:$B$497,MATCH(G69,'Dashboard Items'!$A$2:$A$497,0))&amp;": "&amp;INDEX('Dashboard Items'!$C$2:$C$497,MATCH(G69,'Dashboard Items'!$A$2:$A$497,0)),"ID not found")))</f>
        <v/>
      </c>
      <c r="I69" s="76" t="s">
        <v>386</v>
      </c>
      <c r="J69" s="76">
        <v>2</v>
      </c>
      <c r="K69" s="76" t="s">
        <v>30</v>
      </c>
      <c r="L69" s="76" t="s">
        <v>9</v>
      </c>
      <c r="M69" s="76">
        <v>0</v>
      </c>
      <c r="N69" s="76">
        <v>0</v>
      </c>
      <c r="O69" s="76" t="s">
        <v>30</v>
      </c>
      <c r="P69" s="76" t="s">
        <v>39</v>
      </c>
      <c r="Q69" s="74" t="s">
        <v>587</v>
      </c>
      <c r="R69" s="76"/>
      <c r="S69" s="76"/>
      <c r="T69" s="76"/>
    </row>
    <row r="70" spans="1:20" s="83" customFormat="1" ht="16" x14ac:dyDescent="0.2">
      <c r="A70" s="83" t="str">
        <f t="shared" si="1"/>
        <v>PD</v>
      </c>
      <c r="B70" s="84" t="s">
        <v>546</v>
      </c>
      <c r="C70" s="85" t="s">
        <v>540</v>
      </c>
      <c r="D70" s="86" t="s">
        <v>26</v>
      </c>
      <c r="E70" s="84" t="s">
        <v>86</v>
      </c>
      <c r="F70" s="87" t="str">
        <f>IF(E70="","",IFERROR(IF(INDEX('Dashboard Items'!$B$2:$B$497,MATCH(E70,'Dashboard Items'!$A$2:$A$497,0))="Objective","Objectives go in the next column",IF(OR(D70="",INDEX('Dashboard Items'!$B$2:$B$497,MATCH(E70,'Dashboard Items'!$A$2:$A$497,0))=D70),INDEX('Dashboard Items'!$C$2:$C$497,MATCH(E70,'Dashboard Items'!$A$2:$A$497,0)),"Level does not match ID")),"ID not found"))</f>
        <v>Public Safety Services</v>
      </c>
      <c r="G70" s="88"/>
      <c r="H70" s="87" t="str">
        <f>IF(G70="","",IF(ISNUMBER(SEARCH(",",G70)),"Several items (the script lists them)",IFERROR(INDEX('Dashboard Items'!$B$2:$B$497,MATCH(G70,'Dashboard Items'!$A$2:$A$497,0))&amp;": "&amp;INDEX('Dashboard Items'!$C$2:$C$497,MATCH(G70,'Dashboard Items'!$A$2:$A$497,0)),"ID not found")))</f>
        <v/>
      </c>
      <c r="I70" s="86" t="s">
        <v>386</v>
      </c>
      <c r="J70" s="86">
        <v>2</v>
      </c>
      <c r="K70" s="86" t="s">
        <v>30</v>
      </c>
      <c r="L70" s="86" t="s">
        <v>9</v>
      </c>
      <c r="M70" s="86">
        <v>0</v>
      </c>
      <c r="N70" s="86">
        <v>0</v>
      </c>
      <c r="O70" s="86" t="s">
        <v>30</v>
      </c>
      <c r="P70" s="86" t="s">
        <v>39</v>
      </c>
      <c r="Q70" s="84" t="s">
        <v>586</v>
      </c>
      <c r="R70" s="86"/>
      <c r="S70" s="86"/>
      <c r="T70" s="86"/>
    </row>
    <row r="71" spans="1:20" s="83" customFormat="1" ht="16" x14ac:dyDescent="0.2">
      <c r="A71" s="83" t="str">
        <f t="shared" si="1"/>
        <v>PD</v>
      </c>
      <c r="B71" s="84" t="s">
        <v>547</v>
      </c>
      <c r="C71" s="85" t="s">
        <v>541</v>
      </c>
      <c r="D71" s="86" t="s">
        <v>26</v>
      </c>
      <c r="E71" s="84" t="s">
        <v>86</v>
      </c>
      <c r="F71" s="87" t="str">
        <f>IF(E71="","",IFERROR(IF(INDEX('Dashboard Items'!$B$2:$B$497,MATCH(E71,'Dashboard Items'!$A$2:$A$497,0))="Objective","Objectives go in the next column",IF(OR(D71="",INDEX('Dashboard Items'!$B$2:$B$497,MATCH(E71,'Dashboard Items'!$A$2:$A$497,0))=D71),INDEX('Dashboard Items'!$C$2:$C$497,MATCH(E71,'Dashboard Items'!$A$2:$A$497,0)),"Level does not match ID")),"ID not found"))</f>
        <v>Public Safety Services</v>
      </c>
      <c r="G71" s="88"/>
      <c r="H71" s="87" t="str">
        <f>IF(G71="","",IF(ISNUMBER(SEARCH(",",G71)),"Several items (the script lists them)",IFERROR(INDEX('Dashboard Items'!$B$2:$B$497,MATCH(G71,'Dashboard Items'!$A$2:$A$497,0))&amp;": "&amp;INDEX('Dashboard Items'!$C$2:$C$497,MATCH(G71,'Dashboard Items'!$A$2:$A$497,0)),"ID not found")))</f>
        <v/>
      </c>
      <c r="I71" s="86" t="s">
        <v>386</v>
      </c>
      <c r="J71" s="86">
        <v>2</v>
      </c>
      <c r="K71" s="86" t="s">
        <v>30</v>
      </c>
      <c r="L71" s="86" t="s">
        <v>9</v>
      </c>
      <c r="M71" s="86">
        <v>0</v>
      </c>
      <c r="N71" s="86">
        <v>0</v>
      </c>
      <c r="O71" s="86" t="s">
        <v>30</v>
      </c>
      <c r="P71" s="86" t="s">
        <v>39</v>
      </c>
      <c r="Q71" s="84" t="s">
        <v>586</v>
      </c>
      <c r="R71" s="86"/>
      <c r="S71" s="86"/>
      <c r="T71" s="86"/>
    </row>
    <row r="72" spans="1:20" s="83" customFormat="1" ht="16" x14ac:dyDescent="0.2">
      <c r="A72" s="83" t="str">
        <f t="shared" si="1"/>
        <v>PD</v>
      </c>
      <c r="B72" s="84" t="s">
        <v>548</v>
      </c>
      <c r="C72" s="85" t="s">
        <v>542</v>
      </c>
      <c r="D72" s="86" t="s">
        <v>26</v>
      </c>
      <c r="E72" s="84" t="s">
        <v>86</v>
      </c>
      <c r="F72" s="87" t="str">
        <f>IF(E72="","",IFERROR(IF(INDEX('Dashboard Items'!$B$2:$B$497,MATCH(E72,'Dashboard Items'!$A$2:$A$497,0))="Objective","Objectives go in the next column",IF(OR(D72="",INDEX('Dashboard Items'!$B$2:$B$497,MATCH(E72,'Dashboard Items'!$A$2:$A$497,0))=D72),INDEX('Dashboard Items'!$C$2:$C$497,MATCH(E72,'Dashboard Items'!$A$2:$A$497,0)),"Level does not match ID")),"ID not found"))</f>
        <v>Public Safety Services</v>
      </c>
      <c r="G72" s="88"/>
      <c r="H72" s="87" t="str">
        <f>IF(G72="","",IF(ISNUMBER(SEARCH(",",G72)),"Several items (the script lists them)",IFERROR(INDEX('Dashboard Items'!$B$2:$B$497,MATCH(G72,'Dashboard Items'!$A$2:$A$497,0))&amp;": "&amp;INDEX('Dashboard Items'!$C$2:$C$497,MATCH(G72,'Dashboard Items'!$A$2:$A$497,0)),"ID not found")))</f>
        <v/>
      </c>
      <c r="I72" s="86" t="s">
        <v>386</v>
      </c>
      <c r="J72" s="86">
        <v>2</v>
      </c>
      <c r="K72" s="86" t="s">
        <v>30</v>
      </c>
      <c r="L72" s="86" t="s">
        <v>9</v>
      </c>
      <c r="M72" s="86">
        <v>0</v>
      </c>
      <c r="N72" s="86">
        <v>0</v>
      </c>
      <c r="O72" s="86" t="s">
        <v>30</v>
      </c>
      <c r="P72" s="86" t="s">
        <v>39</v>
      </c>
      <c r="Q72" s="84" t="s">
        <v>586</v>
      </c>
      <c r="R72" s="86"/>
      <c r="S72" s="86"/>
      <c r="T72" s="86"/>
    </row>
    <row r="73" spans="1:20" s="83" customFormat="1" ht="16" x14ac:dyDescent="0.2">
      <c r="A73" s="83" t="str">
        <f t="shared" si="1"/>
        <v>PD</v>
      </c>
      <c r="B73" s="84" t="s">
        <v>549</v>
      </c>
      <c r="C73" s="85" t="s">
        <v>543</v>
      </c>
      <c r="D73" s="86" t="s">
        <v>26</v>
      </c>
      <c r="E73" s="84" t="s">
        <v>86</v>
      </c>
      <c r="F73" s="87" t="str">
        <f>IF(E73="","",IFERROR(IF(INDEX('Dashboard Items'!$B$2:$B$497,MATCH(E73,'Dashboard Items'!$A$2:$A$497,0))="Objective","Objectives go in the next column",IF(OR(D73="",INDEX('Dashboard Items'!$B$2:$B$497,MATCH(E73,'Dashboard Items'!$A$2:$A$497,0))=D73),INDEX('Dashboard Items'!$C$2:$C$497,MATCH(E73,'Dashboard Items'!$A$2:$A$497,0)),"Level does not match ID")),"ID not found"))</f>
        <v>Public Safety Services</v>
      </c>
      <c r="G73" s="89" t="s">
        <v>584</v>
      </c>
      <c r="H73" s="87" t="str">
        <f>IF(G73="","",IF(ISNUMBER(SEARCH(",",G73)),"Several items (the script lists them)",IFERROR(INDEX('Dashboard Items'!$B$2:$B$497,MATCH(G73,'Dashboard Items'!$A$2:$A$497,0))&amp;": "&amp;INDEX('Dashboard Items'!$C$2:$C$497,MATCH(G73,'Dashboard Items'!$A$2:$A$497,0)),"ID not found")))</f>
        <v>Several items (the script lists them)</v>
      </c>
      <c r="I73" s="86" t="s">
        <v>386</v>
      </c>
      <c r="J73" s="86">
        <v>2</v>
      </c>
      <c r="K73" s="86" t="s">
        <v>30</v>
      </c>
      <c r="L73" s="86" t="s">
        <v>9</v>
      </c>
      <c r="M73" s="86">
        <v>0</v>
      </c>
      <c r="N73" s="86">
        <v>0</v>
      </c>
      <c r="O73" s="86" t="s">
        <v>30</v>
      </c>
      <c r="P73" s="86" t="s">
        <v>39</v>
      </c>
      <c r="Q73" s="84" t="s">
        <v>586</v>
      </c>
      <c r="R73" s="86"/>
      <c r="S73" s="86"/>
      <c r="T73" s="86"/>
    </row>
    <row r="74" spans="1:20" s="83" customFormat="1" ht="16" x14ac:dyDescent="0.2">
      <c r="A74" s="83" t="str">
        <f t="shared" si="1"/>
        <v>PD</v>
      </c>
      <c r="B74" s="84" t="s">
        <v>550</v>
      </c>
      <c r="C74" s="85" t="s">
        <v>544</v>
      </c>
      <c r="D74" s="86" t="s">
        <v>26</v>
      </c>
      <c r="E74" s="84" t="s">
        <v>86</v>
      </c>
      <c r="F74" s="87" t="str">
        <f>IF(E74="","",IFERROR(IF(INDEX('Dashboard Items'!$B$2:$B$497,MATCH(E74,'Dashboard Items'!$A$2:$A$497,0))="Objective","Objectives go in the next column",IF(OR(D74="",INDEX('Dashboard Items'!$B$2:$B$497,MATCH(E74,'Dashboard Items'!$A$2:$A$497,0))=D74),INDEX('Dashboard Items'!$C$2:$C$497,MATCH(E74,'Dashboard Items'!$A$2:$A$497,0)),"Level does not match ID")),"ID not found"))</f>
        <v>Public Safety Services</v>
      </c>
      <c r="G74" s="88"/>
      <c r="H74" s="87" t="str">
        <f>IF(G74="","",IF(ISNUMBER(SEARCH(",",G74)),"Several items (the script lists them)",IFERROR(INDEX('Dashboard Items'!$B$2:$B$497,MATCH(G74,'Dashboard Items'!$A$2:$A$497,0))&amp;": "&amp;INDEX('Dashboard Items'!$C$2:$C$497,MATCH(G74,'Dashboard Items'!$A$2:$A$497,0)),"ID not found")))</f>
        <v/>
      </c>
      <c r="I74" s="86" t="s">
        <v>386</v>
      </c>
      <c r="J74" s="86">
        <v>2</v>
      </c>
      <c r="K74" s="86" t="s">
        <v>30</v>
      </c>
      <c r="L74" s="86" t="s">
        <v>9</v>
      </c>
      <c r="M74" s="86">
        <v>0</v>
      </c>
      <c r="N74" s="86">
        <v>0</v>
      </c>
      <c r="O74" s="86" t="s">
        <v>30</v>
      </c>
      <c r="P74" s="86" t="s">
        <v>39</v>
      </c>
      <c r="Q74" s="84" t="s">
        <v>586</v>
      </c>
      <c r="R74" s="86"/>
      <c r="S74" s="86"/>
      <c r="T74" s="86"/>
    </row>
    <row r="75" spans="1:20" s="83" customFormat="1" ht="16" x14ac:dyDescent="0.2">
      <c r="A75" s="83" t="str">
        <f t="shared" si="1"/>
        <v>PD</v>
      </c>
      <c r="B75" s="84" t="s">
        <v>551</v>
      </c>
      <c r="C75" s="85" t="s">
        <v>545</v>
      </c>
      <c r="D75" s="86" t="s">
        <v>26</v>
      </c>
      <c r="E75" s="84" t="s">
        <v>86</v>
      </c>
      <c r="F75" s="87" t="str">
        <f>IF(E75="","",IFERROR(IF(INDEX('Dashboard Items'!$B$2:$B$497,MATCH(E75,'Dashboard Items'!$A$2:$A$497,0))="Objective","Objectives go in the next column",IF(OR(D75="",INDEX('Dashboard Items'!$B$2:$B$497,MATCH(E75,'Dashboard Items'!$A$2:$A$497,0))=D75),INDEX('Dashboard Items'!$C$2:$C$497,MATCH(E75,'Dashboard Items'!$A$2:$A$497,0)),"Level does not match ID")),"ID not found"))</f>
        <v>Public Safety Services</v>
      </c>
      <c r="G75" s="88"/>
      <c r="H75" s="87" t="str">
        <f>IF(G75="","",IF(ISNUMBER(SEARCH(",",G75)),"Several items (the script lists them)",IFERROR(INDEX('Dashboard Items'!$B$2:$B$497,MATCH(G75,'Dashboard Items'!$A$2:$A$497,0))&amp;": "&amp;INDEX('Dashboard Items'!$C$2:$C$497,MATCH(G75,'Dashboard Items'!$A$2:$A$497,0)),"ID not found")))</f>
        <v/>
      </c>
      <c r="I75" s="86" t="s">
        <v>386</v>
      </c>
      <c r="J75" s="86">
        <v>2</v>
      </c>
      <c r="K75" s="86" t="s">
        <v>30</v>
      </c>
      <c r="L75" s="86" t="s">
        <v>9</v>
      </c>
      <c r="M75" s="86">
        <v>0</v>
      </c>
      <c r="N75" s="86">
        <v>0</v>
      </c>
      <c r="O75" s="86" t="s">
        <v>30</v>
      </c>
      <c r="P75" s="86" t="s">
        <v>39</v>
      </c>
      <c r="Q75" s="84" t="s">
        <v>586</v>
      </c>
      <c r="R75" s="86"/>
      <c r="S75" s="86"/>
      <c r="T75" s="86"/>
    </row>
    <row r="76" spans="1:20" s="83" customFormat="1" ht="16" x14ac:dyDescent="0.2">
      <c r="A76" s="83" t="str">
        <f t="shared" si="1"/>
        <v>PD</v>
      </c>
      <c r="B76" s="84" t="s">
        <v>565</v>
      </c>
      <c r="C76" s="85" t="s">
        <v>536</v>
      </c>
      <c r="D76" s="86" t="s">
        <v>36</v>
      </c>
      <c r="E76" s="84" t="s">
        <v>204</v>
      </c>
      <c r="F76" s="87" t="str">
        <f>IF(E76="","",IFERROR(IF(INDEX('Dashboard Items'!$B$2:$B$497,MATCH(E76,'Dashboard Items'!$A$2:$A$497,0))="Objective","Objectives go in the next column",IF(OR(D76="",INDEX('Dashboard Items'!$B$2:$B$497,MATCH(E76,'Dashboard Items'!$A$2:$A$497,0))=D76),INDEX('Dashboard Items'!$C$2:$C$497,MATCH(E76,'Dashboard Items'!$A$2:$A$497,0)),"Level does not match ID")),"ID not found"))</f>
        <v>Aircraft Rescue and Firefighting</v>
      </c>
      <c r="G76" s="88"/>
      <c r="H76" s="87" t="str">
        <f>IF(G76="","",IF(ISNUMBER(SEARCH(",",G76)),"Several items (the script lists them)",IFERROR(INDEX('Dashboard Items'!$B$2:$B$497,MATCH(G76,'Dashboard Items'!$A$2:$A$497,0))&amp;": "&amp;INDEX('Dashboard Items'!$C$2:$C$497,MATCH(G76,'Dashboard Items'!$A$2:$A$497,0)),"ID not found")))</f>
        <v/>
      </c>
      <c r="I76" s="86" t="s">
        <v>386</v>
      </c>
      <c r="J76" s="86">
        <v>2</v>
      </c>
      <c r="K76" s="86" t="s">
        <v>30</v>
      </c>
      <c r="L76" s="86" t="s">
        <v>9</v>
      </c>
      <c r="M76" s="86">
        <v>0</v>
      </c>
      <c r="N76" s="86">
        <v>0</v>
      </c>
      <c r="O76" s="86" t="s">
        <v>30</v>
      </c>
      <c r="P76" s="86" t="s">
        <v>39</v>
      </c>
      <c r="Q76" s="84" t="s">
        <v>586</v>
      </c>
      <c r="R76" s="86"/>
      <c r="S76" s="86"/>
      <c r="T76" s="86"/>
    </row>
    <row r="77" spans="1:20" s="83" customFormat="1" ht="16" x14ac:dyDescent="0.2">
      <c r="A77" s="83" t="str">
        <f t="shared" si="1"/>
        <v>PD</v>
      </c>
      <c r="B77" s="84" t="s">
        <v>566</v>
      </c>
      <c r="C77" s="85" t="s">
        <v>568</v>
      </c>
      <c r="D77" s="86" t="s">
        <v>36</v>
      </c>
      <c r="E77" s="84" t="s">
        <v>204</v>
      </c>
      <c r="F77" s="87" t="str">
        <f>IF(E77="","",IFERROR(IF(INDEX('Dashboard Items'!$B$2:$B$497,MATCH(E77,'Dashboard Items'!$A$2:$A$497,0))="Objective","Objectives go in the next column",IF(OR(D77="",INDEX('Dashboard Items'!$B$2:$B$497,MATCH(E77,'Dashboard Items'!$A$2:$A$497,0))=D77),INDEX('Dashboard Items'!$C$2:$C$497,MATCH(E77,'Dashboard Items'!$A$2:$A$497,0)),"Level does not match ID")),"ID not found"))</f>
        <v>Aircraft Rescue and Firefighting</v>
      </c>
      <c r="G77" s="88"/>
      <c r="H77" s="87" t="str">
        <f>IF(G77="","",IF(ISNUMBER(SEARCH(",",G77)),"Several items (the script lists them)",IFERROR(INDEX('Dashboard Items'!$B$2:$B$497,MATCH(G77,'Dashboard Items'!$A$2:$A$497,0))&amp;": "&amp;INDEX('Dashboard Items'!$C$2:$C$497,MATCH(G77,'Dashboard Items'!$A$2:$A$497,0)),"ID not found")))</f>
        <v/>
      </c>
      <c r="I77" s="86" t="s">
        <v>386</v>
      </c>
      <c r="J77" s="86">
        <v>2</v>
      </c>
      <c r="K77" s="86" t="s">
        <v>30</v>
      </c>
      <c r="L77" s="86" t="s">
        <v>9</v>
      </c>
      <c r="M77" s="86">
        <v>0</v>
      </c>
      <c r="N77" s="86">
        <v>0</v>
      </c>
      <c r="O77" s="86" t="s">
        <v>30</v>
      </c>
      <c r="P77" s="86" t="s">
        <v>39</v>
      </c>
      <c r="Q77" s="84" t="s">
        <v>586</v>
      </c>
      <c r="R77" s="86"/>
      <c r="S77" s="86"/>
      <c r="T77" s="86"/>
    </row>
    <row r="78" spans="1:20" s="83" customFormat="1" ht="16" x14ac:dyDescent="0.2">
      <c r="A78" s="83" t="str">
        <f t="shared" si="1"/>
        <v>PD</v>
      </c>
      <c r="B78" s="84" t="s">
        <v>567</v>
      </c>
      <c r="C78" s="85" t="s">
        <v>537</v>
      </c>
      <c r="D78" s="86" t="s">
        <v>36</v>
      </c>
      <c r="E78" s="84" t="s">
        <v>204</v>
      </c>
      <c r="F78" s="87" t="str">
        <f>IF(E78="","",IFERROR(IF(INDEX('Dashboard Items'!$B$2:$B$497,MATCH(E78,'Dashboard Items'!$A$2:$A$497,0))="Objective","Objectives go in the next column",IF(OR(D78="",INDEX('Dashboard Items'!$B$2:$B$497,MATCH(E78,'Dashboard Items'!$A$2:$A$497,0))=D78),INDEX('Dashboard Items'!$C$2:$C$497,MATCH(E78,'Dashboard Items'!$A$2:$A$497,0)),"Level does not match ID")),"ID not found"))</f>
        <v>Aircraft Rescue and Firefighting</v>
      </c>
      <c r="G78" s="88"/>
      <c r="H78" s="87" t="str">
        <f>IF(G78="","",IF(ISNUMBER(SEARCH(",",G78)),"Several items (the script lists them)",IFERROR(INDEX('Dashboard Items'!$B$2:$B$497,MATCH(G78,'Dashboard Items'!$A$2:$A$497,0))&amp;": "&amp;INDEX('Dashboard Items'!$C$2:$C$497,MATCH(G78,'Dashboard Items'!$A$2:$A$497,0)),"ID not found")))</f>
        <v/>
      </c>
      <c r="I78" s="86" t="s">
        <v>386</v>
      </c>
      <c r="J78" s="86">
        <v>2</v>
      </c>
      <c r="K78" s="86" t="s">
        <v>30</v>
      </c>
      <c r="L78" s="86" t="s">
        <v>9</v>
      </c>
      <c r="M78" s="86">
        <v>0</v>
      </c>
      <c r="N78" s="86">
        <v>0</v>
      </c>
      <c r="O78" s="86" t="s">
        <v>30</v>
      </c>
      <c r="P78" s="86" t="s">
        <v>39</v>
      </c>
      <c r="Q78" s="84" t="s">
        <v>586</v>
      </c>
      <c r="R78" s="86"/>
      <c r="S78" s="86"/>
      <c r="T78" s="86"/>
    </row>
    <row r="79" spans="1:20" s="83" customFormat="1" ht="16" x14ac:dyDescent="0.2">
      <c r="A79" s="83" t="str">
        <f t="shared" si="1"/>
        <v>PD</v>
      </c>
      <c r="B79" s="84" t="s">
        <v>569</v>
      </c>
      <c r="C79" s="85" t="s">
        <v>538</v>
      </c>
      <c r="D79" s="86" t="s">
        <v>36</v>
      </c>
      <c r="E79" s="84" t="s">
        <v>204</v>
      </c>
      <c r="F79" s="87" t="str">
        <f>IF(E79="","",IFERROR(IF(INDEX('Dashboard Items'!$B$2:$B$497,MATCH(E79,'Dashboard Items'!$A$2:$A$497,0))="Objective","Objectives go in the next column",IF(OR(D79="",INDEX('Dashboard Items'!$B$2:$B$497,MATCH(E79,'Dashboard Items'!$A$2:$A$497,0))=D79),INDEX('Dashboard Items'!$C$2:$C$497,MATCH(E79,'Dashboard Items'!$A$2:$A$497,0)),"Level does not match ID")),"ID not found"))</f>
        <v>Aircraft Rescue and Firefighting</v>
      </c>
      <c r="G79" s="88"/>
      <c r="H79" s="87" t="str">
        <f>IF(G79="","",IF(ISNUMBER(SEARCH(",",G79)),"Several items (the script lists them)",IFERROR(INDEX('Dashboard Items'!$B$2:$B$497,MATCH(G79,'Dashboard Items'!$A$2:$A$497,0))&amp;": "&amp;INDEX('Dashboard Items'!$C$2:$C$497,MATCH(G79,'Dashboard Items'!$A$2:$A$497,0)),"ID not found")))</f>
        <v/>
      </c>
      <c r="I79" s="86" t="s">
        <v>386</v>
      </c>
      <c r="J79" s="86">
        <v>2</v>
      </c>
      <c r="K79" s="86" t="s">
        <v>30</v>
      </c>
      <c r="L79" s="86" t="s">
        <v>9</v>
      </c>
      <c r="M79" s="86">
        <v>0</v>
      </c>
      <c r="N79" s="86">
        <v>0</v>
      </c>
      <c r="O79" s="86" t="s">
        <v>30</v>
      </c>
      <c r="P79" s="86" t="s">
        <v>39</v>
      </c>
      <c r="Q79" s="84" t="s">
        <v>586</v>
      </c>
      <c r="R79" s="86"/>
      <c r="S79" s="86"/>
      <c r="T79" s="86"/>
    </row>
    <row r="80" spans="1:20" s="83" customFormat="1" ht="16" x14ac:dyDescent="0.2">
      <c r="A80" s="83" t="str">
        <f t="shared" si="1"/>
        <v>PD</v>
      </c>
      <c r="B80" s="84" t="s">
        <v>570</v>
      </c>
      <c r="C80" s="85" t="s">
        <v>539</v>
      </c>
      <c r="D80" s="86" t="s">
        <v>36</v>
      </c>
      <c r="E80" s="84" t="s">
        <v>204</v>
      </c>
      <c r="F80" s="87" t="str">
        <f>IF(E80="","",IFERROR(IF(INDEX('Dashboard Items'!$B$2:$B$497,MATCH(E80,'Dashboard Items'!$A$2:$A$497,0))="Objective","Objectives go in the next column",IF(OR(D80="",INDEX('Dashboard Items'!$B$2:$B$497,MATCH(E80,'Dashboard Items'!$A$2:$A$497,0))=D80),INDEX('Dashboard Items'!$C$2:$C$497,MATCH(E80,'Dashboard Items'!$A$2:$A$497,0)),"Level does not match ID")),"ID not found"))</f>
        <v>Aircraft Rescue and Firefighting</v>
      </c>
      <c r="G80" s="88"/>
      <c r="H80" s="87" t="str">
        <f>IF(G80="","",IF(ISNUMBER(SEARCH(",",G80)),"Several items (the script lists them)",IFERROR(INDEX('Dashboard Items'!$B$2:$B$497,MATCH(G80,'Dashboard Items'!$A$2:$A$497,0))&amp;": "&amp;INDEX('Dashboard Items'!$C$2:$C$497,MATCH(G80,'Dashboard Items'!$A$2:$A$497,0)),"ID not found")))</f>
        <v/>
      </c>
      <c r="I80" s="86" t="s">
        <v>386</v>
      </c>
      <c r="J80" s="86">
        <v>2</v>
      </c>
      <c r="K80" s="86" t="s">
        <v>30</v>
      </c>
      <c r="L80" s="86" t="s">
        <v>9</v>
      </c>
      <c r="M80" s="86">
        <v>0</v>
      </c>
      <c r="N80" s="86">
        <v>0</v>
      </c>
      <c r="O80" s="86" t="s">
        <v>30</v>
      </c>
      <c r="P80" s="86" t="s">
        <v>39</v>
      </c>
      <c r="Q80" s="84" t="s">
        <v>586</v>
      </c>
      <c r="R80" s="86"/>
      <c r="S80" s="86"/>
      <c r="T80" s="86"/>
    </row>
    <row r="81" spans="1:20" s="83" customFormat="1" ht="16" x14ac:dyDescent="0.2">
      <c r="A81" s="83" t="str">
        <f t="shared" si="1"/>
        <v>PD</v>
      </c>
      <c r="B81" s="84" t="s">
        <v>571</v>
      </c>
      <c r="C81" s="85" t="s">
        <v>561</v>
      </c>
      <c r="D81" s="86" t="s">
        <v>36</v>
      </c>
      <c r="E81" s="84" t="s">
        <v>189</v>
      </c>
      <c r="F81" s="87" t="str">
        <f>IF(E81="","",IFERROR(IF(INDEX('Dashboard Items'!$B$2:$B$497,MATCH(E81,'Dashboard Items'!$A$2:$A$497,0))="Objective","Objectives go in the next column",IF(OR(D81="",INDEX('Dashboard Items'!$B$2:$B$497,MATCH(E81,'Dashboard Items'!$A$2:$A$497,0))=D81),INDEX('Dashboard Items'!$C$2:$C$497,MATCH(E81,'Dashboard Items'!$A$2:$A$497,0)),"Level does not match ID")),"ID not found"))</f>
        <v>Police Patrol</v>
      </c>
      <c r="G81" s="88"/>
      <c r="H81" s="87" t="str">
        <f>IF(G81="","",IF(ISNUMBER(SEARCH(",",G81)),"Several items (the script lists them)",IFERROR(INDEX('Dashboard Items'!$B$2:$B$497,MATCH(G81,'Dashboard Items'!$A$2:$A$497,0))&amp;": "&amp;INDEX('Dashboard Items'!$C$2:$C$497,MATCH(G81,'Dashboard Items'!$A$2:$A$497,0)),"ID not found")))</f>
        <v/>
      </c>
      <c r="I81" s="86" t="s">
        <v>386</v>
      </c>
      <c r="J81" s="86">
        <v>2</v>
      </c>
      <c r="K81" s="86" t="s">
        <v>30</v>
      </c>
      <c r="L81" s="86" t="s">
        <v>9</v>
      </c>
      <c r="M81" s="86">
        <v>0</v>
      </c>
      <c r="N81" s="86">
        <v>0</v>
      </c>
      <c r="O81" s="86" t="s">
        <v>30</v>
      </c>
      <c r="P81" s="86" t="s">
        <v>39</v>
      </c>
      <c r="Q81" s="84" t="s">
        <v>586</v>
      </c>
      <c r="R81" s="86"/>
      <c r="S81" s="86"/>
      <c r="T81" s="86"/>
    </row>
    <row r="82" spans="1:20" s="83" customFormat="1" ht="16" x14ac:dyDescent="0.2">
      <c r="A82" s="83" t="str">
        <f t="shared" si="1"/>
        <v>PD</v>
      </c>
      <c r="B82" s="84" t="s">
        <v>572</v>
      </c>
      <c r="C82" s="85" t="s">
        <v>562</v>
      </c>
      <c r="D82" s="86" t="s">
        <v>36</v>
      </c>
      <c r="E82" s="84" t="s">
        <v>189</v>
      </c>
      <c r="F82" s="87" t="str">
        <f>IF(E82="","",IFERROR(IF(INDEX('Dashboard Items'!$B$2:$B$497,MATCH(E82,'Dashboard Items'!$A$2:$A$497,0))="Objective","Objectives go in the next column",IF(OR(D82="",INDEX('Dashboard Items'!$B$2:$B$497,MATCH(E82,'Dashboard Items'!$A$2:$A$497,0))=D82),INDEX('Dashboard Items'!$C$2:$C$497,MATCH(E82,'Dashboard Items'!$A$2:$A$497,0)),"Level does not match ID")),"ID not found"))</f>
        <v>Police Patrol</v>
      </c>
      <c r="G82" s="88"/>
      <c r="H82" s="87" t="str">
        <f>IF(G82="","",IF(ISNUMBER(SEARCH(",",G82)),"Several items (the script lists them)",IFERROR(INDEX('Dashboard Items'!$B$2:$B$497,MATCH(G82,'Dashboard Items'!$A$2:$A$497,0))&amp;": "&amp;INDEX('Dashboard Items'!$C$2:$C$497,MATCH(G82,'Dashboard Items'!$A$2:$A$497,0)),"ID not found")))</f>
        <v/>
      </c>
      <c r="I82" s="86" t="s">
        <v>386</v>
      </c>
      <c r="J82" s="86">
        <v>2</v>
      </c>
      <c r="K82" s="86" t="s">
        <v>30</v>
      </c>
      <c r="L82" s="86" t="s">
        <v>9</v>
      </c>
      <c r="M82" s="86">
        <v>0</v>
      </c>
      <c r="N82" s="86">
        <v>0</v>
      </c>
      <c r="O82" s="86" t="s">
        <v>30</v>
      </c>
      <c r="P82" s="86" t="s">
        <v>39</v>
      </c>
      <c r="Q82" s="84" t="s">
        <v>586</v>
      </c>
      <c r="R82" s="86"/>
      <c r="S82" s="86"/>
      <c r="T82" s="86"/>
    </row>
    <row r="83" spans="1:20" s="83" customFormat="1" ht="16" x14ac:dyDescent="0.2">
      <c r="A83" s="83" t="str">
        <f t="shared" si="1"/>
        <v>PD</v>
      </c>
      <c r="B83" s="84" t="s">
        <v>573</v>
      </c>
      <c r="C83" s="85" t="s">
        <v>563</v>
      </c>
      <c r="D83" s="86" t="s">
        <v>36</v>
      </c>
      <c r="E83" s="84" t="s">
        <v>189</v>
      </c>
      <c r="F83" s="87" t="str">
        <f>IF(E83="","",IFERROR(IF(INDEX('Dashboard Items'!$B$2:$B$497,MATCH(E83,'Dashboard Items'!$A$2:$A$497,0))="Objective","Objectives go in the next column",IF(OR(D83="",INDEX('Dashboard Items'!$B$2:$B$497,MATCH(E83,'Dashboard Items'!$A$2:$A$497,0))=D83),INDEX('Dashboard Items'!$C$2:$C$497,MATCH(E83,'Dashboard Items'!$A$2:$A$497,0)),"Level does not match ID")),"ID not found"))</f>
        <v>Police Patrol</v>
      </c>
      <c r="G83" s="88"/>
      <c r="H83" s="87" t="str">
        <f>IF(G83="","",IF(ISNUMBER(SEARCH(",",G83)),"Several items (the script lists them)",IFERROR(INDEX('Dashboard Items'!$B$2:$B$497,MATCH(G83,'Dashboard Items'!$A$2:$A$497,0))&amp;": "&amp;INDEX('Dashboard Items'!$C$2:$C$497,MATCH(G83,'Dashboard Items'!$A$2:$A$497,0)),"ID not found")))</f>
        <v/>
      </c>
      <c r="I83" s="86" t="s">
        <v>386</v>
      </c>
      <c r="J83" s="86">
        <v>2</v>
      </c>
      <c r="K83" s="86" t="s">
        <v>30</v>
      </c>
      <c r="L83" s="86" t="s">
        <v>9</v>
      </c>
      <c r="M83" s="86">
        <v>0</v>
      </c>
      <c r="N83" s="86">
        <v>0</v>
      </c>
      <c r="O83" s="86" t="s">
        <v>30</v>
      </c>
      <c r="P83" s="86" t="s">
        <v>39</v>
      </c>
      <c r="Q83" s="84" t="s">
        <v>586</v>
      </c>
      <c r="R83" s="86"/>
      <c r="S83" s="86"/>
      <c r="T83" s="86"/>
    </row>
    <row r="84" spans="1:20" s="83" customFormat="1" ht="16" x14ac:dyDescent="0.2">
      <c r="A84" s="83" t="str">
        <f t="shared" si="1"/>
        <v>PD</v>
      </c>
      <c r="B84" s="84" t="s">
        <v>574</v>
      </c>
      <c r="C84" s="85" t="s">
        <v>564</v>
      </c>
      <c r="D84" s="86" t="s">
        <v>36</v>
      </c>
      <c r="E84" s="84" t="s">
        <v>189</v>
      </c>
      <c r="F84" s="87" t="str">
        <f>IF(E84="","",IFERROR(IF(INDEX('Dashboard Items'!$B$2:$B$497,MATCH(E84,'Dashboard Items'!$A$2:$A$497,0))="Objective","Objectives go in the next column",IF(OR(D84="",INDEX('Dashboard Items'!$B$2:$B$497,MATCH(E84,'Dashboard Items'!$A$2:$A$497,0))=D84),INDEX('Dashboard Items'!$C$2:$C$497,MATCH(E84,'Dashboard Items'!$A$2:$A$497,0)),"Level does not match ID")),"ID not found"))</f>
        <v>Police Patrol</v>
      </c>
      <c r="G84" s="88"/>
      <c r="H84" s="87" t="str">
        <f>IF(G84="","",IF(ISNUMBER(SEARCH(",",G84)),"Several items (the script lists them)",IFERROR(INDEX('Dashboard Items'!$B$2:$B$497,MATCH(G84,'Dashboard Items'!$A$2:$A$497,0))&amp;": "&amp;INDEX('Dashboard Items'!$C$2:$C$497,MATCH(G84,'Dashboard Items'!$A$2:$A$497,0)),"ID not found")))</f>
        <v/>
      </c>
      <c r="I84" s="86" t="s">
        <v>386</v>
      </c>
      <c r="J84" s="86">
        <v>2</v>
      </c>
      <c r="K84" s="86" t="s">
        <v>30</v>
      </c>
      <c r="L84" s="86" t="s">
        <v>9</v>
      </c>
      <c r="M84" s="86">
        <v>0</v>
      </c>
      <c r="N84" s="86">
        <v>0</v>
      </c>
      <c r="O84" s="86" t="s">
        <v>30</v>
      </c>
      <c r="P84" s="86" t="s">
        <v>39</v>
      </c>
      <c r="Q84" s="84" t="s">
        <v>586</v>
      </c>
      <c r="R84" s="86"/>
      <c r="S84" s="86"/>
      <c r="T84" s="86"/>
    </row>
    <row r="85" spans="1:20" s="83" customFormat="1" ht="16" x14ac:dyDescent="0.2">
      <c r="A85" s="83" t="str">
        <f t="shared" si="1"/>
        <v>PD</v>
      </c>
      <c r="B85" s="84" t="s">
        <v>575</v>
      </c>
      <c r="C85" s="85" t="s">
        <v>552</v>
      </c>
      <c r="D85" s="86" t="s">
        <v>36</v>
      </c>
      <c r="E85" s="89" t="s">
        <v>195</v>
      </c>
      <c r="F85" s="87" t="str">
        <f>IF(E85="","",IFERROR(IF(INDEX('Dashboard Items'!$B$2:$B$497,MATCH(E85,'Dashboard Items'!$A$2:$A$497,0))="Objective","Objectives go in the next column",IF(OR(D85="",INDEX('Dashboard Items'!$B$2:$B$497,MATCH(E85,'Dashboard Items'!$A$2:$A$497,0))=D85),INDEX('Dashboard Items'!$C$2:$C$497,MATCH(E85,'Dashboard Items'!$A$2:$A$497,0)),"Level does not match ID")),"ID not found"))</f>
        <v>Administrative Public Safety Services</v>
      </c>
      <c r="G85" s="88"/>
      <c r="H85" s="87" t="str">
        <f>IF(G85="","",IF(ISNUMBER(SEARCH(",",G85)),"Several items (the script lists them)",IFERROR(INDEX('Dashboard Items'!$B$2:$B$497,MATCH(G85,'Dashboard Items'!$A$2:$A$497,0))&amp;": "&amp;INDEX('Dashboard Items'!$C$2:$C$497,MATCH(G85,'Dashboard Items'!$A$2:$A$497,0)),"ID not found")))</f>
        <v/>
      </c>
      <c r="I85" s="86" t="s">
        <v>386</v>
      </c>
      <c r="J85" s="86">
        <v>2</v>
      </c>
      <c r="K85" s="86" t="s">
        <v>30</v>
      </c>
      <c r="L85" s="86" t="s">
        <v>9</v>
      </c>
      <c r="M85" s="86">
        <v>0</v>
      </c>
      <c r="N85" s="86">
        <v>0</v>
      </c>
      <c r="O85" s="86" t="s">
        <v>30</v>
      </c>
      <c r="P85" s="86" t="s">
        <v>39</v>
      </c>
      <c r="Q85" s="84" t="s">
        <v>586</v>
      </c>
      <c r="R85" s="86"/>
      <c r="S85" s="86"/>
      <c r="T85" s="86"/>
    </row>
    <row r="86" spans="1:20" s="83" customFormat="1" ht="16" x14ac:dyDescent="0.2">
      <c r="A86" s="83" t="str">
        <f t="shared" si="1"/>
        <v>PD</v>
      </c>
      <c r="B86" s="84" t="s">
        <v>576</v>
      </c>
      <c r="C86" s="85" t="s">
        <v>553</v>
      </c>
      <c r="D86" s="86" t="s">
        <v>36</v>
      </c>
      <c r="E86" s="89" t="s">
        <v>195</v>
      </c>
      <c r="F86" s="87" t="str">
        <f>IF(E86="","",IFERROR(IF(INDEX('Dashboard Items'!$B$2:$B$497,MATCH(E86,'Dashboard Items'!$A$2:$A$497,0))="Objective","Objectives go in the next column",IF(OR(D86="",INDEX('Dashboard Items'!$B$2:$B$497,MATCH(E86,'Dashboard Items'!$A$2:$A$497,0))=D86),INDEX('Dashboard Items'!$C$2:$C$497,MATCH(E86,'Dashboard Items'!$A$2:$A$497,0)),"Level does not match ID")),"ID not found"))</f>
        <v>Administrative Public Safety Services</v>
      </c>
      <c r="G86" s="88"/>
      <c r="H86" s="87" t="str">
        <f>IF(G86="","",IF(ISNUMBER(SEARCH(",",G86)),"Several items (the script lists them)",IFERROR(INDEX('Dashboard Items'!$B$2:$B$497,MATCH(G86,'Dashboard Items'!$A$2:$A$497,0))&amp;": "&amp;INDEX('Dashboard Items'!$C$2:$C$497,MATCH(G86,'Dashboard Items'!$A$2:$A$497,0)),"ID not found")))</f>
        <v/>
      </c>
      <c r="I86" s="86" t="s">
        <v>386</v>
      </c>
      <c r="J86" s="86">
        <v>2</v>
      </c>
      <c r="K86" s="86" t="s">
        <v>30</v>
      </c>
      <c r="L86" s="86" t="s">
        <v>9</v>
      </c>
      <c r="M86" s="86">
        <v>0</v>
      </c>
      <c r="N86" s="86">
        <v>0</v>
      </c>
      <c r="O86" s="86" t="s">
        <v>30</v>
      </c>
      <c r="P86" s="86" t="s">
        <v>39</v>
      </c>
      <c r="Q86" s="84" t="s">
        <v>586</v>
      </c>
      <c r="R86" s="86"/>
      <c r="S86" s="86"/>
      <c r="T86" s="86"/>
    </row>
    <row r="87" spans="1:20" s="83" customFormat="1" ht="16" x14ac:dyDescent="0.2">
      <c r="A87" s="83" t="str">
        <f t="shared" si="1"/>
        <v>PD</v>
      </c>
      <c r="B87" s="84" t="s">
        <v>577</v>
      </c>
      <c r="C87" s="85" t="s">
        <v>554</v>
      </c>
      <c r="D87" s="86" t="s">
        <v>36</v>
      </c>
      <c r="E87" s="89" t="s">
        <v>195</v>
      </c>
      <c r="F87" s="87" t="str">
        <f>IF(E87="","",IFERROR(IF(INDEX('Dashboard Items'!$B$2:$B$497,MATCH(E87,'Dashboard Items'!$A$2:$A$497,0))="Objective","Objectives go in the next column",IF(OR(D87="",INDEX('Dashboard Items'!$B$2:$B$497,MATCH(E87,'Dashboard Items'!$A$2:$A$497,0))=D87),INDEX('Dashboard Items'!$C$2:$C$497,MATCH(E87,'Dashboard Items'!$A$2:$A$497,0)),"Level does not match ID")),"ID not found"))</f>
        <v>Administrative Public Safety Services</v>
      </c>
      <c r="G87" s="88"/>
      <c r="H87" s="87" t="str">
        <f>IF(G87="","",IF(ISNUMBER(SEARCH(",",G87)),"Several items (the script lists them)",IFERROR(INDEX('Dashboard Items'!$B$2:$B$497,MATCH(G87,'Dashboard Items'!$A$2:$A$497,0))&amp;": "&amp;INDEX('Dashboard Items'!$C$2:$C$497,MATCH(G87,'Dashboard Items'!$A$2:$A$497,0)),"ID not found")))</f>
        <v/>
      </c>
      <c r="I87" s="86" t="s">
        <v>386</v>
      </c>
      <c r="J87" s="86">
        <v>2</v>
      </c>
      <c r="K87" s="86" t="s">
        <v>30</v>
      </c>
      <c r="L87" s="86" t="s">
        <v>9</v>
      </c>
      <c r="M87" s="86">
        <v>0</v>
      </c>
      <c r="N87" s="86">
        <v>0</v>
      </c>
      <c r="O87" s="86" t="s">
        <v>30</v>
      </c>
      <c r="P87" s="86" t="s">
        <v>39</v>
      </c>
      <c r="Q87" s="84" t="s">
        <v>586</v>
      </c>
      <c r="R87" s="86"/>
      <c r="S87" s="86"/>
      <c r="T87" s="86"/>
    </row>
    <row r="88" spans="1:20" s="83" customFormat="1" ht="16" x14ac:dyDescent="0.2">
      <c r="A88" s="83" t="str">
        <f t="shared" si="1"/>
        <v>PD</v>
      </c>
      <c r="B88" s="84" t="s">
        <v>578</v>
      </c>
      <c r="C88" s="85" t="s">
        <v>555</v>
      </c>
      <c r="D88" s="86" t="s">
        <v>36</v>
      </c>
      <c r="E88" s="89" t="s">
        <v>195</v>
      </c>
      <c r="F88" s="87" t="str">
        <f>IF(E88="","",IFERROR(IF(INDEX('Dashboard Items'!$B$2:$B$497,MATCH(E88,'Dashboard Items'!$A$2:$A$497,0))="Objective","Objectives go in the next column",IF(OR(D88="",INDEX('Dashboard Items'!$B$2:$B$497,MATCH(E88,'Dashboard Items'!$A$2:$A$497,0))=D88),INDEX('Dashboard Items'!$C$2:$C$497,MATCH(E88,'Dashboard Items'!$A$2:$A$497,0)),"Level does not match ID")),"ID not found"))</f>
        <v>Administrative Public Safety Services</v>
      </c>
      <c r="G88" s="88"/>
      <c r="H88" s="87" t="str">
        <f>IF(G88="","",IF(ISNUMBER(SEARCH(",",G88)),"Several items (the script lists them)",IFERROR(INDEX('Dashboard Items'!$B$2:$B$497,MATCH(G88,'Dashboard Items'!$A$2:$A$497,0))&amp;": "&amp;INDEX('Dashboard Items'!$C$2:$C$497,MATCH(G88,'Dashboard Items'!$A$2:$A$497,0)),"ID not found")))</f>
        <v/>
      </c>
      <c r="I88" s="86" t="s">
        <v>386</v>
      </c>
      <c r="J88" s="86">
        <v>2</v>
      </c>
      <c r="K88" s="86" t="s">
        <v>30</v>
      </c>
      <c r="L88" s="86" t="s">
        <v>9</v>
      </c>
      <c r="M88" s="86">
        <v>0</v>
      </c>
      <c r="N88" s="86">
        <v>0</v>
      </c>
      <c r="O88" s="86" t="s">
        <v>30</v>
      </c>
      <c r="P88" s="86" t="s">
        <v>39</v>
      </c>
      <c r="Q88" s="84" t="s">
        <v>586</v>
      </c>
      <c r="R88" s="86"/>
      <c r="S88" s="86"/>
      <c r="T88" s="86"/>
    </row>
    <row r="89" spans="1:20" s="83" customFormat="1" ht="16" x14ac:dyDescent="0.2">
      <c r="A89" s="83" t="str">
        <f t="shared" si="1"/>
        <v>PD</v>
      </c>
      <c r="B89" s="84" t="s">
        <v>579</v>
      </c>
      <c r="C89" s="85" t="s">
        <v>556</v>
      </c>
      <c r="D89" s="86" t="s">
        <v>36</v>
      </c>
      <c r="E89" s="89" t="s">
        <v>195</v>
      </c>
      <c r="F89" s="87" t="str">
        <f>IF(E89="","",IFERROR(IF(INDEX('Dashboard Items'!$B$2:$B$497,MATCH(E89,'Dashboard Items'!$A$2:$A$497,0))="Objective","Objectives go in the next column",IF(OR(D89="",INDEX('Dashboard Items'!$B$2:$B$497,MATCH(E89,'Dashboard Items'!$A$2:$A$497,0))=D89),INDEX('Dashboard Items'!$C$2:$C$497,MATCH(E89,'Dashboard Items'!$A$2:$A$497,0)),"Level does not match ID")),"ID not found"))</f>
        <v>Administrative Public Safety Services</v>
      </c>
      <c r="G89" s="88"/>
      <c r="H89" s="87" t="str">
        <f>IF(G89="","",IF(ISNUMBER(SEARCH(",",G89)),"Several items (the script lists them)",IFERROR(INDEX('Dashboard Items'!$B$2:$B$497,MATCH(G89,'Dashboard Items'!$A$2:$A$497,0))&amp;": "&amp;INDEX('Dashboard Items'!$C$2:$C$497,MATCH(G89,'Dashboard Items'!$A$2:$A$497,0)),"ID not found")))</f>
        <v/>
      </c>
      <c r="I89" s="86" t="s">
        <v>386</v>
      </c>
      <c r="J89" s="86">
        <v>2</v>
      </c>
      <c r="K89" s="86" t="s">
        <v>30</v>
      </c>
      <c r="L89" s="86" t="s">
        <v>9</v>
      </c>
      <c r="M89" s="86">
        <v>0</v>
      </c>
      <c r="N89" s="86">
        <v>0</v>
      </c>
      <c r="O89" s="86" t="s">
        <v>30</v>
      </c>
      <c r="P89" s="86" t="s">
        <v>39</v>
      </c>
      <c r="Q89" s="84" t="s">
        <v>586</v>
      </c>
      <c r="R89" s="86"/>
      <c r="S89" s="86"/>
      <c r="T89" s="86"/>
    </row>
    <row r="90" spans="1:20" s="83" customFormat="1" ht="16" x14ac:dyDescent="0.2">
      <c r="A90" s="83" t="str">
        <f t="shared" si="1"/>
        <v>PD</v>
      </c>
      <c r="B90" s="84" t="s">
        <v>580</v>
      </c>
      <c r="C90" s="85" t="s">
        <v>557</v>
      </c>
      <c r="D90" s="86" t="s">
        <v>36</v>
      </c>
      <c r="E90" s="89" t="s">
        <v>195</v>
      </c>
      <c r="F90" s="87" t="str">
        <f>IF(E90="","",IFERROR(IF(INDEX('Dashboard Items'!$B$2:$B$497,MATCH(E90,'Dashboard Items'!$A$2:$A$497,0))="Objective","Objectives go in the next column",IF(OR(D90="",INDEX('Dashboard Items'!$B$2:$B$497,MATCH(E90,'Dashboard Items'!$A$2:$A$497,0))=D90),INDEX('Dashboard Items'!$C$2:$C$497,MATCH(E90,'Dashboard Items'!$A$2:$A$497,0)),"Level does not match ID")),"ID not found"))</f>
        <v>Administrative Public Safety Services</v>
      </c>
      <c r="G90" s="88"/>
      <c r="H90" s="87" t="str">
        <f>IF(G90="","",IF(ISNUMBER(SEARCH(",",G90)),"Several items (the script lists them)",IFERROR(INDEX('Dashboard Items'!$B$2:$B$497,MATCH(G90,'Dashboard Items'!$A$2:$A$497,0))&amp;": "&amp;INDEX('Dashboard Items'!$C$2:$C$497,MATCH(G90,'Dashboard Items'!$A$2:$A$497,0)),"ID not found")))</f>
        <v/>
      </c>
      <c r="I90" s="86" t="s">
        <v>386</v>
      </c>
      <c r="J90" s="86">
        <v>2</v>
      </c>
      <c r="K90" s="86" t="s">
        <v>30</v>
      </c>
      <c r="L90" s="86" t="s">
        <v>9</v>
      </c>
      <c r="M90" s="86">
        <v>0</v>
      </c>
      <c r="N90" s="86">
        <v>0</v>
      </c>
      <c r="O90" s="86" t="s">
        <v>30</v>
      </c>
      <c r="P90" s="86" t="s">
        <v>39</v>
      </c>
      <c r="Q90" s="84" t="s">
        <v>586</v>
      </c>
      <c r="R90" s="86"/>
      <c r="S90" s="86"/>
      <c r="T90" s="86"/>
    </row>
    <row r="91" spans="1:20" s="83" customFormat="1" ht="16" x14ac:dyDescent="0.2">
      <c r="A91" s="83" t="str">
        <f t="shared" si="1"/>
        <v>PD</v>
      </c>
      <c r="B91" s="84" t="s">
        <v>581</v>
      </c>
      <c r="C91" s="85" t="s">
        <v>558</v>
      </c>
      <c r="D91" s="86" t="s">
        <v>36</v>
      </c>
      <c r="E91" s="89" t="s">
        <v>195</v>
      </c>
      <c r="F91" s="87" t="str">
        <f>IF(E91="","",IFERROR(IF(INDEX('Dashboard Items'!$B$2:$B$497,MATCH(E91,'Dashboard Items'!$A$2:$A$497,0))="Objective","Objectives go in the next column",IF(OR(D91="",INDEX('Dashboard Items'!$B$2:$B$497,MATCH(E91,'Dashboard Items'!$A$2:$A$497,0))=D91),INDEX('Dashboard Items'!$C$2:$C$497,MATCH(E91,'Dashboard Items'!$A$2:$A$497,0)),"Level does not match ID")),"ID not found"))</f>
        <v>Administrative Public Safety Services</v>
      </c>
      <c r="G91" s="88"/>
      <c r="H91" s="87" t="str">
        <f>IF(G91="","",IF(ISNUMBER(SEARCH(",",G91)),"Several items (the script lists them)",IFERROR(INDEX('Dashboard Items'!$B$2:$B$497,MATCH(G91,'Dashboard Items'!$A$2:$A$497,0))&amp;": "&amp;INDEX('Dashboard Items'!$C$2:$C$497,MATCH(G91,'Dashboard Items'!$A$2:$A$497,0)),"ID not found")))</f>
        <v/>
      </c>
      <c r="I91" s="86" t="s">
        <v>386</v>
      </c>
      <c r="J91" s="86">
        <v>2</v>
      </c>
      <c r="K91" s="86" t="s">
        <v>30</v>
      </c>
      <c r="L91" s="86" t="s">
        <v>9</v>
      </c>
      <c r="M91" s="86">
        <v>0</v>
      </c>
      <c r="N91" s="86">
        <v>0</v>
      </c>
      <c r="O91" s="86" t="s">
        <v>30</v>
      </c>
      <c r="P91" s="86" t="s">
        <v>39</v>
      </c>
      <c r="Q91" s="84" t="s">
        <v>586</v>
      </c>
      <c r="R91" s="86"/>
      <c r="S91" s="86"/>
      <c r="T91" s="86"/>
    </row>
    <row r="92" spans="1:20" s="83" customFormat="1" ht="16" x14ac:dyDescent="0.2">
      <c r="A92" s="83" t="str">
        <f t="shared" si="1"/>
        <v>PD</v>
      </c>
      <c r="B92" s="84" t="s">
        <v>582</v>
      </c>
      <c r="C92" s="85" t="s">
        <v>559</v>
      </c>
      <c r="D92" s="86" t="s">
        <v>36</v>
      </c>
      <c r="E92" s="89" t="s">
        <v>195</v>
      </c>
      <c r="F92" s="87" t="str">
        <f>IF(E92="","",IFERROR(IF(INDEX('Dashboard Items'!$B$2:$B$497,MATCH(E92,'Dashboard Items'!$A$2:$A$497,0))="Objective","Objectives go in the next column",IF(OR(D92="",INDEX('Dashboard Items'!$B$2:$B$497,MATCH(E92,'Dashboard Items'!$A$2:$A$497,0))=D92),INDEX('Dashboard Items'!$C$2:$C$497,MATCH(E92,'Dashboard Items'!$A$2:$A$497,0)),"Level does not match ID")),"ID not found"))</f>
        <v>Administrative Public Safety Services</v>
      </c>
      <c r="G92" s="89"/>
      <c r="H92" s="87" t="str">
        <f>IF(G92="","",IF(ISNUMBER(SEARCH(",",G92)),"Several items (the script lists them)",IFERROR(INDEX('Dashboard Items'!$B$2:$B$497,MATCH(G92,'Dashboard Items'!$A$2:$A$497,0))&amp;": "&amp;INDEX('Dashboard Items'!$C$2:$C$497,MATCH(G92,'Dashboard Items'!$A$2:$A$497,0)),"ID not found")))</f>
        <v/>
      </c>
      <c r="I92" s="86" t="s">
        <v>386</v>
      </c>
      <c r="J92" s="86">
        <v>2</v>
      </c>
      <c r="K92" s="86" t="s">
        <v>30</v>
      </c>
      <c r="L92" s="86" t="s">
        <v>9</v>
      </c>
      <c r="M92" s="86">
        <v>0</v>
      </c>
      <c r="N92" s="86">
        <v>0</v>
      </c>
      <c r="O92" s="86" t="s">
        <v>30</v>
      </c>
      <c r="P92" s="86" t="s">
        <v>39</v>
      </c>
      <c r="Q92" s="84" t="s">
        <v>586</v>
      </c>
      <c r="R92" s="86"/>
      <c r="S92" s="86"/>
      <c r="T92" s="86"/>
    </row>
    <row r="93" spans="1:20" s="83" customFormat="1" ht="16" x14ac:dyDescent="0.2">
      <c r="A93" s="83" t="str">
        <f t="shared" si="1"/>
        <v>PD</v>
      </c>
      <c r="B93" s="84" t="s">
        <v>583</v>
      </c>
      <c r="C93" s="85" t="s">
        <v>560</v>
      </c>
      <c r="D93" s="86" t="s">
        <v>36</v>
      </c>
      <c r="E93" s="89" t="s">
        <v>206</v>
      </c>
      <c r="F93" s="87" t="str">
        <f>IF(E93="","",IFERROR(IF(INDEX('Dashboard Items'!$B$2:$B$497,MATCH(E93,'Dashboard Items'!$A$2:$A$497,0))="Objective","Objectives go in the next column",IF(OR(D93="",INDEX('Dashboard Items'!$B$2:$B$497,MATCH(E93,'Dashboard Items'!$A$2:$A$497,0))=D93),INDEX('Dashboard Items'!$C$2:$C$497,MATCH(E93,'Dashboard Items'!$A$2:$A$497,0)),"Level does not match ID")),"ID not found"))</f>
        <v>Public Safety Technology NG (NextGen) 911 Technologies</v>
      </c>
      <c r="G93" s="89"/>
      <c r="H93" s="87" t="str">
        <f>IF(G93="","",IF(ISNUMBER(SEARCH(",",G93)),"Several items (the script lists them)",IFERROR(INDEX('Dashboard Items'!$B$2:$B$497,MATCH(G93,'Dashboard Items'!$A$2:$A$497,0))&amp;": "&amp;INDEX('Dashboard Items'!$C$2:$C$497,MATCH(G93,'Dashboard Items'!$A$2:$A$497,0)),"ID not found")))</f>
        <v/>
      </c>
      <c r="I93" s="86" t="s">
        <v>386</v>
      </c>
      <c r="J93" s="86">
        <v>2</v>
      </c>
      <c r="K93" s="86" t="s">
        <v>30</v>
      </c>
      <c r="L93" s="86" t="s">
        <v>9</v>
      </c>
      <c r="M93" s="86">
        <v>0</v>
      </c>
      <c r="N93" s="86">
        <v>0</v>
      </c>
      <c r="O93" s="86" t="s">
        <v>30</v>
      </c>
      <c r="P93" s="86" t="s">
        <v>39</v>
      </c>
      <c r="Q93" s="84" t="s">
        <v>586</v>
      </c>
      <c r="R93" s="86"/>
      <c r="S93" s="86"/>
      <c r="T93" s="86"/>
    </row>
    <row r="94" spans="1:20" s="39" customFormat="1" ht="17" x14ac:dyDescent="0.2">
      <c r="A94" s="39" t="str">
        <f>LEFT(B94, FIND("-", B94) - 1)</f>
        <v>911</v>
      </c>
      <c r="B94" s="34" t="s">
        <v>606</v>
      </c>
      <c r="C94" s="93" t="s">
        <v>599</v>
      </c>
      <c r="D94" s="36" t="s">
        <v>26</v>
      </c>
      <c r="E94" s="34" t="s">
        <v>86</v>
      </c>
      <c r="F94" s="37" t="str">
        <f>IF(E94="","",IFERROR(IF(INDEX('Dashboard Items'!$B$2:$B$497,MATCH(E94,'Dashboard Items'!$A$2:$A$497,0))="Objective","Objectives go in the next column",IF(OR(D94="",INDEX('Dashboard Items'!$B$2:$B$497,MATCH(E94,'Dashboard Items'!$A$2:$A$497,0))=D94),INDEX('Dashboard Items'!$C$2:$C$497,MATCH(E94,'Dashboard Items'!$A$2:$A$497,0)),"Level does not match ID")),"ID not found"))</f>
        <v>Public Safety Services</v>
      </c>
      <c r="G94" s="40" t="s">
        <v>193</v>
      </c>
      <c r="H94" s="37" t="str">
        <f>IF(G94="","",IF(ISNUMBER(SEARCH(",",G94)),"Several items (the script lists them)",IFERROR(INDEX('Dashboard Items'!$B$2:$B$497,MATCH(G94,'Dashboard Items'!$A$2:$A$497,0))&amp;": "&amp;INDEX('Dashboard Items'!$C$2:$C$497,MATCH(G94,'Dashboard Items'!$A$2:$A$497,0)),"ID not found")))</f>
        <v>Program: 911 Emergency Services</v>
      </c>
      <c r="I94" s="36" t="s">
        <v>386</v>
      </c>
      <c r="J94" s="36">
        <v>2</v>
      </c>
      <c r="K94" s="36" t="s">
        <v>30</v>
      </c>
      <c r="L94" s="36" t="s">
        <v>9</v>
      </c>
      <c r="M94" s="36">
        <v>0</v>
      </c>
      <c r="N94" s="36">
        <v>0</v>
      </c>
      <c r="O94" s="36" t="s">
        <v>30</v>
      </c>
      <c r="P94" s="36" t="s">
        <v>39</v>
      </c>
      <c r="Q94" s="36" t="s">
        <v>586</v>
      </c>
      <c r="R94" s="36"/>
      <c r="S94" s="36"/>
      <c r="T94" s="36"/>
    </row>
    <row r="95" spans="1:20" s="39" customFormat="1" ht="17" x14ac:dyDescent="0.2">
      <c r="A95" s="39" t="str">
        <f t="shared" si="1"/>
        <v>911</v>
      </c>
      <c r="B95" s="34" t="s">
        <v>607</v>
      </c>
      <c r="C95" s="93" t="s">
        <v>600</v>
      </c>
      <c r="D95" s="36" t="s">
        <v>36</v>
      </c>
      <c r="E95" s="34" t="s">
        <v>193</v>
      </c>
      <c r="F95" s="37" t="str">
        <f>IF(E95="","",IFERROR(IF(INDEX('Dashboard Items'!$B$2:$B$497,MATCH(E95,'Dashboard Items'!$A$2:$A$497,0))="Objective","Objectives go in the next column",IF(OR(D95="",INDEX('Dashboard Items'!$B$2:$B$497,MATCH(E95,'Dashboard Items'!$A$2:$A$497,0))=D95),INDEX('Dashboard Items'!$C$2:$C$497,MATCH(E95,'Dashboard Items'!$A$2:$A$497,0)),"Level does not match ID")),"ID not found"))</f>
        <v>911 Emergency Services</v>
      </c>
      <c r="G95" s="40" t="s">
        <v>195</v>
      </c>
      <c r="H95" s="37" t="str">
        <f>IF(G95="","",IF(ISNUMBER(SEARCH(",",G95)),"Several items (the script lists them)",IFERROR(INDEX('Dashboard Items'!$B$2:$B$497,MATCH(G95,'Dashboard Items'!$A$2:$A$497,0))&amp;": "&amp;INDEX('Dashboard Items'!$C$2:$C$497,MATCH(G95,'Dashboard Items'!$A$2:$A$497,0)),"ID not found")))</f>
        <v>Program: Administrative Public Safety Services</v>
      </c>
      <c r="I95" s="36" t="s">
        <v>386</v>
      </c>
      <c r="J95" s="36">
        <v>2</v>
      </c>
      <c r="K95" s="36" t="s">
        <v>30</v>
      </c>
      <c r="L95" s="36" t="s">
        <v>9</v>
      </c>
      <c r="M95" s="36">
        <v>0</v>
      </c>
      <c r="N95" s="36">
        <v>0</v>
      </c>
      <c r="O95" s="36" t="s">
        <v>30</v>
      </c>
      <c r="P95" s="36" t="s">
        <v>39</v>
      </c>
      <c r="Q95" s="36" t="s">
        <v>586</v>
      </c>
      <c r="R95" s="36"/>
      <c r="S95" s="36"/>
      <c r="T95" s="36"/>
    </row>
    <row r="96" spans="1:20" s="39" customFormat="1" ht="17" x14ac:dyDescent="0.2">
      <c r="A96" s="39" t="str">
        <f t="shared" si="1"/>
        <v>911</v>
      </c>
      <c r="B96" s="34" t="s">
        <v>608</v>
      </c>
      <c r="C96" s="93" t="s">
        <v>601</v>
      </c>
      <c r="D96" s="36" t="s">
        <v>36</v>
      </c>
      <c r="E96" s="34" t="s">
        <v>193</v>
      </c>
      <c r="F96" s="37" t="str">
        <f>IF(E96="","",IFERROR(IF(INDEX('Dashboard Items'!$B$2:$B$497,MATCH(E96,'Dashboard Items'!$A$2:$A$497,0))="Objective","Objectives go in the next column",IF(OR(D96="",INDEX('Dashboard Items'!$B$2:$B$497,MATCH(E96,'Dashboard Items'!$A$2:$A$497,0))=D96),INDEX('Dashboard Items'!$C$2:$C$497,MATCH(E96,'Dashboard Items'!$A$2:$A$497,0)),"Level does not match ID")),"ID not found"))</f>
        <v>911 Emergency Services</v>
      </c>
      <c r="G96" s="38"/>
      <c r="H96" s="37" t="str">
        <f>IF(G96="","",IF(ISNUMBER(SEARCH(",",G96)),"Several items (the script lists them)",IFERROR(INDEX('Dashboard Items'!$B$2:$B$497,MATCH(G96,'Dashboard Items'!$A$2:$A$497,0))&amp;": "&amp;INDEX('Dashboard Items'!$C$2:$C$497,MATCH(G96,'Dashboard Items'!$A$2:$A$497,0)),"ID not found")))</f>
        <v/>
      </c>
      <c r="I96" s="36" t="s">
        <v>386</v>
      </c>
      <c r="J96" s="36">
        <v>2</v>
      </c>
      <c r="K96" s="36" t="s">
        <v>30</v>
      </c>
      <c r="L96" s="36" t="s">
        <v>9</v>
      </c>
      <c r="M96" s="36">
        <v>0</v>
      </c>
      <c r="N96" s="36">
        <v>0</v>
      </c>
      <c r="O96" s="36" t="s">
        <v>30</v>
      </c>
      <c r="P96" s="36" t="s">
        <v>39</v>
      </c>
      <c r="Q96" s="36" t="s">
        <v>586</v>
      </c>
      <c r="R96" s="36"/>
      <c r="S96" s="36"/>
      <c r="T96" s="36"/>
    </row>
    <row r="97" spans="1:20" s="39" customFormat="1" ht="17" x14ac:dyDescent="0.2">
      <c r="A97" s="39" t="str">
        <f t="shared" si="1"/>
        <v>911</v>
      </c>
      <c r="B97" s="34" t="s">
        <v>609</v>
      </c>
      <c r="C97" s="93" t="s">
        <v>602</v>
      </c>
      <c r="D97" s="36" t="s">
        <v>36</v>
      </c>
      <c r="E97" s="34" t="s">
        <v>193</v>
      </c>
      <c r="F97" s="37" t="str">
        <f>IF(E97="","",IFERROR(IF(INDEX('Dashboard Items'!$B$2:$B$497,MATCH(E97,'Dashboard Items'!$A$2:$A$497,0))="Objective","Objectives go in the next column",IF(OR(D97="",INDEX('Dashboard Items'!$B$2:$B$497,MATCH(E97,'Dashboard Items'!$A$2:$A$497,0))=D97),INDEX('Dashboard Items'!$C$2:$C$497,MATCH(E97,'Dashboard Items'!$A$2:$A$497,0)),"Level does not match ID")),"ID not found"))</f>
        <v>911 Emergency Services</v>
      </c>
      <c r="G97" s="38"/>
      <c r="H97" s="37" t="str">
        <f>IF(G97="","",IF(ISNUMBER(SEARCH(",",G97)),"Several items (the script lists them)",IFERROR(INDEX('Dashboard Items'!$B$2:$B$497,MATCH(G97,'Dashboard Items'!$A$2:$A$497,0))&amp;": "&amp;INDEX('Dashboard Items'!$C$2:$C$497,MATCH(G97,'Dashboard Items'!$A$2:$A$497,0)),"ID not found")))</f>
        <v/>
      </c>
      <c r="I97" s="36" t="s">
        <v>386</v>
      </c>
      <c r="J97" s="36">
        <v>2</v>
      </c>
      <c r="K97" s="36" t="s">
        <v>30</v>
      </c>
      <c r="L97" s="36" t="s">
        <v>9</v>
      </c>
      <c r="M97" s="36">
        <v>0</v>
      </c>
      <c r="N97" s="36">
        <v>0</v>
      </c>
      <c r="O97" s="36" t="s">
        <v>30</v>
      </c>
      <c r="P97" s="36" t="s">
        <v>39</v>
      </c>
      <c r="Q97" s="36" t="s">
        <v>586</v>
      </c>
      <c r="R97" s="36"/>
      <c r="S97" s="36"/>
      <c r="T97" s="36"/>
    </row>
    <row r="98" spans="1:20" s="39" customFormat="1" ht="16" x14ac:dyDescent="0.2">
      <c r="A98" s="39" t="str">
        <f t="shared" si="1"/>
        <v>911</v>
      </c>
      <c r="B98" s="34" t="s">
        <v>610</v>
      </c>
      <c r="C98" s="94" t="s">
        <v>603</v>
      </c>
      <c r="D98" s="36" t="s">
        <v>36</v>
      </c>
      <c r="E98" s="34" t="s">
        <v>195</v>
      </c>
      <c r="F98" s="37" t="str">
        <f>IF(E98="","",IFERROR(IF(INDEX('Dashboard Items'!$B$2:$B$497,MATCH(E98,'Dashboard Items'!$A$2:$A$497,0))="Objective","Objectives go in the next column",IF(OR(D98="",INDEX('Dashboard Items'!$B$2:$B$497,MATCH(E98,'Dashboard Items'!$A$2:$A$497,0))=D98),INDEX('Dashboard Items'!$C$2:$C$497,MATCH(E98,'Dashboard Items'!$A$2:$A$497,0)),"Level does not match ID")),"ID not found"))</f>
        <v>Administrative Public Safety Services</v>
      </c>
      <c r="G98" s="40" t="s">
        <v>195</v>
      </c>
      <c r="H98" s="37" t="str">
        <f>IF(G98="","",IF(ISNUMBER(SEARCH(",",G98)),"Several items (the script lists them)",IFERROR(INDEX('Dashboard Items'!$B$2:$B$497,MATCH(G98,'Dashboard Items'!$A$2:$A$497,0))&amp;": "&amp;INDEX('Dashboard Items'!$C$2:$C$497,MATCH(G98,'Dashboard Items'!$A$2:$A$497,0)),"ID not found")))</f>
        <v>Program: Administrative Public Safety Services</v>
      </c>
      <c r="I98" s="36" t="s">
        <v>386</v>
      </c>
      <c r="J98" s="36">
        <v>2</v>
      </c>
      <c r="K98" s="36" t="s">
        <v>30</v>
      </c>
      <c r="L98" s="36" t="s">
        <v>9</v>
      </c>
      <c r="M98" s="36">
        <v>0</v>
      </c>
      <c r="N98" s="36">
        <v>0</v>
      </c>
      <c r="O98" s="36" t="s">
        <v>30</v>
      </c>
      <c r="P98" s="36" t="s">
        <v>39</v>
      </c>
      <c r="Q98" s="36" t="s">
        <v>586</v>
      </c>
      <c r="R98" s="36"/>
      <c r="S98" s="36"/>
      <c r="T98" s="36"/>
    </row>
    <row r="99" spans="1:20" s="39" customFormat="1" ht="16" x14ac:dyDescent="0.2">
      <c r="A99" s="39" t="str">
        <f t="shared" si="1"/>
        <v>911</v>
      </c>
      <c r="B99" s="34" t="s">
        <v>611</v>
      </c>
      <c r="C99" s="94" t="s">
        <v>604</v>
      </c>
      <c r="D99" s="36" t="s">
        <v>36</v>
      </c>
      <c r="E99" s="34" t="s">
        <v>206</v>
      </c>
      <c r="F99" s="37" t="str">
        <f>IF(E99="","",IFERROR(IF(INDEX('Dashboard Items'!$B$2:$B$497,MATCH(E99,'Dashboard Items'!$A$2:$A$497,0))="Objective","Objectives go in the next column",IF(OR(D99="",INDEX('Dashboard Items'!$B$2:$B$497,MATCH(E99,'Dashboard Items'!$A$2:$A$497,0))=D99),INDEX('Dashboard Items'!$C$2:$C$497,MATCH(E99,'Dashboard Items'!$A$2:$A$497,0)),"Level does not match ID")),"ID not found"))</f>
        <v>Public Safety Technology NG (NextGen) 911 Technologies</v>
      </c>
      <c r="G99" s="38"/>
      <c r="H99" s="37" t="str">
        <f>IF(G99="","",IF(ISNUMBER(SEARCH(",",G99)),"Several items (the script lists them)",IFERROR(INDEX('Dashboard Items'!$B$2:$B$497,MATCH(G99,'Dashboard Items'!$A$2:$A$497,0))&amp;": "&amp;INDEX('Dashboard Items'!$C$2:$C$497,MATCH(G99,'Dashboard Items'!$A$2:$A$497,0)),"ID not found")))</f>
        <v/>
      </c>
      <c r="I99" s="36" t="s">
        <v>386</v>
      </c>
      <c r="J99" s="36">
        <v>2</v>
      </c>
      <c r="K99" s="36" t="s">
        <v>30</v>
      </c>
      <c r="L99" s="36" t="s">
        <v>9</v>
      </c>
      <c r="M99" s="36">
        <v>0</v>
      </c>
      <c r="N99" s="36">
        <v>0</v>
      </c>
      <c r="O99" s="36" t="s">
        <v>30</v>
      </c>
      <c r="P99" s="36" t="s">
        <v>39</v>
      </c>
      <c r="Q99" s="36" t="s">
        <v>586</v>
      </c>
      <c r="R99" s="36"/>
      <c r="S99" s="36"/>
      <c r="T99" s="36"/>
    </row>
    <row r="100" spans="1:20" s="39" customFormat="1" ht="16" x14ac:dyDescent="0.2">
      <c r="A100" s="39" t="str">
        <f t="shared" si="1"/>
        <v>911</v>
      </c>
      <c r="B100" s="34" t="s">
        <v>612</v>
      </c>
      <c r="C100" s="94" t="s">
        <v>605</v>
      </c>
      <c r="D100" s="36" t="s">
        <v>26</v>
      </c>
      <c r="E100" s="34" t="s">
        <v>86</v>
      </c>
      <c r="F100" s="37" t="str">
        <f>IF(E100="","",IFERROR(IF(INDEX('Dashboard Items'!$B$2:$B$497,MATCH(E100,'Dashboard Items'!$A$2:$A$497,0))="Objective","Objectives go in the next column",IF(OR(D100="",INDEX('Dashboard Items'!$B$2:$B$497,MATCH(E100,'Dashboard Items'!$A$2:$A$497,0))=D100),INDEX('Dashboard Items'!$C$2:$C$497,MATCH(E100,'Dashboard Items'!$A$2:$A$497,0)),"Level does not match ID")),"ID not found"))</f>
        <v>Public Safety Services</v>
      </c>
      <c r="G100" s="38"/>
      <c r="H100" s="37" t="str">
        <f>IF(G100="","",IF(ISNUMBER(SEARCH(",",G100)),"Several items (the script lists them)",IFERROR(INDEX('Dashboard Items'!$B$2:$B$497,MATCH(G100,'Dashboard Items'!$A$2:$A$497,0))&amp;": "&amp;INDEX('Dashboard Items'!$C$2:$C$497,MATCH(G100,'Dashboard Items'!$A$2:$A$497,0)),"ID not found")))</f>
        <v/>
      </c>
      <c r="I100" s="36" t="s">
        <v>386</v>
      </c>
      <c r="J100" s="36">
        <v>2</v>
      </c>
      <c r="K100" s="36" t="s">
        <v>30</v>
      </c>
      <c r="L100" s="36" t="s">
        <v>9</v>
      </c>
      <c r="M100" s="36">
        <v>0</v>
      </c>
      <c r="N100" s="36">
        <v>0</v>
      </c>
      <c r="O100" s="36" t="s">
        <v>30</v>
      </c>
      <c r="P100" s="36" t="s">
        <v>39</v>
      </c>
      <c r="Q100" s="36" t="s">
        <v>586</v>
      </c>
      <c r="R100" s="36"/>
      <c r="S100" s="36"/>
      <c r="T100" s="36"/>
    </row>
    <row r="101" spans="1:20" x14ac:dyDescent="0.2">
      <c r="B101" s="80"/>
      <c r="C101" s="80"/>
      <c r="D101" s="80"/>
      <c r="E101" s="80"/>
      <c r="F101" s="81" t="str">
        <f>IF(E101="","",IFERROR(IF(INDEX('Dashboard Items'!$B$2:$B$497,MATCH(E101,'Dashboard Items'!$A$2:$A$497,0))="Objective","Objectives go in the next column",IF(OR(D101="",INDEX('Dashboard Items'!$B$2:$B$497,MATCH(E101,'Dashboard Items'!$A$2:$A$497,0))=D101),INDEX('Dashboard Items'!$C$2:$C$497,MATCH(E101,'Dashboard Items'!$A$2:$A$497,0)),"Level does not match ID")),"ID not found"))</f>
        <v/>
      </c>
      <c r="G101" s="82"/>
      <c r="H101" s="81" t="str">
        <f>IF(G101="","",IF(ISNUMBER(SEARCH(",",G101)),"Several items (the script lists them)",IFERROR(INDEX('Dashboard Items'!$B$2:$B$497,MATCH(G101,'Dashboard Items'!$A$2:$A$497,0))&amp;": "&amp;INDEX('Dashboard Items'!$C$2:$C$497,MATCH(G101,'Dashboard Items'!$A$2:$A$497,0)),"ID not found")))</f>
        <v/>
      </c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</row>
    <row r="102" spans="1:20" x14ac:dyDescent="0.2">
      <c r="B102" s="80"/>
      <c r="C102" s="80"/>
      <c r="D102" s="80"/>
      <c r="E102" s="80"/>
      <c r="F102" s="81" t="str">
        <f>IF(E102="","",IFERROR(IF(INDEX('Dashboard Items'!$B$2:$B$497,MATCH(E102,'Dashboard Items'!$A$2:$A$497,0))="Objective","Objectives go in the next column",IF(OR(D102="",INDEX('Dashboard Items'!$B$2:$B$497,MATCH(E102,'Dashboard Items'!$A$2:$A$497,0))=D102),INDEX('Dashboard Items'!$C$2:$C$497,MATCH(E102,'Dashboard Items'!$A$2:$A$497,0)),"Level does not match ID")),"ID not found"))</f>
        <v/>
      </c>
      <c r="G102" s="82"/>
      <c r="H102" s="81" t="str">
        <f>IF(G102="","",IF(ISNUMBER(SEARCH(",",G102)),"Several items (the script lists them)",IFERROR(INDEX('Dashboard Items'!$B$2:$B$497,MATCH(G102,'Dashboard Items'!$A$2:$A$497,0))&amp;": "&amp;INDEX('Dashboard Items'!$C$2:$C$497,MATCH(G102,'Dashboard Items'!$A$2:$A$497,0)),"ID not found")))</f>
        <v/>
      </c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</row>
    <row r="103" spans="1:20" x14ac:dyDescent="0.2">
      <c r="B103" s="80"/>
      <c r="C103" s="80"/>
      <c r="D103" s="80"/>
      <c r="E103" s="80"/>
      <c r="F103" s="81" t="str">
        <f>IF(E103="","",IFERROR(IF(INDEX('Dashboard Items'!$B$2:$B$497,MATCH(E103,'Dashboard Items'!$A$2:$A$497,0))="Objective","Objectives go in the next column",IF(OR(D103="",INDEX('Dashboard Items'!$B$2:$B$497,MATCH(E103,'Dashboard Items'!$A$2:$A$497,0))=D103),INDEX('Dashboard Items'!$C$2:$C$497,MATCH(E103,'Dashboard Items'!$A$2:$A$497,0)),"Level does not match ID")),"ID not found"))</f>
        <v/>
      </c>
      <c r="G103" s="82"/>
      <c r="H103" s="81" t="str">
        <f>IF(G103="","",IF(ISNUMBER(SEARCH(",",G103)),"Several items (the script lists them)",IFERROR(INDEX('Dashboard Items'!$B$2:$B$497,MATCH(G103,'Dashboard Items'!$A$2:$A$497,0))&amp;": "&amp;INDEX('Dashboard Items'!$C$2:$C$497,MATCH(G103,'Dashboard Items'!$A$2:$A$497,0)),"ID not found")))</f>
        <v/>
      </c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</row>
    <row r="104" spans="1:20" x14ac:dyDescent="0.2">
      <c r="B104" s="80"/>
      <c r="C104" s="80"/>
      <c r="D104" s="80"/>
      <c r="E104" s="80"/>
      <c r="F104" s="81" t="str">
        <f>IF(E104="","",IFERROR(IF(INDEX('Dashboard Items'!$B$2:$B$497,MATCH(E104,'Dashboard Items'!$A$2:$A$497,0))="Objective","Objectives go in the next column",IF(OR(D104="",INDEX('Dashboard Items'!$B$2:$B$497,MATCH(E104,'Dashboard Items'!$A$2:$A$497,0))=D104),INDEX('Dashboard Items'!$C$2:$C$497,MATCH(E104,'Dashboard Items'!$A$2:$A$497,0)),"Level does not match ID")),"ID not found"))</f>
        <v/>
      </c>
      <c r="G104" s="82"/>
      <c r="H104" s="81" t="str">
        <f>IF(G104="","",IF(ISNUMBER(SEARCH(",",G104)),"Several items (the script lists them)",IFERROR(INDEX('Dashboard Items'!$B$2:$B$497,MATCH(G104,'Dashboard Items'!$A$2:$A$497,0))&amp;": "&amp;INDEX('Dashboard Items'!$C$2:$C$497,MATCH(G104,'Dashboard Items'!$A$2:$A$497,0)),"ID not found")))</f>
        <v/>
      </c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</row>
    <row r="105" spans="1:20" x14ac:dyDescent="0.2">
      <c r="B105" s="80"/>
      <c r="C105" s="80"/>
      <c r="D105" s="80"/>
      <c r="E105" s="80"/>
      <c r="F105" s="81" t="str">
        <f>IF(E105="","",IFERROR(IF(INDEX('Dashboard Items'!$B$2:$B$497,MATCH(E105,'Dashboard Items'!$A$2:$A$497,0))="Objective","Objectives go in the next column",IF(OR(D105="",INDEX('Dashboard Items'!$B$2:$B$497,MATCH(E105,'Dashboard Items'!$A$2:$A$497,0))=D105),INDEX('Dashboard Items'!$C$2:$C$497,MATCH(E105,'Dashboard Items'!$A$2:$A$497,0)),"Level does not match ID")),"ID not found"))</f>
        <v/>
      </c>
      <c r="G105" s="82"/>
      <c r="H105" s="81" t="str">
        <f>IF(G105="","",IF(ISNUMBER(SEARCH(",",G105)),"Several items (the script lists them)",IFERROR(INDEX('Dashboard Items'!$B$2:$B$497,MATCH(G105,'Dashboard Items'!$A$2:$A$497,0))&amp;": "&amp;INDEX('Dashboard Items'!$C$2:$C$497,MATCH(G105,'Dashboard Items'!$A$2:$A$497,0)),"ID not found")))</f>
        <v/>
      </c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</row>
    <row r="106" spans="1:20" x14ac:dyDescent="0.2">
      <c r="B106" s="80"/>
      <c r="C106" s="80"/>
      <c r="D106" s="80"/>
      <c r="E106" s="80"/>
      <c r="F106" s="81" t="str">
        <f>IF(E106="","",IFERROR(IF(INDEX('Dashboard Items'!$B$2:$B$497,MATCH(E106,'Dashboard Items'!$A$2:$A$497,0))="Objective","Objectives go in the next column",IF(OR(D106="",INDEX('Dashboard Items'!$B$2:$B$497,MATCH(E106,'Dashboard Items'!$A$2:$A$497,0))=D106),INDEX('Dashboard Items'!$C$2:$C$497,MATCH(E106,'Dashboard Items'!$A$2:$A$497,0)),"Level does not match ID")),"ID not found"))</f>
        <v/>
      </c>
      <c r="G106" s="82"/>
      <c r="H106" s="81" t="str">
        <f>IF(G106="","",IF(ISNUMBER(SEARCH(",",G106)),"Several items (the script lists them)",IFERROR(INDEX('Dashboard Items'!$B$2:$B$497,MATCH(G106,'Dashboard Items'!$A$2:$A$497,0))&amp;": "&amp;INDEX('Dashboard Items'!$C$2:$C$497,MATCH(G106,'Dashboard Items'!$A$2:$A$497,0)),"ID not found")))</f>
        <v/>
      </c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</row>
    <row r="107" spans="1:20" x14ac:dyDescent="0.2">
      <c r="B107" s="80"/>
      <c r="C107" s="80"/>
      <c r="D107" s="80"/>
      <c r="E107" s="80"/>
      <c r="F107" s="81" t="str">
        <f>IF(E107="","",IFERROR(IF(INDEX('Dashboard Items'!$B$2:$B$497,MATCH(E107,'Dashboard Items'!$A$2:$A$497,0))="Objective","Objectives go in the next column",IF(OR(D107="",INDEX('Dashboard Items'!$B$2:$B$497,MATCH(E107,'Dashboard Items'!$A$2:$A$497,0))=D107),INDEX('Dashboard Items'!$C$2:$C$497,MATCH(E107,'Dashboard Items'!$A$2:$A$497,0)),"Level does not match ID")),"ID not found"))</f>
        <v/>
      </c>
      <c r="G107" s="82"/>
      <c r="H107" s="81" t="str">
        <f>IF(G107="","",IF(ISNUMBER(SEARCH(",",G107)),"Several items (the script lists them)",IFERROR(INDEX('Dashboard Items'!$B$2:$B$497,MATCH(G107,'Dashboard Items'!$A$2:$A$497,0))&amp;": "&amp;INDEX('Dashboard Items'!$C$2:$C$497,MATCH(G107,'Dashboard Items'!$A$2:$A$497,0)),"ID not found")))</f>
        <v/>
      </c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</row>
    <row r="108" spans="1:20" x14ac:dyDescent="0.2">
      <c r="B108" s="80"/>
      <c r="C108" s="80"/>
      <c r="D108" s="80"/>
      <c r="E108" s="80"/>
      <c r="F108" s="81" t="str">
        <f>IF(E108="","",IFERROR(IF(INDEX('Dashboard Items'!$B$2:$B$497,MATCH(E108,'Dashboard Items'!$A$2:$A$497,0))="Objective","Objectives go in the next column",IF(OR(D108="",INDEX('Dashboard Items'!$B$2:$B$497,MATCH(E108,'Dashboard Items'!$A$2:$A$497,0))=D108),INDEX('Dashboard Items'!$C$2:$C$497,MATCH(E108,'Dashboard Items'!$A$2:$A$497,0)),"Level does not match ID")),"ID not found"))</f>
        <v/>
      </c>
      <c r="G108" s="82"/>
      <c r="H108" s="81" t="str">
        <f>IF(G108="","",IF(ISNUMBER(SEARCH(",",G108)),"Several items (the script lists them)",IFERROR(INDEX('Dashboard Items'!$B$2:$B$497,MATCH(G108,'Dashboard Items'!$A$2:$A$497,0))&amp;": "&amp;INDEX('Dashboard Items'!$C$2:$C$497,MATCH(G108,'Dashboard Items'!$A$2:$A$497,0)),"ID not found")))</f>
        <v/>
      </c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</row>
    <row r="109" spans="1:20" x14ac:dyDescent="0.2">
      <c r="B109" s="80"/>
      <c r="C109" s="80"/>
      <c r="D109" s="80"/>
      <c r="E109" s="80"/>
      <c r="F109" s="81" t="str">
        <f>IF(E109="","",IFERROR(IF(INDEX('Dashboard Items'!$B$2:$B$497,MATCH(E109,'Dashboard Items'!$A$2:$A$497,0))="Objective","Objectives go in the next column",IF(OR(D109="",INDEX('Dashboard Items'!$B$2:$B$497,MATCH(E109,'Dashboard Items'!$A$2:$A$497,0))=D109),INDEX('Dashboard Items'!$C$2:$C$497,MATCH(E109,'Dashboard Items'!$A$2:$A$497,0)),"Level does not match ID")),"ID not found"))</f>
        <v/>
      </c>
      <c r="G109" s="82"/>
      <c r="H109" s="81" t="str">
        <f>IF(G109="","",IF(ISNUMBER(SEARCH(",",G109)),"Several items (the script lists them)",IFERROR(INDEX('Dashboard Items'!$B$2:$B$497,MATCH(G109,'Dashboard Items'!$A$2:$A$497,0))&amp;": "&amp;INDEX('Dashboard Items'!$C$2:$C$497,MATCH(G109,'Dashboard Items'!$A$2:$A$497,0)),"ID not found")))</f>
        <v/>
      </c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</row>
    <row r="110" spans="1:20" x14ac:dyDescent="0.2">
      <c r="B110" s="80"/>
      <c r="C110" s="80"/>
      <c r="D110" s="80"/>
      <c r="E110" s="80"/>
      <c r="F110" s="81" t="str">
        <f>IF(E110="","",IFERROR(IF(INDEX('Dashboard Items'!$B$2:$B$497,MATCH(E110,'Dashboard Items'!$A$2:$A$497,0))="Objective","Objectives go in the next column",IF(OR(D110="",INDEX('Dashboard Items'!$B$2:$B$497,MATCH(E110,'Dashboard Items'!$A$2:$A$497,0))=D110),INDEX('Dashboard Items'!$C$2:$C$497,MATCH(E110,'Dashboard Items'!$A$2:$A$497,0)),"Level does not match ID")),"ID not found"))</f>
        <v/>
      </c>
      <c r="G110" s="82"/>
      <c r="H110" s="81" t="str">
        <f>IF(G110="","",IF(ISNUMBER(SEARCH(",",G110)),"Several items (the script lists them)",IFERROR(INDEX('Dashboard Items'!$B$2:$B$497,MATCH(G110,'Dashboard Items'!$A$2:$A$497,0))&amp;": "&amp;INDEX('Dashboard Items'!$C$2:$C$497,MATCH(G110,'Dashboard Items'!$A$2:$A$497,0)),"ID not found")))</f>
        <v/>
      </c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</row>
    <row r="111" spans="1:20" x14ac:dyDescent="0.2">
      <c r="B111" s="80"/>
      <c r="C111" s="80"/>
      <c r="D111" s="80"/>
      <c r="E111" s="80"/>
      <c r="F111" s="81" t="str">
        <f>IF(E111="","",IFERROR(IF(INDEX('Dashboard Items'!$B$2:$B$497,MATCH(E111,'Dashboard Items'!$A$2:$A$497,0))="Objective","Objectives go in the next column",IF(OR(D111="",INDEX('Dashboard Items'!$B$2:$B$497,MATCH(E111,'Dashboard Items'!$A$2:$A$497,0))=D111),INDEX('Dashboard Items'!$C$2:$C$497,MATCH(E111,'Dashboard Items'!$A$2:$A$497,0)),"Level does not match ID")),"ID not found"))</f>
        <v/>
      </c>
      <c r="G111" s="82"/>
      <c r="H111" s="81" t="str">
        <f>IF(G111="","",IF(ISNUMBER(SEARCH(",",G111)),"Several items (the script lists them)",IFERROR(INDEX('Dashboard Items'!$B$2:$B$497,MATCH(G111,'Dashboard Items'!$A$2:$A$497,0))&amp;": "&amp;INDEX('Dashboard Items'!$C$2:$C$497,MATCH(G111,'Dashboard Items'!$A$2:$A$497,0)),"ID not found")))</f>
        <v/>
      </c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</row>
    <row r="112" spans="1:20" x14ac:dyDescent="0.2">
      <c r="B112" s="80"/>
      <c r="C112" s="80"/>
      <c r="D112" s="80"/>
      <c r="E112" s="80"/>
      <c r="F112" s="81" t="str">
        <f>IF(E112="","",IFERROR(IF(INDEX('Dashboard Items'!$B$2:$B$497,MATCH(E112,'Dashboard Items'!$A$2:$A$497,0))="Objective","Objectives go in the next column",IF(OR(D112="",INDEX('Dashboard Items'!$B$2:$B$497,MATCH(E112,'Dashboard Items'!$A$2:$A$497,0))=D112),INDEX('Dashboard Items'!$C$2:$C$497,MATCH(E112,'Dashboard Items'!$A$2:$A$497,0)),"Level does not match ID")),"ID not found"))</f>
        <v/>
      </c>
      <c r="G112" s="82"/>
      <c r="H112" s="81" t="str">
        <f>IF(G112="","",IF(ISNUMBER(SEARCH(",",G112)),"Several items (the script lists them)",IFERROR(INDEX('Dashboard Items'!$B$2:$B$497,MATCH(G112,'Dashboard Items'!$A$2:$A$497,0))&amp;": "&amp;INDEX('Dashboard Items'!$C$2:$C$497,MATCH(G112,'Dashboard Items'!$A$2:$A$497,0)),"ID not found")))</f>
        <v/>
      </c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</row>
    <row r="113" spans="2:20" x14ac:dyDescent="0.2">
      <c r="B113" s="80"/>
      <c r="C113" s="80"/>
      <c r="D113" s="80"/>
      <c r="E113" s="80"/>
      <c r="F113" s="81" t="str">
        <f>IF(E113="","",IFERROR(IF(INDEX('Dashboard Items'!$B$2:$B$497,MATCH(E113,'Dashboard Items'!$A$2:$A$497,0))="Objective","Objectives go in the next column",IF(OR(D113="",INDEX('Dashboard Items'!$B$2:$B$497,MATCH(E113,'Dashboard Items'!$A$2:$A$497,0))=D113),INDEX('Dashboard Items'!$C$2:$C$497,MATCH(E113,'Dashboard Items'!$A$2:$A$497,0)),"Level does not match ID")),"ID not found"))</f>
        <v/>
      </c>
      <c r="G113" s="82"/>
      <c r="H113" s="81" t="str">
        <f>IF(G113="","",IF(ISNUMBER(SEARCH(",",G113)),"Several items (the script lists them)",IFERROR(INDEX('Dashboard Items'!$B$2:$B$497,MATCH(G113,'Dashboard Items'!$A$2:$A$497,0))&amp;": "&amp;INDEX('Dashboard Items'!$C$2:$C$497,MATCH(G113,'Dashboard Items'!$A$2:$A$497,0)),"ID not found")))</f>
        <v/>
      </c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</row>
    <row r="114" spans="2:20" x14ac:dyDescent="0.2">
      <c r="B114" s="80"/>
      <c r="C114" s="80"/>
      <c r="D114" s="80"/>
      <c r="E114" s="80"/>
      <c r="F114" s="81" t="str">
        <f>IF(E114="","",IFERROR(IF(INDEX('Dashboard Items'!$B$2:$B$497,MATCH(E114,'Dashboard Items'!$A$2:$A$497,0))="Objective","Objectives go in the next column",IF(OR(D114="",INDEX('Dashboard Items'!$B$2:$B$497,MATCH(E114,'Dashboard Items'!$A$2:$A$497,0))=D114),INDEX('Dashboard Items'!$C$2:$C$497,MATCH(E114,'Dashboard Items'!$A$2:$A$497,0)),"Level does not match ID")),"ID not found"))</f>
        <v/>
      </c>
      <c r="G114" s="82"/>
      <c r="H114" s="81" t="str">
        <f>IF(G114="","",IF(ISNUMBER(SEARCH(",",G114)),"Several items (the script lists them)",IFERROR(INDEX('Dashboard Items'!$B$2:$B$497,MATCH(G114,'Dashboard Items'!$A$2:$A$497,0))&amp;": "&amp;INDEX('Dashboard Items'!$C$2:$C$497,MATCH(G114,'Dashboard Items'!$A$2:$A$497,0)),"ID not found")))</f>
        <v/>
      </c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</row>
    <row r="115" spans="2:20" x14ac:dyDescent="0.2">
      <c r="B115" s="80"/>
      <c r="C115" s="80"/>
      <c r="D115" s="80"/>
      <c r="E115" s="80"/>
      <c r="F115" s="81" t="str">
        <f>IF(E115="","",IFERROR(IF(INDEX('Dashboard Items'!$B$2:$B$497,MATCH(E115,'Dashboard Items'!$A$2:$A$497,0))="Objective","Objectives go in the next column",IF(OR(D115="",INDEX('Dashboard Items'!$B$2:$B$497,MATCH(E115,'Dashboard Items'!$A$2:$A$497,0))=D115),INDEX('Dashboard Items'!$C$2:$C$497,MATCH(E115,'Dashboard Items'!$A$2:$A$497,0)),"Level does not match ID")),"ID not found"))</f>
        <v/>
      </c>
      <c r="G115" s="82"/>
      <c r="H115" s="81" t="str">
        <f>IF(G115="","",IF(ISNUMBER(SEARCH(",",G115)),"Several items (the script lists them)",IFERROR(INDEX('Dashboard Items'!$B$2:$B$497,MATCH(G115,'Dashboard Items'!$A$2:$A$497,0))&amp;": "&amp;INDEX('Dashboard Items'!$C$2:$C$497,MATCH(G115,'Dashboard Items'!$A$2:$A$497,0)),"ID not found")))</f>
        <v/>
      </c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</row>
    <row r="116" spans="2:20" x14ac:dyDescent="0.2">
      <c r="B116" s="80"/>
      <c r="C116" s="80"/>
      <c r="D116" s="80"/>
      <c r="E116" s="80"/>
      <c r="F116" s="81" t="str">
        <f>IF(E116="","",IFERROR(IF(INDEX('Dashboard Items'!$B$2:$B$497,MATCH(E116,'Dashboard Items'!$A$2:$A$497,0))="Objective","Objectives go in the next column",IF(OR(D116="",INDEX('Dashboard Items'!$B$2:$B$497,MATCH(E116,'Dashboard Items'!$A$2:$A$497,0))=D116),INDEX('Dashboard Items'!$C$2:$C$497,MATCH(E116,'Dashboard Items'!$A$2:$A$497,0)),"Level does not match ID")),"ID not found"))</f>
        <v/>
      </c>
      <c r="G116" s="82"/>
      <c r="H116" s="81" t="str">
        <f>IF(G116="","",IF(ISNUMBER(SEARCH(",",G116)),"Several items (the script lists them)",IFERROR(INDEX('Dashboard Items'!$B$2:$B$497,MATCH(G116,'Dashboard Items'!$A$2:$A$497,0))&amp;": "&amp;INDEX('Dashboard Items'!$C$2:$C$497,MATCH(G116,'Dashboard Items'!$A$2:$A$497,0)),"ID not found")))</f>
        <v/>
      </c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</row>
    <row r="117" spans="2:20" x14ac:dyDescent="0.2">
      <c r="B117" s="80"/>
      <c r="C117" s="80"/>
      <c r="D117" s="80"/>
      <c r="E117" s="80"/>
      <c r="F117" s="81" t="str">
        <f>IF(E117="","",IFERROR(IF(INDEX('Dashboard Items'!$B$2:$B$497,MATCH(E117,'Dashboard Items'!$A$2:$A$497,0))="Objective","Objectives go in the next column",IF(OR(D117="",INDEX('Dashboard Items'!$B$2:$B$497,MATCH(E117,'Dashboard Items'!$A$2:$A$497,0))=D117),INDEX('Dashboard Items'!$C$2:$C$497,MATCH(E117,'Dashboard Items'!$A$2:$A$497,0)),"Level does not match ID")),"ID not found"))</f>
        <v/>
      </c>
      <c r="G117" s="82"/>
      <c r="H117" s="81" t="str">
        <f>IF(G117="","",IF(ISNUMBER(SEARCH(",",G117)),"Several items (the script lists them)",IFERROR(INDEX('Dashboard Items'!$B$2:$B$497,MATCH(G117,'Dashboard Items'!$A$2:$A$497,0))&amp;": "&amp;INDEX('Dashboard Items'!$C$2:$C$497,MATCH(G117,'Dashboard Items'!$A$2:$A$497,0)),"ID not found")))</f>
        <v/>
      </c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</row>
    <row r="118" spans="2:20" x14ac:dyDescent="0.2">
      <c r="B118" s="80"/>
      <c r="C118" s="80"/>
      <c r="D118" s="80"/>
      <c r="E118" s="80"/>
      <c r="F118" s="81" t="str">
        <f>IF(E118="","",IFERROR(IF(INDEX('Dashboard Items'!$B$2:$B$497,MATCH(E118,'Dashboard Items'!$A$2:$A$497,0))="Objective","Objectives go in the next column",IF(OR(D118="",INDEX('Dashboard Items'!$B$2:$B$497,MATCH(E118,'Dashboard Items'!$A$2:$A$497,0))=D118),INDEX('Dashboard Items'!$C$2:$C$497,MATCH(E118,'Dashboard Items'!$A$2:$A$497,0)),"Level does not match ID")),"ID not found"))</f>
        <v/>
      </c>
      <c r="G118" s="82"/>
      <c r="H118" s="81" t="str">
        <f>IF(G118="","",IF(ISNUMBER(SEARCH(",",G118)),"Several items (the script lists them)",IFERROR(INDEX('Dashboard Items'!$B$2:$B$497,MATCH(G118,'Dashboard Items'!$A$2:$A$497,0))&amp;": "&amp;INDEX('Dashboard Items'!$C$2:$C$497,MATCH(G118,'Dashboard Items'!$A$2:$A$497,0)),"ID not found")))</f>
        <v/>
      </c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</row>
    <row r="119" spans="2:20" x14ac:dyDescent="0.2">
      <c r="B119" s="80"/>
      <c r="C119" s="80"/>
      <c r="D119" s="80"/>
      <c r="E119" s="80"/>
      <c r="F119" s="81" t="str">
        <f>IF(E119="","",IFERROR(IF(INDEX('Dashboard Items'!$B$2:$B$497,MATCH(E119,'Dashboard Items'!$A$2:$A$497,0))="Objective","Objectives go in the next column",IF(OR(D119="",INDEX('Dashboard Items'!$B$2:$B$497,MATCH(E119,'Dashboard Items'!$A$2:$A$497,0))=D119),INDEX('Dashboard Items'!$C$2:$C$497,MATCH(E119,'Dashboard Items'!$A$2:$A$497,0)),"Level does not match ID")),"ID not found"))</f>
        <v/>
      </c>
      <c r="G119" s="82"/>
      <c r="H119" s="81" t="str">
        <f>IF(G119="","",IF(ISNUMBER(SEARCH(",",G119)),"Several items (the script lists them)",IFERROR(INDEX('Dashboard Items'!$B$2:$B$497,MATCH(G119,'Dashboard Items'!$A$2:$A$497,0))&amp;": "&amp;INDEX('Dashboard Items'!$C$2:$C$497,MATCH(G119,'Dashboard Items'!$A$2:$A$497,0)),"ID not found")))</f>
        <v/>
      </c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</row>
    <row r="120" spans="2:20" x14ac:dyDescent="0.2">
      <c r="B120" s="80"/>
      <c r="C120" s="80"/>
      <c r="D120" s="80"/>
      <c r="E120" s="80"/>
      <c r="F120" s="81" t="str">
        <f>IF(E120="","",IFERROR(IF(INDEX('Dashboard Items'!$B$2:$B$497,MATCH(E120,'Dashboard Items'!$A$2:$A$497,0))="Objective","Objectives go in the next column",IF(OR(D120="",INDEX('Dashboard Items'!$B$2:$B$497,MATCH(E120,'Dashboard Items'!$A$2:$A$497,0))=D120),INDEX('Dashboard Items'!$C$2:$C$497,MATCH(E120,'Dashboard Items'!$A$2:$A$497,0)),"Level does not match ID")),"ID not found"))</f>
        <v/>
      </c>
      <c r="G120" s="82"/>
      <c r="H120" s="81" t="str">
        <f>IF(G120="","",IF(ISNUMBER(SEARCH(",",G120)),"Several items (the script lists them)",IFERROR(INDEX('Dashboard Items'!$B$2:$B$497,MATCH(G120,'Dashboard Items'!$A$2:$A$497,0))&amp;": "&amp;INDEX('Dashboard Items'!$C$2:$C$497,MATCH(G120,'Dashboard Items'!$A$2:$A$497,0)),"ID not found")))</f>
        <v/>
      </c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</row>
    <row r="121" spans="2:20" x14ac:dyDescent="0.2">
      <c r="B121" s="80"/>
      <c r="C121" s="80"/>
      <c r="D121" s="80"/>
      <c r="E121" s="80"/>
      <c r="F121" s="81" t="str">
        <f>IF(E121="","",IFERROR(IF(INDEX('Dashboard Items'!$B$2:$B$497,MATCH(E121,'Dashboard Items'!$A$2:$A$497,0))="Objective","Objectives go in the next column",IF(OR(D121="",INDEX('Dashboard Items'!$B$2:$B$497,MATCH(E121,'Dashboard Items'!$A$2:$A$497,0))=D121),INDEX('Dashboard Items'!$C$2:$C$497,MATCH(E121,'Dashboard Items'!$A$2:$A$497,0)),"Level does not match ID")),"ID not found"))</f>
        <v/>
      </c>
      <c r="G121" s="82"/>
      <c r="H121" s="81" t="str">
        <f>IF(G121="","",IF(ISNUMBER(SEARCH(",",G121)),"Several items (the script lists them)",IFERROR(INDEX('Dashboard Items'!$B$2:$B$497,MATCH(G121,'Dashboard Items'!$A$2:$A$497,0))&amp;": "&amp;INDEX('Dashboard Items'!$C$2:$C$497,MATCH(G121,'Dashboard Items'!$A$2:$A$497,0)),"ID not found")))</f>
        <v/>
      </c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</row>
    <row r="122" spans="2:20" x14ac:dyDescent="0.2">
      <c r="B122" s="80"/>
      <c r="C122" s="80"/>
      <c r="D122" s="80"/>
      <c r="E122" s="80"/>
      <c r="F122" s="81" t="str">
        <f>IF(E122="","",IFERROR(IF(INDEX('Dashboard Items'!$B$2:$B$497,MATCH(E122,'Dashboard Items'!$A$2:$A$497,0))="Objective","Objectives go in the next column",IF(OR(D122="",INDEX('Dashboard Items'!$B$2:$B$497,MATCH(E122,'Dashboard Items'!$A$2:$A$497,0))=D122),INDEX('Dashboard Items'!$C$2:$C$497,MATCH(E122,'Dashboard Items'!$A$2:$A$497,0)),"Level does not match ID")),"ID not found"))</f>
        <v/>
      </c>
      <c r="G122" s="82"/>
      <c r="H122" s="81" t="str">
        <f>IF(G122="","",IF(ISNUMBER(SEARCH(",",G122)),"Several items (the script lists them)",IFERROR(INDEX('Dashboard Items'!$B$2:$B$497,MATCH(G122,'Dashboard Items'!$A$2:$A$497,0))&amp;": "&amp;INDEX('Dashboard Items'!$C$2:$C$497,MATCH(G122,'Dashboard Items'!$A$2:$A$497,0)),"ID not found")))</f>
        <v/>
      </c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</row>
    <row r="123" spans="2:20" x14ac:dyDescent="0.2">
      <c r="B123" s="80"/>
      <c r="C123" s="80"/>
      <c r="D123" s="80"/>
      <c r="E123" s="80"/>
      <c r="F123" s="81" t="str">
        <f>IF(E123="","",IFERROR(IF(INDEX('Dashboard Items'!$B$2:$B$497,MATCH(E123,'Dashboard Items'!$A$2:$A$497,0))="Objective","Objectives go in the next column",IF(OR(D123="",INDEX('Dashboard Items'!$B$2:$B$497,MATCH(E123,'Dashboard Items'!$A$2:$A$497,0))=D123),INDEX('Dashboard Items'!$C$2:$C$497,MATCH(E123,'Dashboard Items'!$A$2:$A$497,0)),"Level does not match ID")),"ID not found"))</f>
        <v/>
      </c>
      <c r="G123" s="82"/>
      <c r="H123" s="81" t="str">
        <f>IF(G123="","",IF(ISNUMBER(SEARCH(",",G123)),"Several items (the script lists them)",IFERROR(INDEX('Dashboard Items'!$B$2:$B$497,MATCH(G123,'Dashboard Items'!$A$2:$A$497,0))&amp;": "&amp;INDEX('Dashboard Items'!$C$2:$C$497,MATCH(G123,'Dashboard Items'!$A$2:$A$497,0)),"ID not found")))</f>
        <v/>
      </c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</row>
    <row r="124" spans="2:20" x14ac:dyDescent="0.2">
      <c r="B124" s="80"/>
      <c r="C124" s="80"/>
      <c r="D124" s="80"/>
      <c r="E124" s="80"/>
      <c r="F124" s="81" t="str">
        <f>IF(E124="","",IFERROR(IF(INDEX('Dashboard Items'!$B$2:$B$497,MATCH(E124,'Dashboard Items'!$A$2:$A$497,0))="Objective","Objectives go in the next column",IF(OR(D124="",INDEX('Dashboard Items'!$B$2:$B$497,MATCH(E124,'Dashboard Items'!$A$2:$A$497,0))=D124),INDEX('Dashboard Items'!$C$2:$C$497,MATCH(E124,'Dashboard Items'!$A$2:$A$497,0)),"Level does not match ID")),"ID not found"))</f>
        <v/>
      </c>
      <c r="G124" s="82"/>
      <c r="H124" s="81" t="str">
        <f>IF(G124="","",IF(ISNUMBER(SEARCH(",",G124)),"Several items (the script lists them)",IFERROR(INDEX('Dashboard Items'!$B$2:$B$497,MATCH(G124,'Dashboard Items'!$A$2:$A$497,0))&amp;": "&amp;INDEX('Dashboard Items'!$C$2:$C$497,MATCH(G124,'Dashboard Items'!$A$2:$A$497,0)),"ID not found")))</f>
        <v/>
      </c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</row>
    <row r="125" spans="2:20" x14ac:dyDescent="0.2">
      <c r="B125" s="80"/>
      <c r="C125" s="80"/>
      <c r="D125" s="80"/>
      <c r="E125" s="80"/>
      <c r="F125" s="81" t="str">
        <f>IF(E125="","",IFERROR(IF(INDEX('Dashboard Items'!$B$2:$B$497,MATCH(E125,'Dashboard Items'!$A$2:$A$497,0))="Objective","Objectives go in the next column",IF(OR(D125="",INDEX('Dashboard Items'!$B$2:$B$497,MATCH(E125,'Dashboard Items'!$A$2:$A$497,0))=D125),INDEX('Dashboard Items'!$C$2:$C$497,MATCH(E125,'Dashboard Items'!$A$2:$A$497,0)),"Level does not match ID")),"ID not found"))</f>
        <v/>
      </c>
      <c r="G125" s="82"/>
      <c r="H125" s="81" t="str">
        <f>IF(G125="","",IF(ISNUMBER(SEARCH(",",G125)),"Several items (the script lists them)",IFERROR(INDEX('Dashboard Items'!$B$2:$B$497,MATCH(G125,'Dashboard Items'!$A$2:$A$497,0))&amp;": "&amp;INDEX('Dashboard Items'!$C$2:$C$497,MATCH(G125,'Dashboard Items'!$A$2:$A$497,0)),"ID not found")))</f>
        <v/>
      </c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</row>
    <row r="126" spans="2:20" x14ac:dyDescent="0.2">
      <c r="B126" s="80"/>
      <c r="C126" s="80"/>
      <c r="D126" s="80"/>
      <c r="E126" s="80"/>
      <c r="F126" s="81" t="str">
        <f>IF(E126="","",IFERROR(IF(INDEX('Dashboard Items'!$B$2:$B$497,MATCH(E126,'Dashboard Items'!$A$2:$A$497,0))="Objective","Objectives go in the next column",IF(OR(D126="",INDEX('Dashboard Items'!$B$2:$B$497,MATCH(E126,'Dashboard Items'!$A$2:$A$497,0))=D126),INDEX('Dashboard Items'!$C$2:$C$497,MATCH(E126,'Dashboard Items'!$A$2:$A$497,0)),"Level does not match ID")),"ID not found"))</f>
        <v/>
      </c>
      <c r="G126" s="82"/>
      <c r="H126" s="81" t="str">
        <f>IF(G126="","",IF(ISNUMBER(SEARCH(",",G126)),"Several items (the script lists them)",IFERROR(INDEX('Dashboard Items'!$B$2:$B$497,MATCH(G126,'Dashboard Items'!$A$2:$A$497,0))&amp;": "&amp;INDEX('Dashboard Items'!$C$2:$C$497,MATCH(G126,'Dashboard Items'!$A$2:$A$497,0)),"ID not found")))</f>
        <v/>
      </c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</row>
    <row r="127" spans="2:20" x14ac:dyDescent="0.2">
      <c r="B127" s="80"/>
      <c r="C127" s="80"/>
      <c r="D127" s="80"/>
      <c r="E127" s="80"/>
      <c r="F127" s="81" t="str">
        <f>IF(E127="","",IFERROR(IF(INDEX('Dashboard Items'!$B$2:$B$497,MATCH(E127,'Dashboard Items'!$A$2:$A$497,0))="Objective","Objectives go in the next column",IF(OR(D127="",INDEX('Dashboard Items'!$B$2:$B$497,MATCH(E127,'Dashboard Items'!$A$2:$A$497,0))=D127),INDEX('Dashboard Items'!$C$2:$C$497,MATCH(E127,'Dashboard Items'!$A$2:$A$497,0)),"Level does not match ID")),"ID not found"))</f>
        <v/>
      </c>
      <c r="G127" s="82"/>
      <c r="H127" s="81" t="str">
        <f>IF(G127="","",IF(ISNUMBER(SEARCH(",",G127)),"Several items (the script lists them)",IFERROR(INDEX('Dashboard Items'!$B$2:$B$497,MATCH(G127,'Dashboard Items'!$A$2:$A$497,0))&amp;": "&amp;INDEX('Dashboard Items'!$C$2:$C$497,MATCH(G127,'Dashboard Items'!$A$2:$A$497,0)),"ID not found")))</f>
        <v/>
      </c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</row>
    <row r="128" spans="2:20" x14ac:dyDescent="0.2">
      <c r="B128" s="80"/>
      <c r="C128" s="80"/>
      <c r="D128" s="80"/>
      <c r="E128" s="80"/>
      <c r="F128" s="81" t="str">
        <f>IF(E128="","",IFERROR(IF(INDEX('Dashboard Items'!$B$2:$B$497,MATCH(E128,'Dashboard Items'!$A$2:$A$497,0))="Objective","Objectives go in the next column",IF(OR(D128="",INDEX('Dashboard Items'!$B$2:$B$497,MATCH(E128,'Dashboard Items'!$A$2:$A$497,0))=D128),INDEX('Dashboard Items'!$C$2:$C$497,MATCH(E128,'Dashboard Items'!$A$2:$A$497,0)),"Level does not match ID")),"ID not found"))</f>
        <v/>
      </c>
      <c r="G128" s="82"/>
      <c r="H128" s="81" t="str">
        <f>IF(G128="","",IF(ISNUMBER(SEARCH(",",G128)),"Several items (the script lists them)",IFERROR(INDEX('Dashboard Items'!$B$2:$B$497,MATCH(G128,'Dashboard Items'!$A$2:$A$497,0))&amp;": "&amp;INDEX('Dashboard Items'!$C$2:$C$497,MATCH(G128,'Dashboard Items'!$A$2:$A$497,0)),"ID not found")))</f>
        <v/>
      </c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</row>
    <row r="129" spans="2:20" x14ac:dyDescent="0.2">
      <c r="B129" s="80"/>
      <c r="C129" s="80"/>
      <c r="D129" s="80"/>
      <c r="E129" s="80"/>
      <c r="F129" s="81" t="str">
        <f>IF(E129="","",IFERROR(IF(INDEX('Dashboard Items'!$B$2:$B$497,MATCH(E129,'Dashboard Items'!$A$2:$A$497,0))="Objective","Objectives go in the next column",IF(OR(D129="",INDEX('Dashboard Items'!$B$2:$B$497,MATCH(E129,'Dashboard Items'!$A$2:$A$497,0))=D129),INDEX('Dashboard Items'!$C$2:$C$497,MATCH(E129,'Dashboard Items'!$A$2:$A$497,0)),"Level does not match ID")),"ID not found"))</f>
        <v/>
      </c>
      <c r="G129" s="82"/>
      <c r="H129" s="81" t="str">
        <f>IF(G129="","",IF(ISNUMBER(SEARCH(",",G129)),"Several items (the script lists them)",IFERROR(INDEX('Dashboard Items'!$B$2:$B$497,MATCH(G129,'Dashboard Items'!$A$2:$A$497,0))&amp;": "&amp;INDEX('Dashboard Items'!$C$2:$C$497,MATCH(G129,'Dashboard Items'!$A$2:$A$497,0)),"ID not found")))</f>
        <v/>
      </c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</row>
    <row r="130" spans="2:20" x14ac:dyDescent="0.2">
      <c r="B130" s="80"/>
      <c r="C130" s="80"/>
      <c r="D130" s="80"/>
      <c r="E130" s="80"/>
      <c r="F130" s="81" t="str">
        <f>IF(E130="","",IFERROR(IF(INDEX('Dashboard Items'!$B$2:$B$497,MATCH(E130,'Dashboard Items'!$A$2:$A$497,0))="Objective","Objectives go in the next column",IF(OR(D130="",INDEX('Dashboard Items'!$B$2:$B$497,MATCH(E130,'Dashboard Items'!$A$2:$A$497,0))=D130),INDEX('Dashboard Items'!$C$2:$C$497,MATCH(E130,'Dashboard Items'!$A$2:$A$497,0)),"Level does not match ID")),"ID not found"))</f>
        <v/>
      </c>
      <c r="G130" s="82"/>
      <c r="H130" s="81" t="str">
        <f>IF(G130="","",IF(ISNUMBER(SEARCH(",",G130)),"Several items (the script lists them)",IFERROR(INDEX('Dashboard Items'!$B$2:$B$497,MATCH(G130,'Dashboard Items'!$A$2:$A$497,0))&amp;": "&amp;INDEX('Dashboard Items'!$C$2:$C$497,MATCH(G130,'Dashboard Items'!$A$2:$A$497,0)),"ID not found")))</f>
        <v/>
      </c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</row>
    <row r="131" spans="2:20" x14ac:dyDescent="0.2">
      <c r="B131" s="80"/>
      <c r="C131" s="80"/>
      <c r="D131" s="80"/>
      <c r="E131" s="80"/>
      <c r="F131" s="81" t="str">
        <f>IF(E131="","",IFERROR(IF(INDEX('Dashboard Items'!$B$2:$B$497,MATCH(E131,'Dashboard Items'!$A$2:$A$497,0))="Objective","Objectives go in the next column",IF(OR(D131="",INDEX('Dashboard Items'!$B$2:$B$497,MATCH(E131,'Dashboard Items'!$A$2:$A$497,0))=D131),INDEX('Dashboard Items'!$C$2:$C$497,MATCH(E131,'Dashboard Items'!$A$2:$A$497,0)),"Level does not match ID")),"ID not found"))</f>
        <v/>
      </c>
      <c r="G131" s="82"/>
      <c r="H131" s="81" t="str">
        <f>IF(G131="","",IF(ISNUMBER(SEARCH(",",G131)),"Several items (the script lists them)",IFERROR(INDEX('Dashboard Items'!$B$2:$B$497,MATCH(G131,'Dashboard Items'!$A$2:$A$497,0))&amp;": "&amp;INDEX('Dashboard Items'!$C$2:$C$497,MATCH(G131,'Dashboard Items'!$A$2:$A$497,0)),"ID not found")))</f>
        <v/>
      </c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</row>
    <row r="132" spans="2:20" x14ac:dyDescent="0.2">
      <c r="B132" s="80"/>
      <c r="C132" s="80"/>
      <c r="D132" s="80"/>
      <c r="E132" s="80"/>
      <c r="F132" s="81" t="str">
        <f>IF(E132="","",IFERROR(IF(INDEX('Dashboard Items'!$B$2:$B$497,MATCH(E132,'Dashboard Items'!$A$2:$A$497,0))="Objective","Objectives go in the next column",IF(OR(D132="",INDEX('Dashboard Items'!$B$2:$B$497,MATCH(E132,'Dashboard Items'!$A$2:$A$497,0))=D132),INDEX('Dashboard Items'!$C$2:$C$497,MATCH(E132,'Dashboard Items'!$A$2:$A$497,0)),"Level does not match ID")),"ID not found"))</f>
        <v/>
      </c>
      <c r="G132" s="82"/>
      <c r="H132" s="81" t="str">
        <f>IF(G132="","",IF(ISNUMBER(SEARCH(",",G132)),"Several items (the script lists them)",IFERROR(INDEX('Dashboard Items'!$B$2:$B$497,MATCH(G132,'Dashboard Items'!$A$2:$A$497,0))&amp;": "&amp;INDEX('Dashboard Items'!$C$2:$C$497,MATCH(G132,'Dashboard Items'!$A$2:$A$497,0)),"ID not found")))</f>
        <v/>
      </c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</row>
    <row r="133" spans="2:20" x14ac:dyDescent="0.2">
      <c r="B133" s="80"/>
      <c r="C133" s="80"/>
      <c r="D133" s="80"/>
      <c r="E133" s="80"/>
      <c r="F133" s="81" t="str">
        <f>IF(E133="","",IFERROR(IF(INDEX('Dashboard Items'!$B$2:$B$497,MATCH(E133,'Dashboard Items'!$A$2:$A$497,0))="Objective","Objectives go in the next column",IF(OR(D133="",INDEX('Dashboard Items'!$B$2:$B$497,MATCH(E133,'Dashboard Items'!$A$2:$A$497,0))=D133),INDEX('Dashboard Items'!$C$2:$C$497,MATCH(E133,'Dashboard Items'!$A$2:$A$497,0)),"Level does not match ID")),"ID not found"))</f>
        <v/>
      </c>
      <c r="G133" s="82"/>
      <c r="H133" s="81" t="str">
        <f>IF(G133="","",IF(ISNUMBER(SEARCH(",",G133)),"Several items (the script lists them)",IFERROR(INDEX('Dashboard Items'!$B$2:$B$497,MATCH(G133,'Dashboard Items'!$A$2:$A$497,0))&amp;": "&amp;INDEX('Dashboard Items'!$C$2:$C$497,MATCH(G133,'Dashboard Items'!$A$2:$A$497,0)),"ID not found")))</f>
        <v/>
      </c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</row>
    <row r="134" spans="2:20" x14ac:dyDescent="0.2">
      <c r="B134" s="80"/>
      <c r="C134" s="80"/>
      <c r="D134" s="80"/>
      <c r="E134" s="80"/>
      <c r="F134" s="81" t="str">
        <f>IF(E134="","",IFERROR(IF(INDEX('Dashboard Items'!$B$2:$B$497,MATCH(E134,'Dashboard Items'!$A$2:$A$497,0))="Objective","Objectives go in the next column",IF(OR(D134="",INDEX('Dashboard Items'!$B$2:$B$497,MATCH(E134,'Dashboard Items'!$A$2:$A$497,0))=D134),INDEX('Dashboard Items'!$C$2:$C$497,MATCH(E134,'Dashboard Items'!$A$2:$A$497,0)),"Level does not match ID")),"ID not found"))</f>
        <v/>
      </c>
      <c r="G134" s="82"/>
      <c r="H134" s="81" t="str">
        <f>IF(G134="","",IF(ISNUMBER(SEARCH(",",G134)),"Several items (the script lists them)",IFERROR(INDEX('Dashboard Items'!$B$2:$B$497,MATCH(G134,'Dashboard Items'!$A$2:$A$497,0))&amp;": "&amp;INDEX('Dashboard Items'!$C$2:$C$497,MATCH(G134,'Dashboard Items'!$A$2:$A$497,0)),"ID not found")))</f>
        <v/>
      </c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</row>
    <row r="135" spans="2:20" x14ac:dyDescent="0.2">
      <c r="B135" s="80"/>
      <c r="C135" s="80"/>
      <c r="D135" s="80"/>
      <c r="E135" s="80"/>
      <c r="F135" s="81" t="str">
        <f>IF(E135="","",IFERROR(IF(INDEX('Dashboard Items'!$B$2:$B$497,MATCH(E135,'Dashboard Items'!$A$2:$A$497,0))="Objective","Objectives go in the next column",IF(OR(D135="",INDEX('Dashboard Items'!$B$2:$B$497,MATCH(E135,'Dashboard Items'!$A$2:$A$497,0))=D135),INDEX('Dashboard Items'!$C$2:$C$497,MATCH(E135,'Dashboard Items'!$A$2:$A$497,0)),"Level does not match ID")),"ID not found"))</f>
        <v/>
      </c>
      <c r="G135" s="82"/>
      <c r="H135" s="81" t="str">
        <f>IF(G135="","",IF(ISNUMBER(SEARCH(",",G135)),"Several items (the script lists them)",IFERROR(INDEX('Dashboard Items'!$B$2:$B$497,MATCH(G135,'Dashboard Items'!$A$2:$A$497,0))&amp;": "&amp;INDEX('Dashboard Items'!$C$2:$C$497,MATCH(G135,'Dashboard Items'!$A$2:$A$497,0)),"ID not found")))</f>
        <v/>
      </c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</row>
    <row r="136" spans="2:20" x14ac:dyDescent="0.2">
      <c r="B136" s="80"/>
      <c r="C136" s="80"/>
      <c r="D136" s="80"/>
      <c r="E136" s="80"/>
      <c r="F136" s="81" t="str">
        <f>IF(E136="","",IFERROR(IF(INDEX('Dashboard Items'!$B$2:$B$497,MATCH(E136,'Dashboard Items'!$A$2:$A$497,0))="Objective","Objectives go in the next column",IF(OR(D136="",INDEX('Dashboard Items'!$B$2:$B$497,MATCH(E136,'Dashboard Items'!$A$2:$A$497,0))=D136),INDEX('Dashboard Items'!$C$2:$C$497,MATCH(E136,'Dashboard Items'!$A$2:$A$497,0)),"Level does not match ID")),"ID not found"))</f>
        <v/>
      </c>
      <c r="G136" s="82"/>
      <c r="H136" s="81" t="str">
        <f>IF(G136="","",IF(ISNUMBER(SEARCH(",",G136)),"Several items (the script lists them)",IFERROR(INDEX('Dashboard Items'!$B$2:$B$497,MATCH(G136,'Dashboard Items'!$A$2:$A$497,0))&amp;": "&amp;INDEX('Dashboard Items'!$C$2:$C$497,MATCH(G136,'Dashboard Items'!$A$2:$A$497,0)),"ID not found")))</f>
        <v/>
      </c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</row>
    <row r="137" spans="2:20" x14ac:dyDescent="0.2">
      <c r="B137" s="80"/>
      <c r="C137" s="80"/>
      <c r="D137" s="80"/>
      <c r="E137" s="80"/>
      <c r="F137" s="81" t="str">
        <f>IF(E137="","",IFERROR(IF(INDEX('Dashboard Items'!$B$2:$B$497,MATCH(E137,'Dashboard Items'!$A$2:$A$497,0))="Objective","Objectives go in the next column",IF(OR(D137="",INDEX('Dashboard Items'!$B$2:$B$497,MATCH(E137,'Dashboard Items'!$A$2:$A$497,0))=D137),INDEX('Dashboard Items'!$C$2:$C$497,MATCH(E137,'Dashboard Items'!$A$2:$A$497,0)),"Level does not match ID")),"ID not found"))</f>
        <v/>
      </c>
      <c r="G137" s="82"/>
      <c r="H137" s="81" t="str">
        <f>IF(G137="","",IF(ISNUMBER(SEARCH(",",G137)),"Several items (the script lists them)",IFERROR(INDEX('Dashboard Items'!$B$2:$B$497,MATCH(G137,'Dashboard Items'!$A$2:$A$497,0))&amp;": "&amp;INDEX('Dashboard Items'!$C$2:$C$497,MATCH(G137,'Dashboard Items'!$A$2:$A$497,0)),"ID not found")))</f>
        <v/>
      </c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</row>
    <row r="138" spans="2:20" x14ac:dyDescent="0.2">
      <c r="B138" s="80"/>
      <c r="C138" s="80"/>
      <c r="D138" s="80"/>
      <c r="E138" s="80"/>
      <c r="F138" s="81" t="str">
        <f>IF(E138="","",IFERROR(IF(INDEX('Dashboard Items'!$B$2:$B$497,MATCH(E138,'Dashboard Items'!$A$2:$A$497,0))="Objective","Objectives go in the next column",IF(OR(D138="",INDEX('Dashboard Items'!$B$2:$B$497,MATCH(E138,'Dashboard Items'!$A$2:$A$497,0))=D138),INDEX('Dashboard Items'!$C$2:$C$497,MATCH(E138,'Dashboard Items'!$A$2:$A$497,0)),"Level does not match ID")),"ID not found"))</f>
        <v/>
      </c>
      <c r="G138" s="82"/>
      <c r="H138" s="81" t="str">
        <f>IF(G138="","",IF(ISNUMBER(SEARCH(",",G138)),"Several items (the script lists them)",IFERROR(INDEX('Dashboard Items'!$B$2:$B$497,MATCH(G138,'Dashboard Items'!$A$2:$A$497,0))&amp;": "&amp;INDEX('Dashboard Items'!$C$2:$C$497,MATCH(G138,'Dashboard Items'!$A$2:$A$497,0)),"ID not found")))</f>
        <v/>
      </c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</row>
    <row r="139" spans="2:20" x14ac:dyDescent="0.2">
      <c r="B139" s="80"/>
      <c r="C139" s="80"/>
      <c r="D139" s="80"/>
      <c r="E139" s="80"/>
      <c r="F139" s="81" t="str">
        <f>IF(E139="","",IFERROR(IF(INDEX('Dashboard Items'!$B$2:$B$497,MATCH(E139,'Dashboard Items'!$A$2:$A$497,0))="Objective","Objectives go in the next column",IF(OR(D139="",INDEX('Dashboard Items'!$B$2:$B$497,MATCH(E139,'Dashboard Items'!$A$2:$A$497,0))=D139),INDEX('Dashboard Items'!$C$2:$C$497,MATCH(E139,'Dashboard Items'!$A$2:$A$497,0)),"Level does not match ID")),"ID not found"))</f>
        <v/>
      </c>
      <c r="G139" s="82"/>
      <c r="H139" s="81" t="str">
        <f>IF(G139="","",IF(ISNUMBER(SEARCH(",",G139)),"Several items (the script lists them)",IFERROR(INDEX('Dashboard Items'!$B$2:$B$497,MATCH(G139,'Dashboard Items'!$A$2:$A$497,0))&amp;": "&amp;INDEX('Dashboard Items'!$C$2:$C$497,MATCH(G139,'Dashboard Items'!$A$2:$A$497,0)),"ID not found")))</f>
        <v/>
      </c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</row>
    <row r="140" spans="2:20" x14ac:dyDescent="0.2">
      <c r="B140" s="80"/>
      <c r="C140" s="80"/>
      <c r="D140" s="80"/>
      <c r="E140" s="80"/>
      <c r="F140" s="81" t="str">
        <f>IF(E140="","",IFERROR(IF(INDEX('Dashboard Items'!$B$2:$B$497,MATCH(E140,'Dashboard Items'!$A$2:$A$497,0))="Objective","Objectives go in the next column",IF(OR(D140="",INDEX('Dashboard Items'!$B$2:$B$497,MATCH(E140,'Dashboard Items'!$A$2:$A$497,0))=D140),INDEX('Dashboard Items'!$C$2:$C$497,MATCH(E140,'Dashboard Items'!$A$2:$A$497,0)),"Level does not match ID")),"ID not found"))</f>
        <v/>
      </c>
      <c r="G140" s="82"/>
      <c r="H140" s="81" t="str">
        <f>IF(G140="","",IF(ISNUMBER(SEARCH(",",G140)),"Several items (the script lists them)",IFERROR(INDEX('Dashboard Items'!$B$2:$B$497,MATCH(G140,'Dashboard Items'!$A$2:$A$497,0))&amp;": "&amp;INDEX('Dashboard Items'!$C$2:$C$497,MATCH(G140,'Dashboard Items'!$A$2:$A$497,0)),"ID not found")))</f>
        <v/>
      </c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</row>
    <row r="141" spans="2:20" x14ac:dyDescent="0.2">
      <c r="B141" s="80"/>
      <c r="C141" s="80"/>
      <c r="D141" s="80"/>
      <c r="E141" s="80"/>
      <c r="F141" s="81" t="str">
        <f>IF(E141="","",IFERROR(IF(INDEX('Dashboard Items'!$B$2:$B$497,MATCH(E141,'Dashboard Items'!$A$2:$A$497,0))="Objective","Objectives go in the next column",IF(OR(D141="",INDEX('Dashboard Items'!$B$2:$B$497,MATCH(E141,'Dashboard Items'!$A$2:$A$497,0))=D141),INDEX('Dashboard Items'!$C$2:$C$497,MATCH(E141,'Dashboard Items'!$A$2:$A$497,0)),"Level does not match ID")),"ID not found"))</f>
        <v/>
      </c>
      <c r="G141" s="82"/>
      <c r="H141" s="81" t="str">
        <f>IF(G141="","",IF(ISNUMBER(SEARCH(",",G141)),"Several items (the script lists them)",IFERROR(INDEX('Dashboard Items'!$B$2:$B$497,MATCH(G141,'Dashboard Items'!$A$2:$A$497,0))&amp;": "&amp;INDEX('Dashboard Items'!$C$2:$C$497,MATCH(G141,'Dashboard Items'!$A$2:$A$497,0)),"ID not found")))</f>
        <v/>
      </c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</row>
    <row r="142" spans="2:20" x14ac:dyDescent="0.2">
      <c r="B142" s="80"/>
      <c r="C142" s="80"/>
      <c r="D142" s="80"/>
      <c r="E142" s="80"/>
      <c r="F142" s="81" t="str">
        <f>IF(E142="","",IFERROR(IF(INDEX('Dashboard Items'!$B$2:$B$497,MATCH(E142,'Dashboard Items'!$A$2:$A$497,0))="Objective","Objectives go in the next column",IF(OR(D142="",INDEX('Dashboard Items'!$B$2:$B$497,MATCH(E142,'Dashboard Items'!$A$2:$A$497,0))=D142),INDEX('Dashboard Items'!$C$2:$C$497,MATCH(E142,'Dashboard Items'!$A$2:$A$497,0)),"Level does not match ID")),"ID not found"))</f>
        <v/>
      </c>
      <c r="G142" s="82"/>
      <c r="H142" s="81" t="str">
        <f>IF(G142="","",IF(ISNUMBER(SEARCH(",",G142)),"Several items (the script lists them)",IFERROR(INDEX('Dashboard Items'!$B$2:$B$497,MATCH(G142,'Dashboard Items'!$A$2:$A$497,0))&amp;": "&amp;INDEX('Dashboard Items'!$C$2:$C$497,MATCH(G142,'Dashboard Items'!$A$2:$A$497,0)),"ID not found")))</f>
        <v/>
      </c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</row>
    <row r="143" spans="2:20" x14ac:dyDescent="0.2">
      <c r="B143" s="80"/>
      <c r="C143" s="80"/>
      <c r="D143" s="80"/>
      <c r="E143" s="80"/>
      <c r="F143" s="81" t="str">
        <f>IF(E143="","",IFERROR(IF(INDEX('Dashboard Items'!$B$2:$B$497,MATCH(E143,'Dashboard Items'!$A$2:$A$497,0))="Objective","Objectives go in the next column",IF(OR(D143="",INDEX('Dashboard Items'!$B$2:$B$497,MATCH(E143,'Dashboard Items'!$A$2:$A$497,0))=D143),INDEX('Dashboard Items'!$C$2:$C$497,MATCH(E143,'Dashboard Items'!$A$2:$A$497,0)),"Level does not match ID")),"ID not found"))</f>
        <v/>
      </c>
      <c r="G143" s="82"/>
      <c r="H143" s="81" t="str">
        <f>IF(G143="","",IF(ISNUMBER(SEARCH(",",G143)),"Several items (the script lists them)",IFERROR(INDEX('Dashboard Items'!$B$2:$B$497,MATCH(G143,'Dashboard Items'!$A$2:$A$497,0))&amp;": "&amp;INDEX('Dashboard Items'!$C$2:$C$497,MATCH(G143,'Dashboard Items'!$A$2:$A$497,0)),"ID not found")))</f>
        <v/>
      </c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</row>
    <row r="144" spans="2:20" x14ac:dyDescent="0.2">
      <c r="B144" s="80"/>
      <c r="C144" s="80"/>
      <c r="D144" s="80"/>
      <c r="E144" s="80"/>
      <c r="F144" s="81" t="str">
        <f>IF(E144="","",IFERROR(IF(INDEX('Dashboard Items'!$B$2:$B$497,MATCH(E144,'Dashboard Items'!$A$2:$A$497,0))="Objective","Objectives go in the next column",IF(OR(D144="",INDEX('Dashboard Items'!$B$2:$B$497,MATCH(E144,'Dashboard Items'!$A$2:$A$497,0))=D144),INDEX('Dashboard Items'!$C$2:$C$497,MATCH(E144,'Dashboard Items'!$A$2:$A$497,0)),"Level does not match ID")),"ID not found"))</f>
        <v/>
      </c>
      <c r="G144" s="82"/>
      <c r="H144" s="81" t="str">
        <f>IF(G144="","",IF(ISNUMBER(SEARCH(",",G144)),"Several items (the script lists them)",IFERROR(INDEX('Dashboard Items'!$B$2:$B$497,MATCH(G144,'Dashboard Items'!$A$2:$A$497,0))&amp;": "&amp;INDEX('Dashboard Items'!$C$2:$C$497,MATCH(G144,'Dashboard Items'!$A$2:$A$497,0)),"ID not found")))</f>
        <v/>
      </c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</row>
    <row r="145" spans="2:20" x14ac:dyDescent="0.2">
      <c r="B145" s="80"/>
      <c r="C145" s="80"/>
      <c r="D145" s="80"/>
      <c r="E145" s="80"/>
      <c r="F145" s="81" t="str">
        <f>IF(E145="","",IFERROR(IF(INDEX('Dashboard Items'!$B$2:$B$497,MATCH(E145,'Dashboard Items'!$A$2:$A$497,0))="Objective","Objectives go in the next column",IF(OR(D145="",INDEX('Dashboard Items'!$B$2:$B$497,MATCH(E145,'Dashboard Items'!$A$2:$A$497,0))=D145),INDEX('Dashboard Items'!$C$2:$C$497,MATCH(E145,'Dashboard Items'!$A$2:$A$497,0)),"Level does not match ID")),"ID not found"))</f>
        <v/>
      </c>
      <c r="G145" s="82"/>
      <c r="H145" s="81" t="str">
        <f>IF(G145="","",IF(ISNUMBER(SEARCH(",",G145)),"Several items (the script lists them)",IFERROR(INDEX('Dashboard Items'!$B$2:$B$497,MATCH(G145,'Dashboard Items'!$A$2:$A$497,0))&amp;": "&amp;INDEX('Dashboard Items'!$C$2:$C$497,MATCH(G145,'Dashboard Items'!$A$2:$A$497,0)),"ID not found")))</f>
        <v/>
      </c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</row>
    <row r="146" spans="2:20" x14ac:dyDescent="0.2">
      <c r="B146" s="80"/>
      <c r="C146" s="80"/>
      <c r="D146" s="80"/>
      <c r="E146" s="80"/>
      <c r="F146" s="81" t="str">
        <f>IF(E146="","",IFERROR(IF(INDEX('Dashboard Items'!$B$2:$B$497,MATCH(E146,'Dashboard Items'!$A$2:$A$497,0))="Objective","Objectives go in the next column",IF(OR(D146="",INDEX('Dashboard Items'!$B$2:$B$497,MATCH(E146,'Dashboard Items'!$A$2:$A$497,0))=D146),INDEX('Dashboard Items'!$C$2:$C$497,MATCH(E146,'Dashboard Items'!$A$2:$A$497,0)),"Level does not match ID")),"ID not found"))</f>
        <v/>
      </c>
      <c r="G146" s="82"/>
      <c r="H146" s="81" t="str">
        <f>IF(G146="","",IF(ISNUMBER(SEARCH(",",G146)),"Several items (the script lists them)",IFERROR(INDEX('Dashboard Items'!$B$2:$B$497,MATCH(G146,'Dashboard Items'!$A$2:$A$497,0))&amp;": "&amp;INDEX('Dashboard Items'!$C$2:$C$497,MATCH(G146,'Dashboard Items'!$A$2:$A$497,0)),"ID not found")))</f>
        <v/>
      </c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</row>
    <row r="147" spans="2:20" x14ac:dyDescent="0.2">
      <c r="B147" s="80"/>
      <c r="C147" s="80"/>
      <c r="D147" s="80"/>
      <c r="E147" s="80"/>
      <c r="F147" s="81" t="str">
        <f>IF(E147="","",IFERROR(IF(INDEX('Dashboard Items'!$B$2:$B$497,MATCH(E147,'Dashboard Items'!$A$2:$A$497,0))="Objective","Objectives go in the next column",IF(OR(D147="",INDEX('Dashboard Items'!$B$2:$B$497,MATCH(E147,'Dashboard Items'!$A$2:$A$497,0))=D147),INDEX('Dashboard Items'!$C$2:$C$497,MATCH(E147,'Dashboard Items'!$A$2:$A$497,0)),"Level does not match ID")),"ID not found"))</f>
        <v/>
      </c>
      <c r="G147" s="82"/>
      <c r="H147" s="81" t="str">
        <f>IF(G147="","",IF(ISNUMBER(SEARCH(",",G147)),"Several items (the script lists them)",IFERROR(INDEX('Dashboard Items'!$B$2:$B$497,MATCH(G147,'Dashboard Items'!$A$2:$A$497,0))&amp;": "&amp;INDEX('Dashboard Items'!$C$2:$C$497,MATCH(G147,'Dashboard Items'!$A$2:$A$497,0)),"ID not found")))</f>
        <v/>
      </c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</row>
    <row r="148" spans="2:20" x14ac:dyDescent="0.2">
      <c r="B148" s="80"/>
      <c r="C148" s="80"/>
      <c r="D148" s="80"/>
      <c r="E148" s="80"/>
      <c r="F148" s="81" t="str">
        <f>IF(E148="","",IFERROR(IF(INDEX('Dashboard Items'!$B$2:$B$497,MATCH(E148,'Dashboard Items'!$A$2:$A$497,0))="Objective","Objectives go in the next column",IF(OR(D148="",INDEX('Dashboard Items'!$B$2:$B$497,MATCH(E148,'Dashboard Items'!$A$2:$A$497,0))=D148),INDEX('Dashboard Items'!$C$2:$C$497,MATCH(E148,'Dashboard Items'!$A$2:$A$497,0)),"Level does not match ID")),"ID not found"))</f>
        <v/>
      </c>
      <c r="G148" s="82"/>
      <c r="H148" s="81" t="str">
        <f>IF(G148="","",IF(ISNUMBER(SEARCH(",",G148)),"Several items (the script lists them)",IFERROR(INDEX('Dashboard Items'!$B$2:$B$497,MATCH(G148,'Dashboard Items'!$A$2:$A$497,0))&amp;": "&amp;INDEX('Dashboard Items'!$C$2:$C$497,MATCH(G148,'Dashboard Items'!$A$2:$A$497,0)),"ID not found")))</f>
        <v/>
      </c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</row>
    <row r="149" spans="2:20" x14ac:dyDescent="0.2">
      <c r="B149" s="80"/>
      <c r="C149" s="80"/>
      <c r="D149" s="80"/>
      <c r="E149" s="80"/>
      <c r="F149" s="81" t="str">
        <f>IF(E149="","",IFERROR(IF(INDEX('Dashboard Items'!$B$2:$B$497,MATCH(E149,'Dashboard Items'!$A$2:$A$497,0))="Objective","Objectives go in the next column",IF(OR(D149="",INDEX('Dashboard Items'!$B$2:$B$497,MATCH(E149,'Dashboard Items'!$A$2:$A$497,0))=D149),INDEX('Dashboard Items'!$C$2:$C$497,MATCH(E149,'Dashboard Items'!$A$2:$A$497,0)),"Level does not match ID")),"ID not found"))</f>
        <v/>
      </c>
      <c r="G149" s="82"/>
      <c r="H149" s="81" t="str">
        <f>IF(G149="","",IF(ISNUMBER(SEARCH(",",G149)),"Several items (the script lists them)",IFERROR(INDEX('Dashboard Items'!$B$2:$B$497,MATCH(G149,'Dashboard Items'!$A$2:$A$497,0))&amp;": "&amp;INDEX('Dashboard Items'!$C$2:$C$497,MATCH(G149,'Dashboard Items'!$A$2:$A$497,0)),"ID not found")))</f>
        <v/>
      </c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</row>
    <row r="150" spans="2:20" x14ac:dyDescent="0.2">
      <c r="B150" s="80"/>
      <c r="C150" s="80"/>
      <c r="D150" s="80"/>
      <c r="E150" s="80"/>
      <c r="F150" s="81" t="str">
        <f>IF(E150="","",IFERROR(IF(INDEX('Dashboard Items'!$B$2:$B$497,MATCH(E150,'Dashboard Items'!$A$2:$A$497,0))="Objective","Objectives go in the next column",IF(OR(D150="",INDEX('Dashboard Items'!$B$2:$B$497,MATCH(E150,'Dashboard Items'!$A$2:$A$497,0))=D150),INDEX('Dashboard Items'!$C$2:$C$497,MATCH(E150,'Dashboard Items'!$A$2:$A$497,0)),"Level does not match ID")),"ID not found"))</f>
        <v/>
      </c>
      <c r="G150" s="82"/>
      <c r="H150" s="81" t="str">
        <f>IF(G150="","",IF(ISNUMBER(SEARCH(",",G150)),"Several items (the script lists them)",IFERROR(INDEX('Dashboard Items'!$B$2:$B$497,MATCH(G150,'Dashboard Items'!$A$2:$A$497,0))&amp;": "&amp;INDEX('Dashboard Items'!$C$2:$C$497,MATCH(G150,'Dashboard Items'!$A$2:$A$497,0)),"ID not found")))</f>
        <v/>
      </c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</row>
    <row r="151" spans="2:20" x14ac:dyDescent="0.2">
      <c r="B151" s="80"/>
      <c r="C151" s="80"/>
      <c r="D151" s="80"/>
      <c r="E151" s="80"/>
      <c r="F151" s="81" t="str">
        <f>IF(E151="","",IFERROR(IF(INDEX('Dashboard Items'!$B$2:$B$497,MATCH(E151,'Dashboard Items'!$A$2:$A$497,0))="Objective","Objectives go in the next column",IF(OR(D151="",INDEX('Dashboard Items'!$B$2:$B$497,MATCH(E151,'Dashboard Items'!$A$2:$A$497,0))=D151),INDEX('Dashboard Items'!$C$2:$C$497,MATCH(E151,'Dashboard Items'!$A$2:$A$497,0)),"Level does not match ID")),"ID not found"))</f>
        <v/>
      </c>
      <c r="G151" s="82"/>
      <c r="H151" s="81" t="str">
        <f>IF(G151="","",IF(ISNUMBER(SEARCH(",",G151)),"Several items (the script lists them)",IFERROR(INDEX('Dashboard Items'!$B$2:$B$497,MATCH(G151,'Dashboard Items'!$A$2:$A$497,0))&amp;": "&amp;INDEX('Dashboard Items'!$C$2:$C$497,MATCH(G151,'Dashboard Items'!$A$2:$A$497,0)),"ID not found")))</f>
        <v/>
      </c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</row>
    <row r="152" spans="2:20" x14ac:dyDescent="0.2">
      <c r="B152" s="80"/>
      <c r="C152" s="80"/>
      <c r="D152" s="80"/>
      <c r="E152" s="80"/>
      <c r="F152" s="81" t="str">
        <f>IF(E152="","",IFERROR(IF(INDEX('Dashboard Items'!$B$2:$B$497,MATCH(E152,'Dashboard Items'!$A$2:$A$497,0))="Objective","Objectives go in the next column",IF(OR(D152="",INDEX('Dashboard Items'!$B$2:$B$497,MATCH(E152,'Dashboard Items'!$A$2:$A$497,0))=D152),INDEX('Dashboard Items'!$C$2:$C$497,MATCH(E152,'Dashboard Items'!$A$2:$A$497,0)),"Level does not match ID")),"ID not found"))</f>
        <v/>
      </c>
      <c r="G152" s="82"/>
      <c r="H152" s="81" t="str">
        <f>IF(G152="","",IF(ISNUMBER(SEARCH(",",G152)),"Several items (the script lists them)",IFERROR(INDEX('Dashboard Items'!$B$2:$B$497,MATCH(G152,'Dashboard Items'!$A$2:$A$497,0))&amp;": "&amp;INDEX('Dashboard Items'!$C$2:$C$497,MATCH(G152,'Dashboard Items'!$A$2:$A$497,0)),"ID not found")))</f>
        <v/>
      </c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</row>
    <row r="153" spans="2:20" x14ac:dyDescent="0.2">
      <c r="B153" s="80"/>
      <c r="C153" s="80"/>
      <c r="D153" s="80"/>
      <c r="E153" s="80"/>
      <c r="F153" s="81" t="str">
        <f>IF(E153="","",IFERROR(IF(INDEX('Dashboard Items'!$B$2:$B$497,MATCH(E153,'Dashboard Items'!$A$2:$A$497,0))="Objective","Objectives go in the next column",IF(OR(D153="",INDEX('Dashboard Items'!$B$2:$B$497,MATCH(E153,'Dashboard Items'!$A$2:$A$497,0))=D153),INDEX('Dashboard Items'!$C$2:$C$497,MATCH(E153,'Dashboard Items'!$A$2:$A$497,0)),"Level does not match ID")),"ID not found"))</f>
        <v/>
      </c>
      <c r="G153" s="82"/>
      <c r="H153" s="81" t="str">
        <f>IF(G153="","",IF(ISNUMBER(SEARCH(",",G153)),"Several items (the script lists them)",IFERROR(INDEX('Dashboard Items'!$B$2:$B$497,MATCH(G153,'Dashboard Items'!$A$2:$A$497,0))&amp;": "&amp;INDEX('Dashboard Items'!$C$2:$C$497,MATCH(G153,'Dashboard Items'!$A$2:$A$497,0)),"ID not found")))</f>
        <v/>
      </c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</row>
    <row r="154" spans="2:20" x14ac:dyDescent="0.2">
      <c r="B154" s="80"/>
      <c r="C154" s="80"/>
      <c r="D154" s="80"/>
      <c r="E154" s="80"/>
      <c r="F154" s="81" t="str">
        <f>IF(E154="","",IFERROR(IF(INDEX('Dashboard Items'!$B$2:$B$497,MATCH(E154,'Dashboard Items'!$A$2:$A$497,0))="Objective","Objectives go in the next column",IF(OR(D154="",INDEX('Dashboard Items'!$B$2:$B$497,MATCH(E154,'Dashboard Items'!$A$2:$A$497,0))=D154),INDEX('Dashboard Items'!$C$2:$C$497,MATCH(E154,'Dashboard Items'!$A$2:$A$497,0)),"Level does not match ID")),"ID not found"))</f>
        <v/>
      </c>
      <c r="G154" s="82"/>
      <c r="H154" s="81" t="str">
        <f>IF(G154="","",IF(ISNUMBER(SEARCH(",",G154)),"Several items (the script lists them)",IFERROR(INDEX('Dashboard Items'!$B$2:$B$497,MATCH(G154,'Dashboard Items'!$A$2:$A$497,0))&amp;": "&amp;INDEX('Dashboard Items'!$C$2:$C$497,MATCH(G154,'Dashboard Items'!$A$2:$A$497,0)),"ID not found")))</f>
        <v/>
      </c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</row>
    <row r="155" spans="2:20" x14ac:dyDescent="0.2">
      <c r="B155" s="80"/>
      <c r="C155" s="80"/>
      <c r="D155" s="80"/>
      <c r="E155" s="80"/>
      <c r="F155" s="81" t="str">
        <f>IF(E155="","",IFERROR(IF(INDEX('Dashboard Items'!$B$2:$B$497,MATCH(E155,'Dashboard Items'!$A$2:$A$497,0))="Objective","Objectives go in the next column",IF(OR(D155="",INDEX('Dashboard Items'!$B$2:$B$497,MATCH(E155,'Dashboard Items'!$A$2:$A$497,0))=D155),INDEX('Dashboard Items'!$C$2:$C$497,MATCH(E155,'Dashboard Items'!$A$2:$A$497,0)),"Level does not match ID")),"ID not found"))</f>
        <v/>
      </c>
      <c r="G155" s="82"/>
      <c r="H155" s="81" t="str">
        <f>IF(G155="","",IF(ISNUMBER(SEARCH(",",G155)),"Several items (the script lists them)",IFERROR(INDEX('Dashboard Items'!$B$2:$B$497,MATCH(G155,'Dashboard Items'!$A$2:$A$497,0))&amp;": "&amp;INDEX('Dashboard Items'!$C$2:$C$497,MATCH(G155,'Dashboard Items'!$A$2:$A$497,0)),"ID not found")))</f>
        <v/>
      </c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</row>
    <row r="156" spans="2:20" x14ac:dyDescent="0.2">
      <c r="B156" s="80"/>
      <c r="C156" s="80"/>
      <c r="D156" s="80"/>
      <c r="E156" s="80"/>
      <c r="F156" s="81" t="str">
        <f>IF(E156="","",IFERROR(IF(INDEX('Dashboard Items'!$B$2:$B$497,MATCH(E156,'Dashboard Items'!$A$2:$A$497,0))="Objective","Objectives go in the next column",IF(OR(D156="",INDEX('Dashboard Items'!$B$2:$B$497,MATCH(E156,'Dashboard Items'!$A$2:$A$497,0))=D156),INDEX('Dashboard Items'!$C$2:$C$497,MATCH(E156,'Dashboard Items'!$A$2:$A$497,0)),"Level does not match ID")),"ID not found"))</f>
        <v/>
      </c>
      <c r="G156" s="82"/>
      <c r="H156" s="81" t="str">
        <f>IF(G156="","",IF(ISNUMBER(SEARCH(",",G156)),"Several items (the script lists them)",IFERROR(INDEX('Dashboard Items'!$B$2:$B$497,MATCH(G156,'Dashboard Items'!$A$2:$A$497,0))&amp;": "&amp;INDEX('Dashboard Items'!$C$2:$C$497,MATCH(G156,'Dashboard Items'!$A$2:$A$497,0)),"ID not found")))</f>
        <v/>
      </c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</row>
    <row r="157" spans="2:20" x14ac:dyDescent="0.2">
      <c r="B157" s="80"/>
      <c r="C157" s="80"/>
      <c r="D157" s="80"/>
      <c r="E157" s="80"/>
      <c r="F157" s="81" t="str">
        <f>IF(E157="","",IFERROR(IF(INDEX('Dashboard Items'!$B$2:$B$497,MATCH(E157,'Dashboard Items'!$A$2:$A$497,0))="Objective","Objectives go in the next column",IF(OR(D157="",INDEX('Dashboard Items'!$B$2:$B$497,MATCH(E157,'Dashboard Items'!$A$2:$A$497,0))=D157),INDEX('Dashboard Items'!$C$2:$C$497,MATCH(E157,'Dashboard Items'!$A$2:$A$497,0)),"Level does not match ID")),"ID not found"))</f>
        <v/>
      </c>
      <c r="G157" s="82"/>
      <c r="H157" s="81" t="str">
        <f>IF(G157="","",IF(ISNUMBER(SEARCH(",",G157)),"Several items (the script lists them)",IFERROR(INDEX('Dashboard Items'!$B$2:$B$497,MATCH(G157,'Dashboard Items'!$A$2:$A$497,0))&amp;": "&amp;INDEX('Dashboard Items'!$C$2:$C$497,MATCH(G157,'Dashboard Items'!$A$2:$A$497,0)),"ID not found")))</f>
        <v/>
      </c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</row>
    <row r="158" spans="2:20" x14ac:dyDescent="0.2">
      <c r="B158" s="80"/>
      <c r="C158" s="80"/>
      <c r="D158" s="80"/>
      <c r="E158" s="80"/>
      <c r="F158" s="81" t="str">
        <f>IF(E158="","",IFERROR(IF(INDEX('Dashboard Items'!$B$2:$B$497,MATCH(E158,'Dashboard Items'!$A$2:$A$497,0))="Objective","Objectives go in the next column",IF(OR(D158="",INDEX('Dashboard Items'!$B$2:$B$497,MATCH(E158,'Dashboard Items'!$A$2:$A$497,0))=D158),INDEX('Dashboard Items'!$C$2:$C$497,MATCH(E158,'Dashboard Items'!$A$2:$A$497,0)),"Level does not match ID")),"ID not found"))</f>
        <v/>
      </c>
      <c r="G158" s="82"/>
      <c r="H158" s="81" t="str">
        <f>IF(G158="","",IF(ISNUMBER(SEARCH(",",G158)),"Several items (the script lists them)",IFERROR(INDEX('Dashboard Items'!$B$2:$B$497,MATCH(G158,'Dashboard Items'!$A$2:$A$497,0))&amp;": "&amp;INDEX('Dashboard Items'!$C$2:$C$497,MATCH(G158,'Dashboard Items'!$A$2:$A$497,0)),"ID not found")))</f>
        <v/>
      </c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</row>
    <row r="159" spans="2:20" x14ac:dyDescent="0.2">
      <c r="B159" s="80"/>
      <c r="C159" s="80"/>
      <c r="D159" s="80"/>
      <c r="E159" s="80"/>
      <c r="F159" s="81" t="str">
        <f>IF(E159="","",IFERROR(IF(INDEX('Dashboard Items'!$B$2:$B$497,MATCH(E159,'Dashboard Items'!$A$2:$A$497,0))="Objective","Objectives go in the next column",IF(OR(D159="",INDEX('Dashboard Items'!$B$2:$B$497,MATCH(E159,'Dashboard Items'!$A$2:$A$497,0))=D159),INDEX('Dashboard Items'!$C$2:$C$497,MATCH(E159,'Dashboard Items'!$A$2:$A$497,0)),"Level does not match ID")),"ID not found"))</f>
        <v/>
      </c>
      <c r="G159" s="82"/>
      <c r="H159" s="81" t="str">
        <f>IF(G159="","",IF(ISNUMBER(SEARCH(",",G159)),"Several items (the script lists them)",IFERROR(INDEX('Dashboard Items'!$B$2:$B$497,MATCH(G159,'Dashboard Items'!$A$2:$A$497,0))&amp;": "&amp;INDEX('Dashboard Items'!$C$2:$C$497,MATCH(G159,'Dashboard Items'!$A$2:$A$497,0)),"ID not found")))</f>
        <v/>
      </c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</row>
    <row r="160" spans="2:20" x14ac:dyDescent="0.2">
      <c r="B160" s="80"/>
      <c r="C160" s="80"/>
      <c r="D160" s="80"/>
      <c r="E160" s="80"/>
      <c r="F160" s="81" t="str">
        <f>IF(E160="","",IFERROR(IF(INDEX('Dashboard Items'!$B$2:$B$497,MATCH(E160,'Dashboard Items'!$A$2:$A$497,0))="Objective","Objectives go in the next column",IF(OR(D160="",INDEX('Dashboard Items'!$B$2:$B$497,MATCH(E160,'Dashboard Items'!$A$2:$A$497,0))=D160),INDEX('Dashboard Items'!$C$2:$C$497,MATCH(E160,'Dashboard Items'!$A$2:$A$497,0)),"Level does not match ID")),"ID not found"))</f>
        <v/>
      </c>
      <c r="G160" s="82"/>
      <c r="H160" s="81" t="str">
        <f>IF(G160="","",IF(ISNUMBER(SEARCH(",",G160)),"Several items (the script lists them)",IFERROR(INDEX('Dashboard Items'!$B$2:$B$497,MATCH(G160,'Dashboard Items'!$A$2:$A$497,0))&amp;": "&amp;INDEX('Dashboard Items'!$C$2:$C$497,MATCH(G160,'Dashboard Items'!$A$2:$A$497,0)),"ID not found")))</f>
        <v/>
      </c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</row>
    <row r="161" spans="2:20" x14ac:dyDescent="0.2">
      <c r="B161" s="80"/>
      <c r="C161" s="80"/>
      <c r="D161" s="80"/>
      <c r="E161" s="80"/>
      <c r="F161" s="81" t="str">
        <f>IF(E161="","",IFERROR(IF(INDEX('Dashboard Items'!$B$2:$B$497,MATCH(E161,'Dashboard Items'!$A$2:$A$497,0))="Objective","Objectives go in the next column",IF(OR(D161="",INDEX('Dashboard Items'!$B$2:$B$497,MATCH(E161,'Dashboard Items'!$A$2:$A$497,0))=D161),INDEX('Dashboard Items'!$C$2:$C$497,MATCH(E161,'Dashboard Items'!$A$2:$A$497,0)),"Level does not match ID")),"ID not found"))</f>
        <v/>
      </c>
      <c r="G161" s="82"/>
      <c r="H161" s="81" t="str">
        <f>IF(G161="","",IF(ISNUMBER(SEARCH(",",G161)),"Several items (the script lists them)",IFERROR(INDEX('Dashboard Items'!$B$2:$B$497,MATCH(G161,'Dashboard Items'!$A$2:$A$497,0))&amp;": "&amp;INDEX('Dashboard Items'!$C$2:$C$497,MATCH(G161,'Dashboard Items'!$A$2:$A$497,0)),"ID not found")))</f>
        <v/>
      </c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</row>
    <row r="162" spans="2:20" x14ac:dyDescent="0.2">
      <c r="B162" s="80"/>
      <c r="C162" s="80"/>
      <c r="D162" s="80"/>
      <c r="E162" s="80"/>
      <c r="F162" s="81" t="str">
        <f>IF(E162="","",IFERROR(IF(INDEX('Dashboard Items'!$B$2:$B$497,MATCH(E162,'Dashboard Items'!$A$2:$A$497,0))="Objective","Objectives go in the next column",IF(OR(D162="",INDEX('Dashboard Items'!$B$2:$B$497,MATCH(E162,'Dashboard Items'!$A$2:$A$497,0))=D162),INDEX('Dashboard Items'!$C$2:$C$497,MATCH(E162,'Dashboard Items'!$A$2:$A$497,0)),"Level does not match ID")),"ID not found"))</f>
        <v/>
      </c>
      <c r="G162" s="82"/>
      <c r="H162" s="81" t="str">
        <f>IF(G162="","",IF(ISNUMBER(SEARCH(",",G162)),"Several items (the script lists them)",IFERROR(INDEX('Dashboard Items'!$B$2:$B$497,MATCH(G162,'Dashboard Items'!$A$2:$A$497,0))&amp;": "&amp;INDEX('Dashboard Items'!$C$2:$C$497,MATCH(G162,'Dashboard Items'!$A$2:$A$497,0)),"ID not found")))</f>
        <v/>
      </c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</row>
    <row r="163" spans="2:20" x14ac:dyDescent="0.2">
      <c r="B163" s="80"/>
      <c r="C163" s="80"/>
      <c r="D163" s="80"/>
      <c r="E163" s="80"/>
      <c r="F163" s="81" t="str">
        <f>IF(E163="","",IFERROR(IF(INDEX('Dashboard Items'!$B$2:$B$497,MATCH(E163,'Dashboard Items'!$A$2:$A$497,0))="Objective","Objectives go in the next column",IF(OR(D163="",INDEX('Dashboard Items'!$B$2:$B$497,MATCH(E163,'Dashboard Items'!$A$2:$A$497,0))=D163),INDEX('Dashboard Items'!$C$2:$C$497,MATCH(E163,'Dashboard Items'!$A$2:$A$497,0)),"Level does not match ID")),"ID not found"))</f>
        <v/>
      </c>
      <c r="G163" s="82"/>
      <c r="H163" s="81" t="str">
        <f>IF(G163="","",IF(ISNUMBER(SEARCH(",",G163)),"Several items (the script lists them)",IFERROR(INDEX('Dashboard Items'!$B$2:$B$497,MATCH(G163,'Dashboard Items'!$A$2:$A$497,0))&amp;": "&amp;INDEX('Dashboard Items'!$C$2:$C$497,MATCH(G163,'Dashboard Items'!$A$2:$A$497,0)),"ID not found")))</f>
        <v/>
      </c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</row>
    <row r="164" spans="2:20" x14ac:dyDescent="0.2">
      <c r="B164" s="80"/>
      <c r="C164" s="80"/>
      <c r="D164" s="80"/>
      <c r="E164" s="80"/>
      <c r="F164" s="81" t="str">
        <f>IF(E164="","",IFERROR(IF(INDEX('Dashboard Items'!$B$2:$B$497,MATCH(E164,'Dashboard Items'!$A$2:$A$497,0))="Objective","Objectives go in the next column",IF(OR(D164="",INDEX('Dashboard Items'!$B$2:$B$497,MATCH(E164,'Dashboard Items'!$A$2:$A$497,0))=D164),INDEX('Dashboard Items'!$C$2:$C$497,MATCH(E164,'Dashboard Items'!$A$2:$A$497,0)),"Level does not match ID")),"ID not found"))</f>
        <v/>
      </c>
      <c r="G164" s="82"/>
      <c r="H164" s="81" t="str">
        <f>IF(G164="","",IF(ISNUMBER(SEARCH(",",G164)),"Several items (the script lists them)",IFERROR(INDEX('Dashboard Items'!$B$2:$B$497,MATCH(G164,'Dashboard Items'!$A$2:$A$497,0))&amp;": "&amp;INDEX('Dashboard Items'!$C$2:$C$497,MATCH(G164,'Dashboard Items'!$A$2:$A$497,0)),"ID not found")))</f>
        <v/>
      </c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</row>
    <row r="165" spans="2:20" x14ac:dyDescent="0.2">
      <c r="B165" s="80"/>
      <c r="C165" s="80"/>
      <c r="D165" s="80"/>
      <c r="E165" s="80"/>
      <c r="F165" s="81" t="str">
        <f>IF(E165="","",IFERROR(IF(INDEX('Dashboard Items'!$B$2:$B$497,MATCH(E165,'Dashboard Items'!$A$2:$A$497,0))="Objective","Objectives go in the next column",IF(OR(D165="",INDEX('Dashboard Items'!$B$2:$B$497,MATCH(E165,'Dashboard Items'!$A$2:$A$497,0))=D165),INDEX('Dashboard Items'!$C$2:$C$497,MATCH(E165,'Dashboard Items'!$A$2:$A$497,0)),"Level does not match ID")),"ID not found"))</f>
        <v/>
      </c>
      <c r="G165" s="82"/>
      <c r="H165" s="81" t="str">
        <f>IF(G165="","",IF(ISNUMBER(SEARCH(",",G165)),"Several items (the script lists them)",IFERROR(INDEX('Dashboard Items'!$B$2:$B$497,MATCH(G165,'Dashboard Items'!$A$2:$A$497,0))&amp;": "&amp;INDEX('Dashboard Items'!$C$2:$C$497,MATCH(G165,'Dashboard Items'!$A$2:$A$497,0)),"ID not found")))</f>
        <v/>
      </c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</row>
    <row r="166" spans="2:20" x14ac:dyDescent="0.2">
      <c r="B166" s="80"/>
      <c r="C166" s="80"/>
      <c r="D166" s="80"/>
      <c r="E166" s="80"/>
      <c r="F166" s="81" t="str">
        <f>IF(E166="","",IFERROR(IF(INDEX('Dashboard Items'!$B$2:$B$497,MATCH(E166,'Dashboard Items'!$A$2:$A$497,0))="Objective","Objectives go in the next column",IF(OR(D166="",INDEX('Dashboard Items'!$B$2:$B$497,MATCH(E166,'Dashboard Items'!$A$2:$A$497,0))=D166),INDEX('Dashboard Items'!$C$2:$C$497,MATCH(E166,'Dashboard Items'!$A$2:$A$497,0)),"Level does not match ID")),"ID not found"))</f>
        <v/>
      </c>
      <c r="G166" s="82"/>
      <c r="H166" s="81" t="str">
        <f>IF(G166="","",IF(ISNUMBER(SEARCH(",",G166)),"Several items (the script lists them)",IFERROR(INDEX('Dashboard Items'!$B$2:$B$497,MATCH(G166,'Dashboard Items'!$A$2:$A$497,0))&amp;": "&amp;INDEX('Dashboard Items'!$C$2:$C$497,MATCH(G166,'Dashboard Items'!$A$2:$A$497,0)),"ID not found")))</f>
        <v/>
      </c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</row>
    <row r="167" spans="2:20" x14ac:dyDescent="0.2">
      <c r="B167" s="80"/>
      <c r="C167" s="80"/>
      <c r="D167" s="80"/>
      <c r="E167" s="80"/>
      <c r="F167" s="81" t="str">
        <f>IF(E167="","",IFERROR(IF(INDEX('Dashboard Items'!$B$2:$B$497,MATCH(E167,'Dashboard Items'!$A$2:$A$497,0))="Objective","Objectives go in the next column",IF(OR(D167="",INDEX('Dashboard Items'!$B$2:$B$497,MATCH(E167,'Dashboard Items'!$A$2:$A$497,0))=D167),INDEX('Dashboard Items'!$C$2:$C$497,MATCH(E167,'Dashboard Items'!$A$2:$A$497,0)),"Level does not match ID")),"ID not found"))</f>
        <v/>
      </c>
      <c r="G167" s="82"/>
      <c r="H167" s="81" t="str">
        <f>IF(G167="","",IF(ISNUMBER(SEARCH(",",G167)),"Several items (the script lists them)",IFERROR(INDEX('Dashboard Items'!$B$2:$B$497,MATCH(G167,'Dashboard Items'!$A$2:$A$497,0))&amp;": "&amp;INDEX('Dashboard Items'!$C$2:$C$497,MATCH(G167,'Dashboard Items'!$A$2:$A$497,0)),"ID not found")))</f>
        <v/>
      </c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</row>
    <row r="168" spans="2:20" x14ac:dyDescent="0.2">
      <c r="B168" s="80"/>
      <c r="C168" s="80"/>
      <c r="D168" s="80"/>
      <c r="E168" s="80"/>
      <c r="F168" s="81" t="str">
        <f>IF(E168="","",IFERROR(IF(INDEX('Dashboard Items'!$B$2:$B$497,MATCH(E168,'Dashboard Items'!$A$2:$A$497,0))="Objective","Objectives go in the next column",IF(OR(D168="",INDEX('Dashboard Items'!$B$2:$B$497,MATCH(E168,'Dashboard Items'!$A$2:$A$497,0))=D168),INDEX('Dashboard Items'!$C$2:$C$497,MATCH(E168,'Dashboard Items'!$A$2:$A$497,0)),"Level does not match ID")),"ID not found"))</f>
        <v/>
      </c>
      <c r="G168" s="82"/>
      <c r="H168" s="81" t="str">
        <f>IF(G168="","",IF(ISNUMBER(SEARCH(",",G168)),"Several items (the script lists them)",IFERROR(INDEX('Dashboard Items'!$B$2:$B$497,MATCH(G168,'Dashboard Items'!$A$2:$A$497,0))&amp;": "&amp;INDEX('Dashboard Items'!$C$2:$C$497,MATCH(G168,'Dashboard Items'!$A$2:$A$497,0)),"ID not found")))</f>
        <v/>
      </c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</row>
    <row r="169" spans="2:20" x14ac:dyDescent="0.2">
      <c r="B169" s="80"/>
      <c r="C169" s="80"/>
      <c r="D169" s="80"/>
      <c r="E169" s="80"/>
      <c r="F169" s="81" t="str">
        <f>IF(E169="","",IFERROR(IF(INDEX('Dashboard Items'!$B$2:$B$497,MATCH(E169,'Dashboard Items'!$A$2:$A$497,0))="Objective","Objectives go in the next column",IF(OR(D169="",INDEX('Dashboard Items'!$B$2:$B$497,MATCH(E169,'Dashboard Items'!$A$2:$A$497,0))=D169),INDEX('Dashboard Items'!$C$2:$C$497,MATCH(E169,'Dashboard Items'!$A$2:$A$497,0)),"Level does not match ID")),"ID not found"))</f>
        <v/>
      </c>
      <c r="G169" s="82"/>
      <c r="H169" s="81" t="str">
        <f>IF(G169="","",IF(ISNUMBER(SEARCH(",",G169)),"Several items (the script lists them)",IFERROR(INDEX('Dashboard Items'!$B$2:$B$497,MATCH(G169,'Dashboard Items'!$A$2:$A$497,0))&amp;": "&amp;INDEX('Dashboard Items'!$C$2:$C$497,MATCH(G169,'Dashboard Items'!$A$2:$A$497,0)),"ID not found")))</f>
        <v/>
      </c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</row>
    <row r="170" spans="2:20" x14ac:dyDescent="0.2">
      <c r="B170" s="80"/>
      <c r="C170" s="80"/>
      <c r="D170" s="80"/>
      <c r="E170" s="80"/>
      <c r="F170" s="81" t="str">
        <f>IF(E170="","",IFERROR(IF(INDEX('Dashboard Items'!$B$2:$B$497,MATCH(E170,'Dashboard Items'!$A$2:$A$497,0))="Objective","Objectives go in the next column",IF(OR(D170="",INDEX('Dashboard Items'!$B$2:$B$497,MATCH(E170,'Dashboard Items'!$A$2:$A$497,0))=D170),INDEX('Dashboard Items'!$C$2:$C$497,MATCH(E170,'Dashboard Items'!$A$2:$A$497,0)),"Level does not match ID")),"ID not found"))</f>
        <v/>
      </c>
      <c r="G170" s="82"/>
      <c r="H170" s="81" t="str">
        <f>IF(G170="","",IF(ISNUMBER(SEARCH(",",G170)),"Several items (the script lists them)",IFERROR(INDEX('Dashboard Items'!$B$2:$B$497,MATCH(G170,'Dashboard Items'!$A$2:$A$497,0))&amp;": "&amp;INDEX('Dashboard Items'!$C$2:$C$497,MATCH(G170,'Dashboard Items'!$A$2:$A$497,0)),"ID not found")))</f>
        <v/>
      </c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</row>
    <row r="171" spans="2:20" x14ac:dyDescent="0.2">
      <c r="B171" s="80"/>
      <c r="C171" s="80"/>
      <c r="D171" s="80"/>
      <c r="E171" s="80"/>
      <c r="F171" s="81" t="str">
        <f>IF(E171="","",IFERROR(IF(INDEX('Dashboard Items'!$B$2:$B$497,MATCH(E171,'Dashboard Items'!$A$2:$A$497,0))="Objective","Objectives go in the next column",IF(OR(D171="",INDEX('Dashboard Items'!$B$2:$B$497,MATCH(E171,'Dashboard Items'!$A$2:$A$497,0))=D171),INDEX('Dashboard Items'!$C$2:$C$497,MATCH(E171,'Dashboard Items'!$A$2:$A$497,0)),"Level does not match ID")),"ID not found"))</f>
        <v/>
      </c>
      <c r="G171" s="82"/>
      <c r="H171" s="81" t="str">
        <f>IF(G171="","",IF(ISNUMBER(SEARCH(",",G171)),"Several items (the script lists them)",IFERROR(INDEX('Dashboard Items'!$B$2:$B$497,MATCH(G171,'Dashboard Items'!$A$2:$A$497,0))&amp;": "&amp;INDEX('Dashboard Items'!$C$2:$C$497,MATCH(G171,'Dashboard Items'!$A$2:$A$497,0)),"ID not found")))</f>
        <v/>
      </c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</row>
    <row r="172" spans="2:20" x14ac:dyDescent="0.2">
      <c r="B172" s="80"/>
      <c r="C172" s="80"/>
      <c r="D172" s="80"/>
      <c r="E172" s="80"/>
      <c r="F172" s="81" t="str">
        <f>IF(E172="","",IFERROR(IF(INDEX('Dashboard Items'!$B$2:$B$497,MATCH(E172,'Dashboard Items'!$A$2:$A$497,0))="Objective","Objectives go in the next column",IF(OR(D172="",INDEX('Dashboard Items'!$B$2:$B$497,MATCH(E172,'Dashboard Items'!$A$2:$A$497,0))=D172),INDEX('Dashboard Items'!$C$2:$C$497,MATCH(E172,'Dashboard Items'!$A$2:$A$497,0)),"Level does not match ID")),"ID not found"))</f>
        <v/>
      </c>
      <c r="G172" s="82"/>
      <c r="H172" s="81" t="str">
        <f>IF(G172="","",IF(ISNUMBER(SEARCH(",",G172)),"Several items (the script lists them)",IFERROR(INDEX('Dashboard Items'!$B$2:$B$497,MATCH(G172,'Dashboard Items'!$A$2:$A$497,0))&amp;": "&amp;INDEX('Dashboard Items'!$C$2:$C$497,MATCH(G172,'Dashboard Items'!$A$2:$A$497,0)),"ID not found")))</f>
        <v/>
      </c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</row>
    <row r="173" spans="2:20" x14ac:dyDescent="0.2">
      <c r="B173" s="80"/>
      <c r="C173" s="80"/>
      <c r="D173" s="80"/>
      <c r="E173" s="80"/>
      <c r="F173" s="81" t="str">
        <f>IF(E173="","",IFERROR(IF(INDEX('Dashboard Items'!$B$2:$B$497,MATCH(E173,'Dashboard Items'!$A$2:$A$497,0))="Objective","Objectives go in the next column",IF(OR(D173="",INDEX('Dashboard Items'!$B$2:$B$497,MATCH(E173,'Dashboard Items'!$A$2:$A$497,0))=D173),INDEX('Dashboard Items'!$C$2:$C$497,MATCH(E173,'Dashboard Items'!$A$2:$A$497,0)),"Level does not match ID")),"ID not found"))</f>
        <v/>
      </c>
      <c r="G173" s="82"/>
      <c r="H173" s="81" t="str">
        <f>IF(G173="","",IF(ISNUMBER(SEARCH(",",G173)),"Several items (the script lists them)",IFERROR(INDEX('Dashboard Items'!$B$2:$B$497,MATCH(G173,'Dashboard Items'!$A$2:$A$497,0))&amp;": "&amp;INDEX('Dashboard Items'!$C$2:$C$497,MATCH(G173,'Dashboard Items'!$A$2:$A$497,0)),"ID not found")))</f>
        <v/>
      </c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</row>
    <row r="174" spans="2:20" x14ac:dyDescent="0.2">
      <c r="B174" s="80"/>
      <c r="C174" s="80"/>
      <c r="D174" s="80"/>
      <c r="E174" s="80"/>
      <c r="F174" s="81" t="str">
        <f>IF(E174="","",IFERROR(IF(INDEX('Dashboard Items'!$B$2:$B$497,MATCH(E174,'Dashboard Items'!$A$2:$A$497,0))="Objective","Objectives go in the next column",IF(OR(D174="",INDEX('Dashboard Items'!$B$2:$B$497,MATCH(E174,'Dashboard Items'!$A$2:$A$497,0))=D174),INDEX('Dashboard Items'!$C$2:$C$497,MATCH(E174,'Dashboard Items'!$A$2:$A$497,0)),"Level does not match ID")),"ID not found"))</f>
        <v/>
      </c>
      <c r="G174" s="82"/>
      <c r="H174" s="81" t="str">
        <f>IF(G174="","",IF(ISNUMBER(SEARCH(",",G174)),"Several items (the script lists them)",IFERROR(INDEX('Dashboard Items'!$B$2:$B$497,MATCH(G174,'Dashboard Items'!$A$2:$A$497,0))&amp;": "&amp;INDEX('Dashboard Items'!$C$2:$C$497,MATCH(G174,'Dashboard Items'!$A$2:$A$497,0)),"ID not found")))</f>
        <v/>
      </c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</row>
    <row r="175" spans="2:20" x14ac:dyDescent="0.2">
      <c r="B175" s="80"/>
      <c r="C175" s="80"/>
      <c r="D175" s="80"/>
      <c r="E175" s="80"/>
      <c r="F175" s="81" t="str">
        <f>IF(E175="","",IFERROR(IF(INDEX('Dashboard Items'!$B$2:$B$497,MATCH(E175,'Dashboard Items'!$A$2:$A$497,0))="Objective","Objectives go in the next column",IF(OR(D175="",INDEX('Dashboard Items'!$B$2:$B$497,MATCH(E175,'Dashboard Items'!$A$2:$A$497,0))=D175),INDEX('Dashboard Items'!$C$2:$C$497,MATCH(E175,'Dashboard Items'!$A$2:$A$497,0)),"Level does not match ID")),"ID not found"))</f>
        <v/>
      </c>
      <c r="G175" s="82"/>
      <c r="H175" s="81" t="str">
        <f>IF(G175="","",IF(ISNUMBER(SEARCH(",",G175)),"Several items (the script lists them)",IFERROR(INDEX('Dashboard Items'!$B$2:$B$497,MATCH(G175,'Dashboard Items'!$A$2:$A$497,0))&amp;": "&amp;INDEX('Dashboard Items'!$C$2:$C$497,MATCH(G175,'Dashboard Items'!$A$2:$A$497,0)),"ID not found")))</f>
        <v/>
      </c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</row>
    <row r="176" spans="2:20" x14ac:dyDescent="0.2">
      <c r="B176" s="80"/>
      <c r="C176" s="80"/>
      <c r="D176" s="80"/>
      <c r="E176" s="80"/>
      <c r="F176" s="81" t="str">
        <f>IF(E176="","",IFERROR(IF(INDEX('Dashboard Items'!$B$2:$B$497,MATCH(E176,'Dashboard Items'!$A$2:$A$497,0))="Objective","Objectives go in the next column",IF(OR(D176="",INDEX('Dashboard Items'!$B$2:$B$497,MATCH(E176,'Dashboard Items'!$A$2:$A$497,0))=D176),INDEX('Dashboard Items'!$C$2:$C$497,MATCH(E176,'Dashboard Items'!$A$2:$A$497,0)),"Level does not match ID")),"ID not found"))</f>
        <v/>
      </c>
      <c r="G176" s="82"/>
      <c r="H176" s="81" t="str">
        <f>IF(G176="","",IF(ISNUMBER(SEARCH(",",G176)),"Several items (the script lists them)",IFERROR(INDEX('Dashboard Items'!$B$2:$B$497,MATCH(G176,'Dashboard Items'!$A$2:$A$497,0))&amp;": "&amp;INDEX('Dashboard Items'!$C$2:$C$497,MATCH(G176,'Dashboard Items'!$A$2:$A$497,0)),"ID not found")))</f>
        <v/>
      </c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</row>
    <row r="177" spans="2:20" x14ac:dyDescent="0.2">
      <c r="B177" s="80"/>
      <c r="C177" s="80"/>
      <c r="D177" s="80"/>
      <c r="E177" s="80"/>
      <c r="F177" s="81" t="str">
        <f>IF(E177="","",IFERROR(IF(INDEX('Dashboard Items'!$B$2:$B$497,MATCH(E177,'Dashboard Items'!$A$2:$A$497,0))="Objective","Objectives go in the next column",IF(OR(D177="",INDEX('Dashboard Items'!$B$2:$B$497,MATCH(E177,'Dashboard Items'!$A$2:$A$497,0))=D177),INDEX('Dashboard Items'!$C$2:$C$497,MATCH(E177,'Dashboard Items'!$A$2:$A$497,0)),"Level does not match ID")),"ID not found"))</f>
        <v/>
      </c>
      <c r="G177" s="82"/>
      <c r="H177" s="81" t="str">
        <f>IF(G177="","",IF(ISNUMBER(SEARCH(",",G177)),"Several items (the script lists them)",IFERROR(INDEX('Dashboard Items'!$B$2:$B$497,MATCH(G177,'Dashboard Items'!$A$2:$A$497,0))&amp;": "&amp;INDEX('Dashboard Items'!$C$2:$C$497,MATCH(G177,'Dashboard Items'!$A$2:$A$497,0)),"ID not found")))</f>
        <v/>
      </c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</row>
    <row r="178" spans="2:20" x14ac:dyDescent="0.2">
      <c r="B178" s="80"/>
      <c r="C178" s="80"/>
      <c r="D178" s="80"/>
      <c r="E178" s="80"/>
      <c r="F178" s="81" t="str">
        <f>IF(E178="","",IFERROR(IF(INDEX('Dashboard Items'!$B$2:$B$497,MATCH(E178,'Dashboard Items'!$A$2:$A$497,0))="Objective","Objectives go in the next column",IF(OR(D178="",INDEX('Dashboard Items'!$B$2:$B$497,MATCH(E178,'Dashboard Items'!$A$2:$A$497,0))=D178),INDEX('Dashboard Items'!$C$2:$C$497,MATCH(E178,'Dashboard Items'!$A$2:$A$497,0)),"Level does not match ID")),"ID not found"))</f>
        <v/>
      </c>
      <c r="G178" s="82"/>
      <c r="H178" s="81" t="str">
        <f>IF(G178="","",IF(ISNUMBER(SEARCH(",",G178)),"Several items (the script lists them)",IFERROR(INDEX('Dashboard Items'!$B$2:$B$497,MATCH(G178,'Dashboard Items'!$A$2:$A$497,0))&amp;": "&amp;INDEX('Dashboard Items'!$C$2:$C$497,MATCH(G178,'Dashboard Items'!$A$2:$A$497,0)),"ID not found")))</f>
        <v/>
      </c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</row>
    <row r="179" spans="2:20" x14ac:dyDescent="0.2">
      <c r="B179" s="80"/>
      <c r="C179" s="80"/>
      <c r="D179" s="80"/>
      <c r="E179" s="80"/>
      <c r="F179" s="81" t="str">
        <f>IF(E179="","",IFERROR(IF(INDEX('Dashboard Items'!$B$2:$B$497,MATCH(E179,'Dashboard Items'!$A$2:$A$497,0))="Objective","Objectives go in the next column",IF(OR(D179="",INDEX('Dashboard Items'!$B$2:$B$497,MATCH(E179,'Dashboard Items'!$A$2:$A$497,0))=D179),INDEX('Dashboard Items'!$C$2:$C$497,MATCH(E179,'Dashboard Items'!$A$2:$A$497,0)),"Level does not match ID")),"ID not found"))</f>
        <v/>
      </c>
      <c r="G179" s="82"/>
      <c r="H179" s="81" t="str">
        <f>IF(G179="","",IF(ISNUMBER(SEARCH(",",G179)),"Several items (the script lists them)",IFERROR(INDEX('Dashboard Items'!$B$2:$B$497,MATCH(G179,'Dashboard Items'!$A$2:$A$497,0))&amp;": "&amp;INDEX('Dashboard Items'!$C$2:$C$497,MATCH(G179,'Dashboard Items'!$A$2:$A$497,0)),"ID not found")))</f>
        <v/>
      </c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</row>
    <row r="180" spans="2:20" x14ac:dyDescent="0.2">
      <c r="B180" s="80"/>
      <c r="C180" s="80"/>
      <c r="D180" s="80"/>
      <c r="E180" s="80"/>
      <c r="F180" s="81" t="str">
        <f>IF(E180="","",IFERROR(IF(INDEX('Dashboard Items'!$B$2:$B$497,MATCH(E180,'Dashboard Items'!$A$2:$A$497,0))="Objective","Objectives go in the next column",IF(OR(D180="",INDEX('Dashboard Items'!$B$2:$B$497,MATCH(E180,'Dashboard Items'!$A$2:$A$497,0))=D180),INDEX('Dashboard Items'!$C$2:$C$497,MATCH(E180,'Dashboard Items'!$A$2:$A$497,0)),"Level does not match ID")),"ID not found"))</f>
        <v/>
      </c>
      <c r="G180" s="82"/>
      <c r="H180" s="81" t="str">
        <f>IF(G180="","",IF(ISNUMBER(SEARCH(",",G180)),"Several items (the script lists them)",IFERROR(INDEX('Dashboard Items'!$B$2:$B$497,MATCH(G180,'Dashboard Items'!$A$2:$A$497,0))&amp;": "&amp;INDEX('Dashboard Items'!$C$2:$C$497,MATCH(G180,'Dashboard Items'!$A$2:$A$497,0)),"ID not found")))</f>
        <v/>
      </c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</row>
    <row r="181" spans="2:20" x14ac:dyDescent="0.2">
      <c r="B181" s="80"/>
      <c r="C181" s="80"/>
      <c r="D181" s="80"/>
      <c r="E181" s="80"/>
      <c r="F181" s="81" t="str">
        <f>IF(E181="","",IFERROR(IF(INDEX('Dashboard Items'!$B$2:$B$497,MATCH(E181,'Dashboard Items'!$A$2:$A$497,0))="Objective","Objectives go in the next column",IF(OR(D181="",INDEX('Dashboard Items'!$B$2:$B$497,MATCH(E181,'Dashboard Items'!$A$2:$A$497,0))=D181),INDEX('Dashboard Items'!$C$2:$C$497,MATCH(E181,'Dashboard Items'!$A$2:$A$497,0)),"Level does not match ID")),"ID not found"))</f>
        <v/>
      </c>
      <c r="G181" s="82"/>
      <c r="H181" s="81" t="str">
        <f>IF(G181="","",IF(ISNUMBER(SEARCH(",",G181)),"Several items (the script lists them)",IFERROR(INDEX('Dashboard Items'!$B$2:$B$497,MATCH(G181,'Dashboard Items'!$A$2:$A$497,0))&amp;": "&amp;INDEX('Dashboard Items'!$C$2:$C$497,MATCH(G181,'Dashboard Items'!$A$2:$A$497,0)),"ID not found")))</f>
        <v/>
      </c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</row>
    <row r="182" spans="2:20" x14ac:dyDescent="0.2">
      <c r="B182" s="80"/>
      <c r="C182" s="80"/>
      <c r="D182" s="80"/>
      <c r="E182" s="80"/>
      <c r="F182" s="81" t="str">
        <f>IF(E182="","",IFERROR(IF(INDEX('Dashboard Items'!$B$2:$B$497,MATCH(E182,'Dashboard Items'!$A$2:$A$497,0))="Objective","Objectives go in the next column",IF(OR(D182="",INDEX('Dashboard Items'!$B$2:$B$497,MATCH(E182,'Dashboard Items'!$A$2:$A$497,0))=D182),INDEX('Dashboard Items'!$C$2:$C$497,MATCH(E182,'Dashboard Items'!$A$2:$A$497,0)),"Level does not match ID")),"ID not found"))</f>
        <v/>
      </c>
      <c r="G182" s="82"/>
      <c r="H182" s="81" t="str">
        <f>IF(G182="","",IF(ISNUMBER(SEARCH(",",G182)),"Several items (the script lists them)",IFERROR(INDEX('Dashboard Items'!$B$2:$B$497,MATCH(G182,'Dashboard Items'!$A$2:$A$497,0))&amp;": "&amp;INDEX('Dashboard Items'!$C$2:$C$497,MATCH(G182,'Dashboard Items'!$A$2:$A$497,0)),"ID not found")))</f>
        <v/>
      </c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</row>
    <row r="183" spans="2:20" x14ac:dyDescent="0.2">
      <c r="B183" s="80"/>
      <c r="C183" s="80"/>
      <c r="D183" s="80"/>
      <c r="E183" s="80"/>
      <c r="F183" s="81" t="str">
        <f>IF(E183="","",IFERROR(IF(INDEX('Dashboard Items'!$B$2:$B$497,MATCH(E183,'Dashboard Items'!$A$2:$A$497,0))="Objective","Objectives go in the next column",IF(OR(D183="",INDEX('Dashboard Items'!$B$2:$B$497,MATCH(E183,'Dashboard Items'!$A$2:$A$497,0))=D183),INDEX('Dashboard Items'!$C$2:$C$497,MATCH(E183,'Dashboard Items'!$A$2:$A$497,0)),"Level does not match ID")),"ID not found"))</f>
        <v/>
      </c>
      <c r="G183" s="82"/>
      <c r="H183" s="81" t="str">
        <f>IF(G183="","",IF(ISNUMBER(SEARCH(",",G183)),"Several items (the script lists them)",IFERROR(INDEX('Dashboard Items'!$B$2:$B$497,MATCH(G183,'Dashboard Items'!$A$2:$A$497,0))&amp;": "&amp;INDEX('Dashboard Items'!$C$2:$C$497,MATCH(G183,'Dashboard Items'!$A$2:$A$497,0)),"ID not found")))</f>
        <v/>
      </c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</row>
    <row r="184" spans="2:20" x14ac:dyDescent="0.2">
      <c r="B184" s="80"/>
      <c r="C184" s="80"/>
      <c r="D184" s="80"/>
      <c r="E184" s="80"/>
      <c r="F184" s="81" t="str">
        <f>IF(E184="","",IFERROR(IF(INDEX('Dashboard Items'!$B$2:$B$497,MATCH(E184,'Dashboard Items'!$A$2:$A$497,0))="Objective","Objectives go in the next column",IF(OR(D184="",INDEX('Dashboard Items'!$B$2:$B$497,MATCH(E184,'Dashboard Items'!$A$2:$A$497,0))=D184),INDEX('Dashboard Items'!$C$2:$C$497,MATCH(E184,'Dashboard Items'!$A$2:$A$497,0)),"Level does not match ID")),"ID not found"))</f>
        <v/>
      </c>
      <c r="G184" s="82"/>
      <c r="H184" s="81" t="str">
        <f>IF(G184="","",IF(ISNUMBER(SEARCH(",",G184)),"Several items (the script lists them)",IFERROR(INDEX('Dashboard Items'!$B$2:$B$497,MATCH(G184,'Dashboard Items'!$A$2:$A$497,0))&amp;": "&amp;INDEX('Dashboard Items'!$C$2:$C$497,MATCH(G184,'Dashboard Items'!$A$2:$A$497,0)),"ID not found")))</f>
        <v/>
      </c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</row>
    <row r="185" spans="2:20" x14ac:dyDescent="0.2">
      <c r="B185" s="80"/>
      <c r="C185" s="80"/>
      <c r="D185" s="80"/>
      <c r="E185" s="80"/>
      <c r="F185" s="81" t="str">
        <f>IF(E185="","",IFERROR(IF(INDEX('Dashboard Items'!$B$2:$B$497,MATCH(E185,'Dashboard Items'!$A$2:$A$497,0))="Objective","Objectives go in the next column",IF(OR(D185="",INDEX('Dashboard Items'!$B$2:$B$497,MATCH(E185,'Dashboard Items'!$A$2:$A$497,0))=D185),INDEX('Dashboard Items'!$C$2:$C$497,MATCH(E185,'Dashboard Items'!$A$2:$A$497,0)),"Level does not match ID")),"ID not found"))</f>
        <v/>
      </c>
      <c r="G185" s="82"/>
      <c r="H185" s="81" t="str">
        <f>IF(G185="","",IF(ISNUMBER(SEARCH(",",G185)),"Several items (the script lists them)",IFERROR(INDEX('Dashboard Items'!$B$2:$B$497,MATCH(G185,'Dashboard Items'!$A$2:$A$497,0))&amp;": "&amp;INDEX('Dashboard Items'!$C$2:$C$497,MATCH(G185,'Dashboard Items'!$A$2:$A$497,0)),"ID not found")))</f>
        <v/>
      </c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</row>
    <row r="186" spans="2:20" x14ac:dyDescent="0.2">
      <c r="B186" s="80"/>
      <c r="C186" s="80"/>
      <c r="D186" s="80"/>
      <c r="E186" s="80"/>
      <c r="F186" s="81" t="str">
        <f>IF(E186="","",IFERROR(IF(INDEX('Dashboard Items'!$B$2:$B$497,MATCH(E186,'Dashboard Items'!$A$2:$A$497,0))="Objective","Objectives go in the next column",IF(OR(D186="",INDEX('Dashboard Items'!$B$2:$B$497,MATCH(E186,'Dashboard Items'!$A$2:$A$497,0))=D186),INDEX('Dashboard Items'!$C$2:$C$497,MATCH(E186,'Dashboard Items'!$A$2:$A$497,0)),"Level does not match ID")),"ID not found"))</f>
        <v/>
      </c>
      <c r="G186" s="82"/>
      <c r="H186" s="81" t="str">
        <f>IF(G186="","",IF(ISNUMBER(SEARCH(",",G186)),"Several items (the script lists them)",IFERROR(INDEX('Dashboard Items'!$B$2:$B$497,MATCH(G186,'Dashboard Items'!$A$2:$A$497,0))&amp;": "&amp;INDEX('Dashboard Items'!$C$2:$C$497,MATCH(G186,'Dashboard Items'!$A$2:$A$497,0)),"ID not found")))</f>
        <v/>
      </c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</row>
    <row r="187" spans="2:20" x14ac:dyDescent="0.2">
      <c r="B187" s="80"/>
      <c r="C187" s="80"/>
      <c r="D187" s="80"/>
      <c r="E187" s="80"/>
      <c r="F187" s="81" t="str">
        <f>IF(E187="","",IFERROR(IF(INDEX('Dashboard Items'!$B$2:$B$497,MATCH(E187,'Dashboard Items'!$A$2:$A$497,0))="Objective","Objectives go in the next column",IF(OR(D187="",INDEX('Dashboard Items'!$B$2:$B$497,MATCH(E187,'Dashboard Items'!$A$2:$A$497,0))=D187),INDEX('Dashboard Items'!$C$2:$C$497,MATCH(E187,'Dashboard Items'!$A$2:$A$497,0)),"Level does not match ID")),"ID not found"))</f>
        <v/>
      </c>
      <c r="G187" s="82"/>
      <c r="H187" s="81" t="str">
        <f>IF(G187="","",IF(ISNUMBER(SEARCH(",",G187)),"Several items (the script lists them)",IFERROR(INDEX('Dashboard Items'!$B$2:$B$497,MATCH(G187,'Dashboard Items'!$A$2:$A$497,0))&amp;": "&amp;INDEX('Dashboard Items'!$C$2:$C$497,MATCH(G187,'Dashboard Items'!$A$2:$A$497,0)),"ID not found")))</f>
        <v/>
      </c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</row>
    <row r="188" spans="2:20" x14ac:dyDescent="0.2">
      <c r="B188" s="80"/>
      <c r="C188" s="80"/>
      <c r="D188" s="80"/>
      <c r="E188" s="80"/>
      <c r="F188" s="81" t="str">
        <f>IF(E188="","",IFERROR(IF(INDEX('Dashboard Items'!$B$2:$B$497,MATCH(E188,'Dashboard Items'!$A$2:$A$497,0))="Objective","Objectives go in the next column",IF(OR(D188="",INDEX('Dashboard Items'!$B$2:$B$497,MATCH(E188,'Dashboard Items'!$A$2:$A$497,0))=D188),INDEX('Dashboard Items'!$C$2:$C$497,MATCH(E188,'Dashboard Items'!$A$2:$A$497,0)),"Level does not match ID")),"ID not found"))</f>
        <v/>
      </c>
      <c r="G188" s="82"/>
      <c r="H188" s="81" t="str">
        <f>IF(G188="","",IF(ISNUMBER(SEARCH(",",G188)),"Several items (the script lists them)",IFERROR(INDEX('Dashboard Items'!$B$2:$B$497,MATCH(G188,'Dashboard Items'!$A$2:$A$497,0))&amp;": "&amp;INDEX('Dashboard Items'!$C$2:$C$497,MATCH(G188,'Dashboard Items'!$A$2:$A$497,0)),"ID not found")))</f>
        <v/>
      </c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</row>
    <row r="189" spans="2:20" x14ac:dyDescent="0.2">
      <c r="B189" s="80"/>
      <c r="C189" s="80"/>
      <c r="D189" s="80"/>
      <c r="E189" s="80"/>
      <c r="F189" s="81" t="str">
        <f>IF(E189="","",IFERROR(IF(INDEX('Dashboard Items'!$B$2:$B$497,MATCH(E189,'Dashboard Items'!$A$2:$A$497,0))="Objective","Objectives go in the next column",IF(OR(D189="",INDEX('Dashboard Items'!$B$2:$B$497,MATCH(E189,'Dashboard Items'!$A$2:$A$497,0))=D189),INDEX('Dashboard Items'!$C$2:$C$497,MATCH(E189,'Dashboard Items'!$A$2:$A$497,0)),"Level does not match ID")),"ID not found"))</f>
        <v/>
      </c>
      <c r="G189" s="82"/>
      <c r="H189" s="81" t="str">
        <f>IF(G189="","",IF(ISNUMBER(SEARCH(",",G189)),"Several items (the script lists them)",IFERROR(INDEX('Dashboard Items'!$B$2:$B$497,MATCH(G189,'Dashboard Items'!$A$2:$A$497,0))&amp;": "&amp;INDEX('Dashboard Items'!$C$2:$C$497,MATCH(G189,'Dashboard Items'!$A$2:$A$497,0)),"ID not found")))</f>
        <v/>
      </c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</row>
    <row r="190" spans="2:20" x14ac:dyDescent="0.2">
      <c r="B190" s="80"/>
      <c r="C190" s="80"/>
      <c r="D190" s="80"/>
      <c r="E190" s="80"/>
      <c r="F190" s="81" t="str">
        <f>IF(E190="","",IFERROR(IF(INDEX('Dashboard Items'!$B$2:$B$497,MATCH(E190,'Dashboard Items'!$A$2:$A$497,0))="Objective","Objectives go in the next column",IF(OR(D190="",INDEX('Dashboard Items'!$B$2:$B$497,MATCH(E190,'Dashboard Items'!$A$2:$A$497,0))=D190),INDEX('Dashboard Items'!$C$2:$C$497,MATCH(E190,'Dashboard Items'!$A$2:$A$497,0)),"Level does not match ID")),"ID not found"))</f>
        <v/>
      </c>
      <c r="G190" s="82"/>
      <c r="H190" s="81" t="str">
        <f>IF(G190="","",IF(ISNUMBER(SEARCH(",",G190)),"Several items (the script lists them)",IFERROR(INDEX('Dashboard Items'!$B$2:$B$497,MATCH(G190,'Dashboard Items'!$A$2:$A$497,0))&amp;": "&amp;INDEX('Dashboard Items'!$C$2:$C$497,MATCH(G190,'Dashboard Items'!$A$2:$A$497,0)),"ID not found")))</f>
        <v/>
      </c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</row>
    <row r="191" spans="2:20" x14ac:dyDescent="0.2">
      <c r="B191" s="80"/>
      <c r="C191" s="80"/>
      <c r="D191" s="80"/>
      <c r="E191" s="80"/>
      <c r="F191" s="81" t="str">
        <f>IF(E191="","",IFERROR(IF(INDEX('Dashboard Items'!$B$2:$B$497,MATCH(E191,'Dashboard Items'!$A$2:$A$497,0))="Objective","Objectives go in the next column",IF(OR(D191="",INDEX('Dashboard Items'!$B$2:$B$497,MATCH(E191,'Dashboard Items'!$A$2:$A$497,0))=D191),INDEX('Dashboard Items'!$C$2:$C$497,MATCH(E191,'Dashboard Items'!$A$2:$A$497,0)),"Level does not match ID")),"ID not found"))</f>
        <v/>
      </c>
      <c r="G191" s="82"/>
      <c r="H191" s="81" t="str">
        <f>IF(G191="","",IF(ISNUMBER(SEARCH(",",G191)),"Several items (the script lists them)",IFERROR(INDEX('Dashboard Items'!$B$2:$B$497,MATCH(G191,'Dashboard Items'!$A$2:$A$497,0))&amp;": "&amp;INDEX('Dashboard Items'!$C$2:$C$497,MATCH(G191,'Dashboard Items'!$A$2:$A$497,0)),"ID not found")))</f>
        <v/>
      </c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</row>
    <row r="192" spans="2:20" x14ac:dyDescent="0.2">
      <c r="B192" s="80"/>
      <c r="C192" s="80"/>
      <c r="D192" s="80"/>
      <c r="E192" s="80"/>
      <c r="F192" s="81" t="str">
        <f>IF(E192="","",IFERROR(IF(INDEX('Dashboard Items'!$B$2:$B$497,MATCH(E192,'Dashboard Items'!$A$2:$A$497,0))="Objective","Objectives go in the next column",IF(OR(D192="",INDEX('Dashboard Items'!$B$2:$B$497,MATCH(E192,'Dashboard Items'!$A$2:$A$497,0))=D192),INDEX('Dashboard Items'!$C$2:$C$497,MATCH(E192,'Dashboard Items'!$A$2:$A$497,0)),"Level does not match ID")),"ID not found"))</f>
        <v/>
      </c>
      <c r="G192" s="82"/>
      <c r="H192" s="81" t="str">
        <f>IF(G192="","",IF(ISNUMBER(SEARCH(",",G192)),"Several items (the script lists them)",IFERROR(INDEX('Dashboard Items'!$B$2:$B$497,MATCH(G192,'Dashboard Items'!$A$2:$A$497,0))&amp;": "&amp;INDEX('Dashboard Items'!$C$2:$C$497,MATCH(G192,'Dashboard Items'!$A$2:$A$497,0)),"ID not found")))</f>
        <v/>
      </c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</row>
    <row r="193" spans="2:20" x14ac:dyDescent="0.2">
      <c r="B193" s="80"/>
      <c r="C193" s="80"/>
      <c r="D193" s="80"/>
      <c r="E193" s="80"/>
      <c r="F193" s="81" t="str">
        <f>IF(E193="","",IFERROR(IF(INDEX('Dashboard Items'!$B$2:$B$497,MATCH(E193,'Dashboard Items'!$A$2:$A$497,0))="Objective","Objectives go in the next column",IF(OR(D193="",INDEX('Dashboard Items'!$B$2:$B$497,MATCH(E193,'Dashboard Items'!$A$2:$A$497,0))=D193),INDEX('Dashboard Items'!$C$2:$C$497,MATCH(E193,'Dashboard Items'!$A$2:$A$497,0)),"Level does not match ID")),"ID not found"))</f>
        <v/>
      </c>
      <c r="G193" s="82"/>
      <c r="H193" s="81" t="str">
        <f>IF(G193="","",IF(ISNUMBER(SEARCH(",",G193)),"Several items (the script lists them)",IFERROR(INDEX('Dashboard Items'!$B$2:$B$497,MATCH(G193,'Dashboard Items'!$A$2:$A$497,0))&amp;": "&amp;INDEX('Dashboard Items'!$C$2:$C$497,MATCH(G193,'Dashboard Items'!$A$2:$A$497,0)),"ID not found")))</f>
        <v/>
      </c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</row>
    <row r="194" spans="2:20" x14ac:dyDescent="0.2">
      <c r="B194" s="80"/>
      <c r="C194" s="80"/>
      <c r="D194" s="80"/>
      <c r="E194" s="80"/>
      <c r="F194" s="81" t="str">
        <f>IF(E194="","",IFERROR(IF(INDEX('Dashboard Items'!$B$2:$B$497,MATCH(E194,'Dashboard Items'!$A$2:$A$497,0))="Objective","Objectives go in the next column",IF(OR(D194="",INDEX('Dashboard Items'!$B$2:$B$497,MATCH(E194,'Dashboard Items'!$A$2:$A$497,0))=D194),INDEX('Dashboard Items'!$C$2:$C$497,MATCH(E194,'Dashboard Items'!$A$2:$A$497,0)),"Level does not match ID")),"ID not found"))</f>
        <v/>
      </c>
      <c r="G194" s="82"/>
      <c r="H194" s="81" t="str">
        <f>IF(G194="","",IF(ISNUMBER(SEARCH(",",G194)),"Several items (the script lists them)",IFERROR(INDEX('Dashboard Items'!$B$2:$B$497,MATCH(G194,'Dashboard Items'!$A$2:$A$497,0))&amp;": "&amp;INDEX('Dashboard Items'!$C$2:$C$497,MATCH(G194,'Dashboard Items'!$A$2:$A$497,0)),"ID not found")))</f>
        <v/>
      </c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</row>
    <row r="195" spans="2:20" x14ac:dyDescent="0.2">
      <c r="B195" s="80"/>
      <c r="C195" s="80"/>
      <c r="D195" s="80"/>
      <c r="E195" s="80"/>
      <c r="F195" s="81" t="str">
        <f>IF(E195="","",IFERROR(IF(INDEX('Dashboard Items'!$B$2:$B$497,MATCH(E195,'Dashboard Items'!$A$2:$A$497,0))="Objective","Objectives go in the next column",IF(OR(D195="",INDEX('Dashboard Items'!$B$2:$B$497,MATCH(E195,'Dashboard Items'!$A$2:$A$497,0))=D195),INDEX('Dashboard Items'!$C$2:$C$497,MATCH(E195,'Dashboard Items'!$A$2:$A$497,0)),"Level does not match ID")),"ID not found"))</f>
        <v/>
      </c>
      <c r="G195" s="82"/>
      <c r="H195" s="81" t="str">
        <f>IF(G195="","",IF(ISNUMBER(SEARCH(",",G195)),"Several items (the script lists them)",IFERROR(INDEX('Dashboard Items'!$B$2:$B$497,MATCH(G195,'Dashboard Items'!$A$2:$A$497,0))&amp;": "&amp;INDEX('Dashboard Items'!$C$2:$C$497,MATCH(G195,'Dashboard Items'!$A$2:$A$497,0)),"ID not found")))</f>
        <v/>
      </c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</row>
    <row r="196" spans="2:20" x14ac:dyDescent="0.2">
      <c r="B196" s="80"/>
      <c r="C196" s="80"/>
      <c r="D196" s="80"/>
      <c r="E196" s="80"/>
      <c r="F196" s="81" t="str">
        <f>IF(E196="","",IFERROR(IF(INDEX('Dashboard Items'!$B$2:$B$497,MATCH(E196,'Dashboard Items'!$A$2:$A$497,0))="Objective","Objectives go in the next column",IF(OR(D196="",INDEX('Dashboard Items'!$B$2:$B$497,MATCH(E196,'Dashboard Items'!$A$2:$A$497,0))=D196),INDEX('Dashboard Items'!$C$2:$C$497,MATCH(E196,'Dashboard Items'!$A$2:$A$497,0)),"Level does not match ID")),"ID not found"))</f>
        <v/>
      </c>
      <c r="G196" s="82"/>
      <c r="H196" s="81" t="str">
        <f>IF(G196="","",IF(ISNUMBER(SEARCH(",",G196)),"Several items (the script lists them)",IFERROR(INDEX('Dashboard Items'!$B$2:$B$497,MATCH(G196,'Dashboard Items'!$A$2:$A$497,0))&amp;": "&amp;INDEX('Dashboard Items'!$C$2:$C$497,MATCH(G196,'Dashboard Items'!$A$2:$A$497,0)),"ID not found")))</f>
        <v/>
      </c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</row>
    <row r="197" spans="2:20" x14ac:dyDescent="0.2">
      <c r="B197" s="80"/>
      <c r="C197" s="80"/>
      <c r="D197" s="80"/>
      <c r="E197" s="80"/>
      <c r="F197" s="81" t="str">
        <f>IF(E197="","",IFERROR(IF(INDEX('Dashboard Items'!$B$2:$B$497,MATCH(E197,'Dashboard Items'!$A$2:$A$497,0))="Objective","Objectives go in the next column",IF(OR(D197="",INDEX('Dashboard Items'!$B$2:$B$497,MATCH(E197,'Dashboard Items'!$A$2:$A$497,0))=D197),INDEX('Dashboard Items'!$C$2:$C$497,MATCH(E197,'Dashboard Items'!$A$2:$A$497,0)),"Level does not match ID")),"ID not found"))</f>
        <v/>
      </c>
      <c r="G197" s="82"/>
      <c r="H197" s="81" t="str">
        <f>IF(G197="","",IF(ISNUMBER(SEARCH(",",G197)),"Several items (the script lists them)",IFERROR(INDEX('Dashboard Items'!$B$2:$B$497,MATCH(G197,'Dashboard Items'!$A$2:$A$497,0))&amp;": "&amp;INDEX('Dashboard Items'!$C$2:$C$497,MATCH(G197,'Dashboard Items'!$A$2:$A$497,0)),"ID not found")))</f>
        <v/>
      </c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</row>
    <row r="198" spans="2:20" x14ac:dyDescent="0.2">
      <c r="B198" s="80"/>
      <c r="C198" s="80"/>
      <c r="D198" s="80"/>
      <c r="E198" s="80"/>
      <c r="F198" s="81" t="str">
        <f>IF(E198="","",IFERROR(IF(INDEX('Dashboard Items'!$B$2:$B$497,MATCH(E198,'Dashboard Items'!$A$2:$A$497,0))="Objective","Objectives go in the next column",IF(OR(D198="",INDEX('Dashboard Items'!$B$2:$B$497,MATCH(E198,'Dashboard Items'!$A$2:$A$497,0))=D198),INDEX('Dashboard Items'!$C$2:$C$497,MATCH(E198,'Dashboard Items'!$A$2:$A$497,0)),"Level does not match ID")),"ID not found"))</f>
        <v/>
      </c>
      <c r="G198" s="82"/>
      <c r="H198" s="81" t="str">
        <f>IF(G198="","",IF(ISNUMBER(SEARCH(",",G198)),"Several items (the script lists them)",IFERROR(INDEX('Dashboard Items'!$B$2:$B$497,MATCH(G198,'Dashboard Items'!$A$2:$A$497,0))&amp;": "&amp;INDEX('Dashboard Items'!$C$2:$C$497,MATCH(G198,'Dashboard Items'!$A$2:$A$497,0)),"ID not found")))</f>
        <v/>
      </c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</row>
    <row r="199" spans="2:20" x14ac:dyDescent="0.2">
      <c r="B199" s="80"/>
      <c r="C199" s="80"/>
      <c r="D199" s="80"/>
      <c r="E199" s="80"/>
      <c r="F199" s="81" t="str">
        <f>IF(E199="","",IFERROR(IF(INDEX('Dashboard Items'!$B$2:$B$497,MATCH(E199,'Dashboard Items'!$A$2:$A$497,0))="Objective","Objectives go in the next column",IF(OR(D199="",INDEX('Dashboard Items'!$B$2:$B$497,MATCH(E199,'Dashboard Items'!$A$2:$A$497,0))=D199),INDEX('Dashboard Items'!$C$2:$C$497,MATCH(E199,'Dashboard Items'!$A$2:$A$497,0)),"Level does not match ID")),"ID not found"))</f>
        <v/>
      </c>
      <c r="G199" s="82"/>
      <c r="H199" s="81" t="str">
        <f>IF(G199="","",IF(ISNUMBER(SEARCH(",",G199)),"Several items (the script lists them)",IFERROR(INDEX('Dashboard Items'!$B$2:$B$497,MATCH(G199,'Dashboard Items'!$A$2:$A$497,0))&amp;": "&amp;INDEX('Dashboard Items'!$C$2:$C$497,MATCH(G199,'Dashboard Items'!$A$2:$A$497,0)),"ID not found")))</f>
        <v/>
      </c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</row>
    <row r="200" spans="2:20" x14ac:dyDescent="0.2">
      <c r="B200" s="80"/>
      <c r="C200" s="80"/>
      <c r="D200" s="80"/>
      <c r="E200" s="80"/>
      <c r="F200" s="81" t="str">
        <f>IF(E200="","",IFERROR(IF(INDEX('Dashboard Items'!$B$2:$B$497,MATCH(E200,'Dashboard Items'!$A$2:$A$497,0))="Objective","Objectives go in the next column",IF(OR(D200="",INDEX('Dashboard Items'!$B$2:$B$497,MATCH(E200,'Dashboard Items'!$A$2:$A$497,0))=D200),INDEX('Dashboard Items'!$C$2:$C$497,MATCH(E200,'Dashboard Items'!$A$2:$A$497,0)),"Level does not match ID")),"ID not found"))</f>
        <v/>
      </c>
      <c r="G200" s="82"/>
      <c r="H200" s="81" t="str">
        <f>IF(G200="","",IF(ISNUMBER(SEARCH(",",G200)),"Several items (the script lists them)",IFERROR(INDEX('Dashboard Items'!$B$2:$B$497,MATCH(G200,'Dashboard Items'!$A$2:$A$497,0))&amp;": "&amp;INDEX('Dashboard Items'!$C$2:$C$497,MATCH(G200,'Dashboard Items'!$A$2:$A$497,0)),"ID not found")))</f>
        <v/>
      </c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</row>
    <row r="201" spans="2:20" x14ac:dyDescent="0.2">
      <c r="B201" s="80"/>
      <c r="C201" s="80"/>
      <c r="D201" s="80"/>
      <c r="E201" s="80"/>
      <c r="F201" s="81" t="str">
        <f>IF(E201="","",IFERROR(IF(INDEX('Dashboard Items'!$B$2:$B$497,MATCH(E201,'Dashboard Items'!$A$2:$A$497,0))="Objective","Objectives go in the next column",IF(OR(D201="",INDEX('Dashboard Items'!$B$2:$B$497,MATCH(E201,'Dashboard Items'!$A$2:$A$497,0))=D201),INDEX('Dashboard Items'!$C$2:$C$497,MATCH(E201,'Dashboard Items'!$A$2:$A$497,0)),"Level does not match ID")),"ID not found"))</f>
        <v/>
      </c>
      <c r="G201" s="82"/>
      <c r="H201" s="81" t="str">
        <f>IF(G201="","",IF(ISNUMBER(SEARCH(",",G201)),"Several items (the script lists them)",IFERROR(INDEX('Dashboard Items'!$B$2:$B$497,MATCH(G201,'Dashboard Items'!$A$2:$A$497,0))&amp;": "&amp;INDEX('Dashboard Items'!$C$2:$C$497,MATCH(G201,'Dashboard Items'!$A$2:$A$497,0)),"ID not found")))</f>
        <v/>
      </c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</row>
    <row r="202" spans="2:20" x14ac:dyDescent="0.2">
      <c r="B202" s="80"/>
      <c r="C202" s="80"/>
      <c r="D202" s="80"/>
      <c r="E202" s="80"/>
      <c r="F202" s="81" t="str">
        <f>IF(E202="","",IFERROR(IF(INDEX('Dashboard Items'!$B$2:$B$497,MATCH(E202,'Dashboard Items'!$A$2:$A$497,0))="Objective","Objectives go in the next column",IF(OR(D202="",INDEX('Dashboard Items'!$B$2:$B$497,MATCH(E202,'Dashboard Items'!$A$2:$A$497,0))=D202),INDEX('Dashboard Items'!$C$2:$C$497,MATCH(E202,'Dashboard Items'!$A$2:$A$497,0)),"Level does not match ID")),"ID not found"))</f>
        <v/>
      </c>
      <c r="G202" s="82"/>
      <c r="H202" s="81" t="str">
        <f>IF(G202="","",IF(ISNUMBER(SEARCH(",",G202)),"Several items (the script lists them)",IFERROR(INDEX('Dashboard Items'!$B$2:$B$497,MATCH(G202,'Dashboard Items'!$A$2:$A$497,0))&amp;": "&amp;INDEX('Dashboard Items'!$C$2:$C$497,MATCH(G202,'Dashboard Items'!$A$2:$A$497,0)),"ID not found")))</f>
        <v/>
      </c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</row>
    <row r="203" spans="2:20" x14ac:dyDescent="0.2">
      <c r="B203" s="80"/>
      <c r="C203" s="80"/>
      <c r="D203" s="80"/>
      <c r="E203" s="80"/>
      <c r="F203" s="81" t="str">
        <f>IF(E203="","",IFERROR(IF(INDEX('Dashboard Items'!$B$2:$B$497,MATCH(E203,'Dashboard Items'!$A$2:$A$497,0))="Objective","Objectives go in the next column",IF(OR(D203="",INDEX('Dashboard Items'!$B$2:$B$497,MATCH(E203,'Dashboard Items'!$A$2:$A$497,0))=D203),INDEX('Dashboard Items'!$C$2:$C$497,MATCH(E203,'Dashboard Items'!$A$2:$A$497,0)),"Level does not match ID")),"ID not found"))</f>
        <v/>
      </c>
      <c r="G203" s="82"/>
      <c r="H203" s="81" t="str">
        <f>IF(G203="","",IF(ISNUMBER(SEARCH(",",G203)),"Several items (the script lists them)",IFERROR(INDEX('Dashboard Items'!$B$2:$B$497,MATCH(G203,'Dashboard Items'!$A$2:$A$497,0))&amp;": "&amp;INDEX('Dashboard Items'!$C$2:$C$497,MATCH(G203,'Dashboard Items'!$A$2:$A$497,0)),"ID not found")))</f>
        <v/>
      </c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</row>
    <row r="204" spans="2:20" x14ac:dyDescent="0.2">
      <c r="B204" s="80"/>
      <c r="C204" s="80"/>
      <c r="D204" s="80"/>
      <c r="E204" s="80"/>
      <c r="F204" s="81" t="str">
        <f>IF(E204="","",IFERROR(IF(INDEX('Dashboard Items'!$B$2:$B$497,MATCH(E204,'Dashboard Items'!$A$2:$A$497,0))="Objective","Objectives go in the next column",IF(OR(D204="",INDEX('Dashboard Items'!$B$2:$B$497,MATCH(E204,'Dashboard Items'!$A$2:$A$497,0))=D204),INDEX('Dashboard Items'!$C$2:$C$497,MATCH(E204,'Dashboard Items'!$A$2:$A$497,0)),"Level does not match ID")),"ID not found"))</f>
        <v/>
      </c>
      <c r="G204" s="82"/>
      <c r="H204" s="81" t="str">
        <f>IF(G204="","",IF(ISNUMBER(SEARCH(",",G204)),"Several items (the script lists them)",IFERROR(INDEX('Dashboard Items'!$B$2:$B$497,MATCH(G204,'Dashboard Items'!$A$2:$A$497,0))&amp;": "&amp;INDEX('Dashboard Items'!$C$2:$C$497,MATCH(G204,'Dashboard Items'!$A$2:$A$497,0)),"ID not found")))</f>
        <v/>
      </c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</row>
    <row r="205" spans="2:20" x14ac:dyDescent="0.2">
      <c r="B205" s="80"/>
      <c r="C205" s="80"/>
      <c r="D205" s="80"/>
      <c r="E205" s="80"/>
      <c r="F205" s="81" t="str">
        <f>IF(E205="","",IFERROR(IF(INDEX('Dashboard Items'!$B$2:$B$497,MATCH(E205,'Dashboard Items'!$A$2:$A$497,0))="Objective","Objectives go in the next column",IF(OR(D205="",INDEX('Dashboard Items'!$B$2:$B$497,MATCH(E205,'Dashboard Items'!$A$2:$A$497,0))=D205),INDEX('Dashboard Items'!$C$2:$C$497,MATCH(E205,'Dashboard Items'!$A$2:$A$497,0)),"Level does not match ID")),"ID not found"))</f>
        <v/>
      </c>
      <c r="G205" s="82"/>
      <c r="H205" s="81" t="str">
        <f>IF(G205="","",IF(ISNUMBER(SEARCH(",",G205)),"Several items (the script lists them)",IFERROR(INDEX('Dashboard Items'!$B$2:$B$497,MATCH(G205,'Dashboard Items'!$A$2:$A$497,0))&amp;": "&amp;INDEX('Dashboard Items'!$C$2:$C$497,MATCH(G205,'Dashboard Items'!$A$2:$A$497,0)),"ID not found")))</f>
        <v/>
      </c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</row>
    <row r="206" spans="2:20" x14ac:dyDescent="0.2">
      <c r="B206" s="80"/>
      <c r="C206" s="80"/>
      <c r="D206" s="80"/>
      <c r="E206" s="80"/>
      <c r="F206" s="81" t="str">
        <f>IF(E206="","",IFERROR(IF(INDEX('Dashboard Items'!$B$2:$B$497,MATCH(E206,'Dashboard Items'!$A$2:$A$497,0))="Objective","Objectives go in the next column",IF(OR(D206="",INDEX('Dashboard Items'!$B$2:$B$497,MATCH(E206,'Dashboard Items'!$A$2:$A$497,0))=D206),INDEX('Dashboard Items'!$C$2:$C$497,MATCH(E206,'Dashboard Items'!$A$2:$A$497,0)),"Level does not match ID")),"ID not found"))</f>
        <v/>
      </c>
      <c r="G206" s="82"/>
      <c r="H206" s="81" t="str">
        <f>IF(G206="","",IF(ISNUMBER(SEARCH(",",G206)),"Several items (the script lists them)",IFERROR(INDEX('Dashboard Items'!$B$2:$B$497,MATCH(G206,'Dashboard Items'!$A$2:$A$497,0))&amp;": "&amp;INDEX('Dashboard Items'!$C$2:$C$497,MATCH(G206,'Dashboard Items'!$A$2:$A$497,0)),"ID not found")))</f>
        <v/>
      </c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</row>
    <row r="207" spans="2:20" x14ac:dyDescent="0.2">
      <c r="B207" s="80"/>
      <c r="C207" s="80"/>
      <c r="D207" s="80"/>
      <c r="E207" s="80"/>
      <c r="F207" s="81" t="str">
        <f>IF(E207="","",IFERROR(IF(INDEX('Dashboard Items'!$B$2:$B$497,MATCH(E207,'Dashboard Items'!$A$2:$A$497,0))="Objective","Objectives go in the next column",IF(OR(D207="",INDEX('Dashboard Items'!$B$2:$B$497,MATCH(E207,'Dashboard Items'!$A$2:$A$497,0))=D207),INDEX('Dashboard Items'!$C$2:$C$497,MATCH(E207,'Dashboard Items'!$A$2:$A$497,0)),"Level does not match ID")),"ID not found"))</f>
        <v/>
      </c>
      <c r="G207" s="82"/>
      <c r="H207" s="81" t="str">
        <f>IF(G207="","",IF(ISNUMBER(SEARCH(",",G207)),"Several items (the script lists them)",IFERROR(INDEX('Dashboard Items'!$B$2:$B$497,MATCH(G207,'Dashboard Items'!$A$2:$A$497,0))&amp;": "&amp;INDEX('Dashboard Items'!$C$2:$C$497,MATCH(G207,'Dashboard Items'!$A$2:$A$497,0)),"ID not found")))</f>
        <v/>
      </c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</row>
    <row r="208" spans="2:20" x14ac:dyDescent="0.2">
      <c r="B208" s="80"/>
      <c r="C208" s="80"/>
      <c r="D208" s="80"/>
      <c r="E208" s="80"/>
      <c r="F208" s="81" t="str">
        <f>IF(E208="","",IFERROR(IF(INDEX('Dashboard Items'!$B$2:$B$497,MATCH(E208,'Dashboard Items'!$A$2:$A$497,0))="Objective","Objectives go in the next column",IF(OR(D208="",INDEX('Dashboard Items'!$B$2:$B$497,MATCH(E208,'Dashboard Items'!$A$2:$A$497,0))=D208),INDEX('Dashboard Items'!$C$2:$C$497,MATCH(E208,'Dashboard Items'!$A$2:$A$497,0)),"Level does not match ID")),"ID not found"))</f>
        <v/>
      </c>
      <c r="G208" s="82"/>
      <c r="H208" s="81" t="str">
        <f>IF(G208="","",IF(ISNUMBER(SEARCH(",",G208)),"Several items (the script lists them)",IFERROR(INDEX('Dashboard Items'!$B$2:$B$497,MATCH(G208,'Dashboard Items'!$A$2:$A$497,0))&amp;": "&amp;INDEX('Dashboard Items'!$C$2:$C$497,MATCH(G208,'Dashboard Items'!$A$2:$A$497,0)),"ID not found")))</f>
        <v/>
      </c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</row>
    <row r="209" spans="2:20" x14ac:dyDescent="0.2">
      <c r="B209" s="80"/>
      <c r="C209" s="80"/>
      <c r="D209" s="80"/>
      <c r="E209" s="80"/>
      <c r="F209" s="81" t="str">
        <f>IF(E209="","",IFERROR(IF(INDEX('Dashboard Items'!$B$2:$B$497,MATCH(E209,'Dashboard Items'!$A$2:$A$497,0))="Objective","Objectives go in the next column",IF(OR(D209="",INDEX('Dashboard Items'!$B$2:$B$497,MATCH(E209,'Dashboard Items'!$A$2:$A$497,0))=D209),INDEX('Dashboard Items'!$C$2:$C$497,MATCH(E209,'Dashboard Items'!$A$2:$A$497,0)),"Level does not match ID")),"ID not found"))</f>
        <v/>
      </c>
      <c r="G209" s="82"/>
      <c r="H209" s="81" t="str">
        <f>IF(G209="","",IF(ISNUMBER(SEARCH(",",G209)),"Several items (the script lists them)",IFERROR(INDEX('Dashboard Items'!$B$2:$B$497,MATCH(G209,'Dashboard Items'!$A$2:$A$497,0))&amp;": "&amp;INDEX('Dashboard Items'!$C$2:$C$497,MATCH(G209,'Dashboard Items'!$A$2:$A$497,0)),"ID not found")))</f>
        <v/>
      </c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</row>
    <row r="210" spans="2:20" x14ac:dyDescent="0.2">
      <c r="B210" s="80"/>
      <c r="C210" s="80"/>
      <c r="D210" s="80"/>
      <c r="E210" s="80"/>
      <c r="F210" s="81" t="str">
        <f>IF(E210="","",IFERROR(IF(INDEX('Dashboard Items'!$B$2:$B$497,MATCH(E210,'Dashboard Items'!$A$2:$A$497,0))="Objective","Objectives go in the next column",IF(OR(D210="",INDEX('Dashboard Items'!$B$2:$B$497,MATCH(E210,'Dashboard Items'!$A$2:$A$497,0))=D210),INDEX('Dashboard Items'!$C$2:$C$497,MATCH(E210,'Dashboard Items'!$A$2:$A$497,0)),"Level does not match ID")),"ID not found"))</f>
        <v/>
      </c>
      <c r="G210" s="82"/>
      <c r="H210" s="81" t="str">
        <f>IF(G210="","",IF(ISNUMBER(SEARCH(",",G210)),"Several items (the script lists them)",IFERROR(INDEX('Dashboard Items'!$B$2:$B$497,MATCH(G210,'Dashboard Items'!$A$2:$A$497,0))&amp;": "&amp;INDEX('Dashboard Items'!$C$2:$C$497,MATCH(G210,'Dashboard Items'!$A$2:$A$497,0)),"ID not found")))</f>
        <v/>
      </c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</row>
    <row r="211" spans="2:20" x14ac:dyDescent="0.2">
      <c r="B211" s="80"/>
      <c r="C211" s="80"/>
      <c r="D211" s="80"/>
      <c r="E211" s="80"/>
      <c r="F211" s="81" t="str">
        <f>IF(E211="","",IFERROR(IF(INDEX('Dashboard Items'!$B$2:$B$497,MATCH(E211,'Dashboard Items'!$A$2:$A$497,0))="Objective","Objectives go in the next column",IF(OR(D211="",INDEX('Dashboard Items'!$B$2:$B$497,MATCH(E211,'Dashboard Items'!$A$2:$A$497,0))=D211),INDEX('Dashboard Items'!$C$2:$C$497,MATCH(E211,'Dashboard Items'!$A$2:$A$497,0)),"Level does not match ID")),"ID not found"))</f>
        <v/>
      </c>
      <c r="G211" s="82"/>
      <c r="H211" s="81" t="str">
        <f>IF(G211="","",IF(ISNUMBER(SEARCH(",",G211)),"Several items (the script lists them)",IFERROR(INDEX('Dashboard Items'!$B$2:$B$497,MATCH(G211,'Dashboard Items'!$A$2:$A$497,0))&amp;": "&amp;INDEX('Dashboard Items'!$C$2:$C$497,MATCH(G211,'Dashboard Items'!$A$2:$A$497,0)),"ID not found")))</f>
        <v/>
      </c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</row>
    <row r="212" spans="2:20" x14ac:dyDescent="0.2">
      <c r="B212" s="80"/>
      <c r="C212" s="80"/>
      <c r="D212" s="80"/>
      <c r="E212" s="80"/>
      <c r="F212" s="81" t="str">
        <f>IF(E212="","",IFERROR(IF(INDEX('Dashboard Items'!$B$2:$B$497,MATCH(E212,'Dashboard Items'!$A$2:$A$497,0))="Objective","Objectives go in the next column",IF(OR(D212="",INDEX('Dashboard Items'!$B$2:$B$497,MATCH(E212,'Dashboard Items'!$A$2:$A$497,0))=D212),INDEX('Dashboard Items'!$C$2:$C$497,MATCH(E212,'Dashboard Items'!$A$2:$A$497,0)),"Level does not match ID")),"ID not found"))</f>
        <v/>
      </c>
      <c r="G212" s="82"/>
      <c r="H212" s="81" t="str">
        <f>IF(G212="","",IF(ISNUMBER(SEARCH(",",G212)),"Several items (the script lists them)",IFERROR(INDEX('Dashboard Items'!$B$2:$B$497,MATCH(G212,'Dashboard Items'!$A$2:$A$497,0))&amp;": "&amp;INDEX('Dashboard Items'!$C$2:$C$497,MATCH(G212,'Dashboard Items'!$A$2:$A$497,0)),"ID not found")))</f>
        <v/>
      </c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</row>
    <row r="213" spans="2:20" x14ac:dyDescent="0.2">
      <c r="B213" s="80"/>
      <c r="C213" s="80"/>
      <c r="D213" s="80"/>
      <c r="E213" s="80"/>
      <c r="F213" s="81" t="str">
        <f>IF(E213="","",IFERROR(IF(INDEX('Dashboard Items'!$B$2:$B$497,MATCH(E213,'Dashboard Items'!$A$2:$A$497,0))="Objective","Objectives go in the next column",IF(OR(D213="",INDEX('Dashboard Items'!$B$2:$B$497,MATCH(E213,'Dashboard Items'!$A$2:$A$497,0))=D213),INDEX('Dashboard Items'!$C$2:$C$497,MATCH(E213,'Dashboard Items'!$A$2:$A$497,0)),"Level does not match ID")),"ID not found"))</f>
        <v/>
      </c>
      <c r="G213" s="82"/>
      <c r="H213" s="81" t="str">
        <f>IF(G213="","",IF(ISNUMBER(SEARCH(",",G213)),"Several items (the script lists them)",IFERROR(INDEX('Dashboard Items'!$B$2:$B$497,MATCH(G213,'Dashboard Items'!$A$2:$A$497,0))&amp;": "&amp;INDEX('Dashboard Items'!$C$2:$C$497,MATCH(G213,'Dashboard Items'!$A$2:$A$497,0)),"ID not found")))</f>
        <v/>
      </c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</row>
    <row r="214" spans="2:20" x14ac:dyDescent="0.2">
      <c r="B214" s="80"/>
      <c r="C214" s="80"/>
      <c r="D214" s="80"/>
      <c r="E214" s="80"/>
      <c r="F214" s="81" t="str">
        <f>IF(E214="","",IFERROR(IF(INDEX('Dashboard Items'!$B$2:$B$497,MATCH(E214,'Dashboard Items'!$A$2:$A$497,0))="Objective","Objectives go in the next column",IF(OR(D214="",INDEX('Dashboard Items'!$B$2:$B$497,MATCH(E214,'Dashboard Items'!$A$2:$A$497,0))=D214),INDEX('Dashboard Items'!$C$2:$C$497,MATCH(E214,'Dashboard Items'!$A$2:$A$497,0)),"Level does not match ID")),"ID not found"))</f>
        <v/>
      </c>
      <c r="G214" s="82"/>
      <c r="H214" s="81" t="str">
        <f>IF(G214="","",IF(ISNUMBER(SEARCH(",",G214)),"Several items (the script lists them)",IFERROR(INDEX('Dashboard Items'!$B$2:$B$497,MATCH(G214,'Dashboard Items'!$A$2:$A$497,0))&amp;": "&amp;INDEX('Dashboard Items'!$C$2:$C$497,MATCH(G214,'Dashboard Items'!$A$2:$A$497,0)),"ID not found")))</f>
        <v/>
      </c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</row>
    <row r="215" spans="2:20" x14ac:dyDescent="0.2">
      <c r="B215" s="80"/>
      <c r="C215" s="80"/>
      <c r="D215" s="80"/>
      <c r="E215" s="80"/>
      <c r="F215" s="81" t="str">
        <f>IF(E215="","",IFERROR(IF(INDEX('Dashboard Items'!$B$2:$B$497,MATCH(E215,'Dashboard Items'!$A$2:$A$497,0))="Objective","Objectives go in the next column",IF(OR(D215="",INDEX('Dashboard Items'!$B$2:$B$497,MATCH(E215,'Dashboard Items'!$A$2:$A$497,0))=D215),INDEX('Dashboard Items'!$C$2:$C$497,MATCH(E215,'Dashboard Items'!$A$2:$A$497,0)),"Level does not match ID")),"ID not found"))</f>
        <v/>
      </c>
      <c r="G215" s="82"/>
      <c r="H215" s="81" t="str">
        <f>IF(G215="","",IF(ISNUMBER(SEARCH(",",G215)),"Several items (the script lists them)",IFERROR(INDEX('Dashboard Items'!$B$2:$B$497,MATCH(G215,'Dashboard Items'!$A$2:$A$497,0))&amp;": "&amp;INDEX('Dashboard Items'!$C$2:$C$497,MATCH(G215,'Dashboard Items'!$A$2:$A$497,0)),"ID not found")))</f>
        <v/>
      </c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</row>
    <row r="216" spans="2:20" x14ac:dyDescent="0.2">
      <c r="B216" s="80"/>
      <c r="C216" s="80"/>
      <c r="D216" s="80"/>
      <c r="E216" s="80"/>
      <c r="F216" s="81" t="str">
        <f>IF(E216="","",IFERROR(IF(INDEX('Dashboard Items'!$B$2:$B$497,MATCH(E216,'Dashboard Items'!$A$2:$A$497,0))="Objective","Objectives go in the next column",IF(OR(D216="",INDEX('Dashboard Items'!$B$2:$B$497,MATCH(E216,'Dashboard Items'!$A$2:$A$497,0))=D216),INDEX('Dashboard Items'!$C$2:$C$497,MATCH(E216,'Dashboard Items'!$A$2:$A$497,0)),"Level does not match ID")),"ID not found"))</f>
        <v/>
      </c>
      <c r="G216" s="82"/>
      <c r="H216" s="81" t="str">
        <f>IF(G216="","",IF(ISNUMBER(SEARCH(",",G216)),"Several items (the script lists them)",IFERROR(INDEX('Dashboard Items'!$B$2:$B$497,MATCH(G216,'Dashboard Items'!$A$2:$A$497,0))&amp;": "&amp;INDEX('Dashboard Items'!$C$2:$C$497,MATCH(G216,'Dashboard Items'!$A$2:$A$497,0)),"ID not found")))</f>
        <v/>
      </c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</row>
    <row r="217" spans="2:20" x14ac:dyDescent="0.2">
      <c r="B217" s="80"/>
      <c r="C217" s="80"/>
      <c r="D217" s="80"/>
      <c r="E217" s="80"/>
      <c r="F217" s="81" t="str">
        <f>IF(E217="","",IFERROR(IF(INDEX('Dashboard Items'!$B$2:$B$497,MATCH(E217,'Dashboard Items'!$A$2:$A$497,0))="Objective","Objectives go in the next column",IF(OR(D217="",INDEX('Dashboard Items'!$B$2:$B$497,MATCH(E217,'Dashboard Items'!$A$2:$A$497,0))=D217),INDEX('Dashboard Items'!$C$2:$C$497,MATCH(E217,'Dashboard Items'!$A$2:$A$497,0)),"Level does not match ID")),"ID not found"))</f>
        <v/>
      </c>
      <c r="G217" s="82"/>
      <c r="H217" s="81" t="str">
        <f>IF(G217="","",IF(ISNUMBER(SEARCH(",",G217)),"Several items (the script lists them)",IFERROR(INDEX('Dashboard Items'!$B$2:$B$497,MATCH(G217,'Dashboard Items'!$A$2:$A$497,0))&amp;": "&amp;INDEX('Dashboard Items'!$C$2:$C$497,MATCH(G217,'Dashboard Items'!$A$2:$A$497,0)),"ID not found")))</f>
        <v/>
      </c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</row>
    <row r="218" spans="2:20" x14ac:dyDescent="0.2">
      <c r="B218" s="80"/>
      <c r="C218" s="80"/>
      <c r="D218" s="80"/>
      <c r="E218" s="80"/>
      <c r="F218" s="81" t="str">
        <f>IF(E218="","",IFERROR(IF(INDEX('Dashboard Items'!$B$2:$B$497,MATCH(E218,'Dashboard Items'!$A$2:$A$497,0))="Objective","Objectives go in the next column",IF(OR(D218="",INDEX('Dashboard Items'!$B$2:$B$497,MATCH(E218,'Dashboard Items'!$A$2:$A$497,0))=D218),INDEX('Dashboard Items'!$C$2:$C$497,MATCH(E218,'Dashboard Items'!$A$2:$A$497,0)),"Level does not match ID")),"ID not found"))</f>
        <v/>
      </c>
      <c r="G218" s="82"/>
      <c r="H218" s="81" t="str">
        <f>IF(G218="","",IF(ISNUMBER(SEARCH(",",G218)),"Several items (the script lists them)",IFERROR(INDEX('Dashboard Items'!$B$2:$B$497,MATCH(G218,'Dashboard Items'!$A$2:$A$497,0))&amp;": "&amp;INDEX('Dashboard Items'!$C$2:$C$497,MATCH(G218,'Dashboard Items'!$A$2:$A$497,0)),"ID not found")))</f>
        <v/>
      </c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</row>
    <row r="219" spans="2:20" x14ac:dyDescent="0.2">
      <c r="B219" s="80"/>
      <c r="C219" s="80"/>
      <c r="D219" s="80"/>
      <c r="E219" s="80"/>
      <c r="F219" s="81" t="str">
        <f>IF(E219="","",IFERROR(IF(INDEX('Dashboard Items'!$B$2:$B$497,MATCH(E219,'Dashboard Items'!$A$2:$A$497,0))="Objective","Objectives go in the next column",IF(OR(D219="",INDEX('Dashboard Items'!$B$2:$B$497,MATCH(E219,'Dashboard Items'!$A$2:$A$497,0))=D219),INDEX('Dashboard Items'!$C$2:$C$497,MATCH(E219,'Dashboard Items'!$A$2:$A$497,0)),"Level does not match ID")),"ID not found"))</f>
        <v/>
      </c>
      <c r="G219" s="82"/>
      <c r="H219" s="81" t="str">
        <f>IF(G219="","",IF(ISNUMBER(SEARCH(",",G219)),"Several items (the script lists them)",IFERROR(INDEX('Dashboard Items'!$B$2:$B$497,MATCH(G219,'Dashboard Items'!$A$2:$A$497,0))&amp;": "&amp;INDEX('Dashboard Items'!$C$2:$C$497,MATCH(G219,'Dashboard Items'!$A$2:$A$497,0)),"ID not found")))</f>
        <v/>
      </c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</row>
    <row r="220" spans="2:20" x14ac:dyDescent="0.2">
      <c r="B220" s="80"/>
      <c r="C220" s="80"/>
      <c r="D220" s="80"/>
      <c r="E220" s="80"/>
      <c r="F220" s="81" t="str">
        <f>IF(E220="","",IFERROR(IF(INDEX('Dashboard Items'!$B$2:$B$497,MATCH(E220,'Dashboard Items'!$A$2:$A$497,0))="Objective","Objectives go in the next column",IF(OR(D220="",INDEX('Dashboard Items'!$B$2:$B$497,MATCH(E220,'Dashboard Items'!$A$2:$A$497,0))=D220),INDEX('Dashboard Items'!$C$2:$C$497,MATCH(E220,'Dashboard Items'!$A$2:$A$497,0)),"Level does not match ID")),"ID not found"))</f>
        <v/>
      </c>
      <c r="G220" s="82"/>
      <c r="H220" s="81" t="str">
        <f>IF(G220="","",IF(ISNUMBER(SEARCH(",",G220)),"Several items (the script lists them)",IFERROR(INDEX('Dashboard Items'!$B$2:$B$497,MATCH(G220,'Dashboard Items'!$A$2:$A$497,0))&amp;": "&amp;INDEX('Dashboard Items'!$C$2:$C$497,MATCH(G220,'Dashboard Items'!$A$2:$A$497,0)),"ID not found")))</f>
        <v/>
      </c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</row>
    <row r="221" spans="2:20" x14ac:dyDescent="0.2">
      <c r="B221" s="80"/>
      <c r="C221" s="80"/>
      <c r="D221" s="80"/>
      <c r="E221" s="80"/>
      <c r="F221" s="81" t="str">
        <f>IF(E221="","",IFERROR(IF(INDEX('Dashboard Items'!$B$2:$B$497,MATCH(E221,'Dashboard Items'!$A$2:$A$497,0))="Objective","Objectives go in the next column",IF(OR(D221="",INDEX('Dashboard Items'!$B$2:$B$497,MATCH(E221,'Dashboard Items'!$A$2:$A$497,0))=D221),INDEX('Dashboard Items'!$C$2:$C$497,MATCH(E221,'Dashboard Items'!$A$2:$A$497,0)),"Level does not match ID")),"ID not found"))</f>
        <v/>
      </c>
      <c r="G221" s="82"/>
      <c r="H221" s="81" t="str">
        <f>IF(G221="","",IF(ISNUMBER(SEARCH(",",G221)),"Several items (the script lists them)",IFERROR(INDEX('Dashboard Items'!$B$2:$B$497,MATCH(G221,'Dashboard Items'!$A$2:$A$497,0))&amp;": "&amp;INDEX('Dashboard Items'!$C$2:$C$497,MATCH(G221,'Dashboard Items'!$A$2:$A$497,0)),"ID not found")))</f>
        <v/>
      </c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</row>
    <row r="222" spans="2:20" x14ac:dyDescent="0.2">
      <c r="B222" s="80"/>
      <c r="C222" s="80"/>
      <c r="D222" s="80"/>
      <c r="E222" s="80"/>
      <c r="F222" s="81" t="str">
        <f>IF(E222="","",IFERROR(IF(INDEX('Dashboard Items'!$B$2:$B$497,MATCH(E222,'Dashboard Items'!$A$2:$A$497,0))="Objective","Objectives go in the next column",IF(OR(D222="",INDEX('Dashboard Items'!$B$2:$B$497,MATCH(E222,'Dashboard Items'!$A$2:$A$497,0))=D222),INDEX('Dashboard Items'!$C$2:$C$497,MATCH(E222,'Dashboard Items'!$A$2:$A$497,0)),"Level does not match ID")),"ID not found"))</f>
        <v/>
      </c>
      <c r="G222" s="82"/>
      <c r="H222" s="81" t="str">
        <f>IF(G222="","",IF(ISNUMBER(SEARCH(",",G222)),"Several items (the script lists them)",IFERROR(INDEX('Dashboard Items'!$B$2:$B$497,MATCH(G222,'Dashboard Items'!$A$2:$A$497,0))&amp;": "&amp;INDEX('Dashboard Items'!$C$2:$C$497,MATCH(G222,'Dashboard Items'!$A$2:$A$497,0)),"ID not found")))</f>
        <v/>
      </c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</row>
    <row r="223" spans="2:20" x14ac:dyDescent="0.2">
      <c r="B223" s="80"/>
      <c r="C223" s="80"/>
      <c r="D223" s="80"/>
      <c r="E223" s="80"/>
      <c r="F223" s="81" t="str">
        <f>IF(E223="","",IFERROR(IF(INDEX('Dashboard Items'!$B$2:$B$497,MATCH(E223,'Dashboard Items'!$A$2:$A$497,0))="Objective","Objectives go in the next column",IF(OR(D223="",INDEX('Dashboard Items'!$B$2:$B$497,MATCH(E223,'Dashboard Items'!$A$2:$A$497,0))=D223),INDEX('Dashboard Items'!$C$2:$C$497,MATCH(E223,'Dashboard Items'!$A$2:$A$497,0)),"Level does not match ID")),"ID not found"))</f>
        <v/>
      </c>
      <c r="G223" s="82"/>
      <c r="H223" s="81" t="str">
        <f>IF(G223="","",IF(ISNUMBER(SEARCH(",",G223)),"Several items (the script lists them)",IFERROR(INDEX('Dashboard Items'!$B$2:$B$497,MATCH(G223,'Dashboard Items'!$A$2:$A$497,0))&amp;": "&amp;INDEX('Dashboard Items'!$C$2:$C$497,MATCH(G223,'Dashboard Items'!$A$2:$A$497,0)),"ID not found")))</f>
        <v/>
      </c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</row>
    <row r="224" spans="2:20" x14ac:dyDescent="0.2">
      <c r="B224" s="80"/>
      <c r="C224" s="80"/>
      <c r="D224" s="80"/>
      <c r="E224" s="80"/>
      <c r="F224" s="81" t="str">
        <f>IF(E224="","",IFERROR(IF(INDEX('Dashboard Items'!$B$2:$B$497,MATCH(E224,'Dashboard Items'!$A$2:$A$497,0))="Objective","Objectives go in the next column",IF(OR(D224="",INDEX('Dashboard Items'!$B$2:$B$497,MATCH(E224,'Dashboard Items'!$A$2:$A$497,0))=D224),INDEX('Dashboard Items'!$C$2:$C$497,MATCH(E224,'Dashboard Items'!$A$2:$A$497,0)),"Level does not match ID")),"ID not found"))</f>
        <v/>
      </c>
      <c r="G224" s="82"/>
      <c r="H224" s="81" t="str">
        <f>IF(G224="","",IF(ISNUMBER(SEARCH(",",G224)),"Several items (the script lists them)",IFERROR(INDEX('Dashboard Items'!$B$2:$B$497,MATCH(G224,'Dashboard Items'!$A$2:$A$497,0))&amp;": "&amp;INDEX('Dashboard Items'!$C$2:$C$497,MATCH(G224,'Dashboard Items'!$A$2:$A$497,0)),"ID not found")))</f>
        <v/>
      </c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</row>
    <row r="225" spans="2:20" x14ac:dyDescent="0.2">
      <c r="B225" s="80"/>
      <c r="C225" s="80"/>
      <c r="D225" s="80"/>
      <c r="E225" s="80"/>
      <c r="F225" s="81" t="str">
        <f>IF(E225="","",IFERROR(IF(INDEX('Dashboard Items'!$B$2:$B$497,MATCH(E225,'Dashboard Items'!$A$2:$A$497,0))="Objective","Objectives go in the next column",IF(OR(D225="",INDEX('Dashboard Items'!$B$2:$B$497,MATCH(E225,'Dashboard Items'!$A$2:$A$497,0))=D225),INDEX('Dashboard Items'!$C$2:$C$497,MATCH(E225,'Dashboard Items'!$A$2:$A$497,0)),"Level does not match ID")),"ID not found"))</f>
        <v/>
      </c>
      <c r="G225" s="82"/>
      <c r="H225" s="81" t="str">
        <f>IF(G225="","",IF(ISNUMBER(SEARCH(",",G225)),"Several items (the script lists them)",IFERROR(INDEX('Dashboard Items'!$B$2:$B$497,MATCH(G225,'Dashboard Items'!$A$2:$A$497,0))&amp;": "&amp;INDEX('Dashboard Items'!$C$2:$C$497,MATCH(G225,'Dashboard Items'!$A$2:$A$497,0)),"ID not found")))</f>
        <v/>
      </c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</row>
    <row r="226" spans="2:20" x14ac:dyDescent="0.2">
      <c r="B226" s="80"/>
      <c r="C226" s="80"/>
      <c r="D226" s="80"/>
      <c r="E226" s="80"/>
      <c r="F226" s="81" t="str">
        <f>IF(E226="","",IFERROR(IF(INDEX('Dashboard Items'!$B$2:$B$497,MATCH(E226,'Dashboard Items'!$A$2:$A$497,0))="Objective","Objectives go in the next column",IF(OR(D226="",INDEX('Dashboard Items'!$B$2:$B$497,MATCH(E226,'Dashboard Items'!$A$2:$A$497,0))=D226),INDEX('Dashboard Items'!$C$2:$C$497,MATCH(E226,'Dashboard Items'!$A$2:$A$497,0)),"Level does not match ID")),"ID not found"))</f>
        <v/>
      </c>
      <c r="G226" s="82"/>
      <c r="H226" s="81" t="str">
        <f>IF(G226="","",IF(ISNUMBER(SEARCH(",",G226)),"Several items (the script lists them)",IFERROR(INDEX('Dashboard Items'!$B$2:$B$497,MATCH(G226,'Dashboard Items'!$A$2:$A$497,0))&amp;": "&amp;INDEX('Dashboard Items'!$C$2:$C$497,MATCH(G226,'Dashboard Items'!$A$2:$A$497,0)),"ID not found")))</f>
        <v/>
      </c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</row>
    <row r="227" spans="2:20" x14ac:dyDescent="0.2">
      <c r="B227" s="80"/>
      <c r="C227" s="80"/>
      <c r="D227" s="80"/>
      <c r="E227" s="80"/>
      <c r="F227" s="81" t="str">
        <f>IF(E227="","",IFERROR(IF(INDEX('Dashboard Items'!$B$2:$B$497,MATCH(E227,'Dashboard Items'!$A$2:$A$497,0))="Objective","Objectives go in the next column",IF(OR(D227="",INDEX('Dashboard Items'!$B$2:$B$497,MATCH(E227,'Dashboard Items'!$A$2:$A$497,0))=D227),INDEX('Dashboard Items'!$C$2:$C$497,MATCH(E227,'Dashboard Items'!$A$2:$A$497,0)),"Level does not match ID")),"ID not found"))</f>
        <v/>
      </c>
      <c r="G227" s="82"/>
      <c r="H227" s="81" t="str">
        <f>IF(G227="","",IF(ISNUMBER(SEARCH(",",G227)),"Several items (the script lists them)",IFERROR(INDEX('Dashboard Items'!$B$2:$B$497,MATCH(G227,'Dashboard Items'!$A$2:$A$497,0))&amp;": "&amp;INDEX('Dashboard Items'!$C$2:$C$497,MATCH(G227,'Dashboard Items'!$A$2:$A$497,0)),"ID not found")))</f>
        <v/>
      </c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</row>
    <row r="228" spans="2:20" x14ac:dyDescent="0.2">
      <c r="B228" s="80"/>
      <c r="C228" s="80"/>
      <c r="D228" s="80"/>
      <c r="E228" s="80"/>
      <c r="F228" s="81" t="str">
        <f>IF(E228="","",IFERROR(IF(INDEX('Dashboard Items'!$B$2:$B$497,MATCH(E228,'Dashboard Items'!$A$2:$A$497,0))="Objective","Objectives go in the next column",IF(OR(D228="",INDEX('Dashboard Items'!$B$2:$B$497,MATCH(E228,'Dashboard Items'!$A$2:$A$497,0))=D228),INDEX('Dashboard Items'!$C$2:$C$497,MATCH(E228,'Dashboard Items'!$A$2:$A$497,0)),"Level does not match ID")),"ID not found"))</f>
        <v/>
      </c>
      <c r="G228" s="82"/>
      <c r="H228" s="81" t="str">
        <f>IF(G228="","",IF(ISNUMBER(SEARCH(",",G228)),"Several items (the script lists them)",IFERROR(INDEX('Dashboard Items'!$B$2:$B$497,MATCH(G228,'Dashboard Items'!$A$2:$A$497,0))&amp;": "&amp;INDEX('Dashboard Items'!$C$2:$C$497,MATCH(G228,'Dashboard Items'!$A$2:$A$497,0)),"ID not found")))</f>
        <v/>
      </c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</row>
    <row r="229" spans="2:20" x14ac:dyDescent="0.2">
      <c r="B229" s="80"/>
      <c r="C229" s="80"/>
      <c r="D229" s="80"/>
      <c r="E229" s="80"/>
      <c r="F229" s="81" t="str">
        <f>IF(E229="","",IFERROR(IF(INDEX('Dashboard Items'!$B$2:$B$497,MATCH(E229,'Dashboard Items'!$A$2:$A$497,0))="Objective","Objectives go in the next column",IF(OR(D229="",INDEX('Dashboard Items'!$B$2:$B$497,MATCH(E229,'Dashboard Items'!$A$2:$A$497,0))=D229),INDEX('Dashboard Items'!$C$2:$C$497,MATCH(E229,'Dashboard Items'!$A$2:$A$497,0)),"Level does not match ID")),"ID not found"))</f>
        <v/>
      </c>
      <c r="G229" s="82"/>
      <c r="H229" s="81" t="str">
        <f>IF(G229="","",IF(ISNUMBER(SEARCH(",",G229)),"Several items (the script lists them)",IFERROR(INDEX('Dashboard Items'!$B$2:$B$497,MATCH(G229,'Dashboard Items'!$A$2:$A$497,0))&amp;": "&amp;INDEX('Dashboard Items'!$C$2:$C$497,MATCH(G229,'Dashboard Items'!$A$2:$A$497,0)),"ID not found")))</f>
        <v/>
      </c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</row>
    <row r="230" spans="2:20" x14ac:dyDescent="0.2">
      <c r="B230" s="80"/>
      <c r="C230" s="80"/>
      <c r="D230" s="80"/>
      <c r="E230" s="80"/>
      <c r="F230" s="81" t="str">
        <f>IF(E230="","",IFERROR(IF(INDEX('Dashboard Items'!$B$2:$B$497,MATCH(E230,'Dashboard Items'!$A$2:$A$497,0))="Objective","Objectives go in the next column",IF(OR(D230="",INDEX('Dashboard Items'!$B$2:$B$497,MATCH(E230,'Dashboard Items'!$A$2:$A$497,0))=D230),INDEX('Dashboard Items'!$C$2:$C$497,MATCH(E230,'Dashboard Items'!$A$2:$A$497,0)),"Level does not match ID")),"ID not found"))</f>
        <v/>
      </c>
      <c r="G230" s="82"/>
      <c r="H230" s="81" t="str">
        <f>IF(G230="","",IF(ISNUMBER(SEARCH(",",G230)),"Several items (the script lists them)",IFERROR(INDEX('Dashboard Items'!$B$2:$B$497,MATCH(G230,'Dashboard Items'!$A$2:$A$497,0))&amp;": "&amp;INDEX('Dashboard Items'!$C$2:$C$497,MATCH(G230,'Dashboard Items'!$A$2:$A$497,0)),"ID not found")))</f>
        <v/>
      </c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</row>
    <row r="231" spans="2:20" x14ac:dyDescent="0.2">
      <c r="B231" s="80"/>
      <c r="C231" s="80"/>
      <c r="D231" s="80"/>
      <c r="E231" s="80"/>
      <c r="F231" s="81" t="str">
        <f>IF(E231="","",IFERROR(IF(INDEX('Dashboard Items'!$B$2:$B$497,MATCH(E231,'Dashboard Items'!$A$2:$A$497,0))="Objective","Objectives go in the next column",IF(OR(D231="",INDEX('Dashboard Items'!$B$2:$B$497,MATCH(E231,'Dashboard Items'!$A$2:$A$497,0))=D231),INDEX('Dashboard Items'!$C$2:$C$497,MATCH(E231,'Dashboard Items'!$A$2:$A$497,0)),"Level does not match ID")),"ID not found"))</f>
        <v/>
      </c>
      <c r="G231" s="82"/>
      <c r="H231" s="81" t="str">
        <f>IF(G231="","",IF(ISNUMBER(SEARCH(",",G231)),"Several items (the script lists them)",IFERROR(INDEX('Dashboard Items'!$B$2:$B$497,MATCH(G231,'Dashboard Items'!$A$2:$A$497,0))&amp;": "&amp;INDEX('Dashboard Items'!$C$2:$C$497,MATCH(G231,'Dashboard Items'!$A$2:$A$497,0)),"ID not found")))</f>
        <v/>
      </c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</row>
    <row r="232" spans="2:20" x14ac:dyDescent="0.2">
      <c r="B232" s="80"/>
      <c r="C232" s="80"/>
      <c r="D232" s="80"/>
      <c r="E232" s="80"/>
      <c r="F232" s="81" t="str">
        <f>IF(E232="","",IFERROR(IF(INDEX('Dashboard Items'!$B$2:$B$497,MATCH(E232,'Dashboard Items'!$A$2:$A$497,0))="Objective","Objectives go in the next column",IF(OR(D232="",INDEX('Dashboard Items'!$B$2:$B$497,MATCH(E232,'Dashboard Items'!$A$2:$A$497,0))=D232),INDEX('Dashboard Items'!$C$2:$C$497,MATCH(E232,'Dashboard Items'!$A$2:$A$497,0)),"Level does not match ID")),"ID not found"))</f>
        <v/>
      </c>
      <c r="G232" s="82"/>
      <c r="H232" s="81" t="str">
        <f>IF(G232="","",IF(ISNUMBER(SEARCH(",",G232)),"Several items (the script lists them)",IFERROR(INDEX('Dashboard Items'!$B$2:$B$497,MATCH(G232,'Dashboard Items'!$A$2:$A$497,0))&amp;": "&amp;INDEX('Dashboard Items'!$C$2:$C$497,MATCH(G232,'Dashboard Items'!$A$2:$A$497,0)),"ID not found")))</f>
        <v/>
      </c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</row>
    <row r="233" spans="2:20" x14ac:dyDescent="0.2">
      <c r="B233" s="80"/>
      <c r="C233" s="80"/>
      <c r="D233" s="80"/>
      <c r="E233" s="80"/>
      <c r="F233" s="81" t="str">
        <f>IF(E233="","",IFERROR(IF(INDEX('Dashboard Items'!$B$2:$B$497,MATCH(E233,'Dashboard Items'!$A$2:$A$497,0))="Objective","Objectives go in the next column",IF(OR(D233="",INDEX('Dashboard Items'!$B$2:$B$497,MATCH(E233,'Dashboard Items'!$A$2:$A$497,0))=D233),INDEX('Dashboard Items'!$C$2:$C$497,MATCH(E233,'Dashboard Items'!$A$2:$A$497,0)),"Level does not match ID")),"ID not found"))</f>
        <v/>
      </c>
      <c r="G233" s="82"/>
      <c r="H233" s="81" t="str">
        <f>IF(G233="","",IF(ISNUMBER(SEARCH(",",G233)),"Several items (the script lists them)",IFERROR(INDEX('Dashboard Items'!$B$2:$B$497,MATCH(G233,'Dashboard Items'!$A$2:$A$497,0))&amp;": "&amp;INDEX('Dashboard Items'!$C$2:$C$497,MATCH(G233,'Dashboard Items'!$A$2:$A$497,0)),"ID not found")))</f>
        <v/>
      </c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</row>
    <row r="234" spans="2:20" x14ac:dyDescent="0.2">
      <c r="B234" s="80"/>
      <c r="C234" s="80"/>
      <c r="D234" s="80"/>
      <c r="E234" s="80"/>
      <c r="F234" s="81" t="str">
        <f>IF(E234="","",IFERROR(IF(INDEX('Dashboard Items'!$B$2:$B$497,MATCH(E234,'Dashboard Items'!$A$2:$A$497,0))="Objective","Objectives go in the next column",IF(OR(D234="",INDEX('Dashboard Items'!$B$2:$B$497,MATCH(E234,'Dashboard Items'!$A$2:$A$497,0))=D234),INDEX('Dashboard Items'!$C$2:$C$497,MATCH(E234,'Dashboard Items'!$A$2:$A$497,0)),"Level does not match ID")),"ID not found"))</f>
        <v/>
      </c>
      <c r="G234" s="82"/>
      <c r="H234" s="81" t="str">
        <f>IF(G234="","",IF(ISNUMBER(SEARCH(",",G234)),"Several items (the script lists them)",IFERROR(INDEX('Dashboard Items'!$B$2:$B$497,MATCH(G234,'Dashboard Items'!$A$2:$A$497,0))&amp;": "&amp;INDEX('Dashboard Items'!$C$2:$C$497,MATCH(G234,'Dashboard Items'!$A$2:$A$497,0)),"ID not found")))</f>
        <v/>
      </c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</row>
    <row r="235" spans="2:20" x14ac:dyDescent="0.2">
      <c r="B235" s="80"/>
      <c r="C235" s="80"/>
      <c r="D235" s="80"/>
      <c r="E235" s="80"/>
      <c r="F235" s="81" t="str">
        <f>IF(E235="","",IFERROR(IF(INDEX('Dashboard Items'!$B$2:$B$497,MATCH(E235,'Dashboard Items'!$A$2:$A$497,0))="Objective","Objectives go in the next column",IF(OR(D235="",INDEX('Dashboard Items'!$B$2:$B$497,MATCH(E235,'Dashboard Items'!$A$2:$A$497,0))=D235),INDEX('Dashboard Items'!$C$2:$C$497,MATCH(E235,'Dashboard Items'!$A$2:$A$497,0)),"Level does not match ID")),"ID not found"))</f>
        <v/>
      </c>
      <c r="G235" s="82"/>
      <c r="H235" s="81" t="str">
        <f>IF(G235="","",IF(ISNUMBER(SEARCH(",",G235)),"Several items (the script lists them)",IFERROR(INDEX('Dashboard Items'!$B$2:$B$497,MATCH(G235,'Dashboard Items'!$A$2:$A$497,0))&amp;": "&amp;INDEX('Dashboard Items'!$C$2:$C$497,MATCH(G235,'Dashboard Items'!$A$2:$A$497,0)),"ID not found")))</f>
        <v/>
      </c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</row>
    <row r="236" spans="2:20" x14ac:dyDescent="0.2">
      <c r="B236" s="80"/>
      <c r="C236" s="80"/>
      <c r="D236" s="80"/>
      <c r="E236" s="80"/>
      <c r="F236" s="81" t="str">
        <f>IF(E236="","",IFERROR(IF(INDEX('Dashboard Items'!$B$2:$B$497,MATCH(E236,'Dashboard Items'!$A$2:$A$497,0))="Objective","Objectives go in the next column",IF(OR(D236="",INDEX('Dashboard Items'!$B$2:$B$497,MATCH(E236,'Dashboard Items'!$A$2:$A$497,0))=D236),INDEX('Dashboard Items'!$C$2:$C$497,MATCH(E236,'Dashboard Items'!$A$2:$A$497,0)),"Level does not match ID")),"ID not found"))</f>
        <v/>
      </c>
      <c r="G236" s="82"/>
      <c r="H236" s="81" t="str">
        <f>IF(G236="","",IF(ISNUMBER(SEARCH(",",G236)),"Several items (the script lists them)",IFERROR(INDEX('Dashboard Items'!$B$2:$B$497,MATCH(G236,'Dashboard Items'!$A$2:$A$497,0))&amp;": "&amp;INDEX('Dashboard Items'!$C$2:$C$497,MATCH(G236,'Dashboard Items'!$A$2:$A$497,0)),"ID not found")))</f>
        <v/>
      </c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</row>
    <row r="237" spans="2:20" x14ac:dyDescent="0.2">
      <c r="B237" s="80"/>
      <c r="C237" s="80"/>
      <c r="D237" s="80"/>
      <c r="E237" s="80"/>
      <c r="F237" s="81" t="str">
        <f>IF(E237="","",IFERROR(IF(INDEX('Dashboard Items'!$B$2:$B$497,MATCH(E237,'Dashboard Items'!$A$2:$A$497,0))="Objective","Objectives go in the next column",IF(OR(D237="",INDEX('Dashboard Items'!$B$2:$B$497,MATCH(E237,'Dashboard Items'!$A$2:$A$497,0))=D237),INDEX('Dashboard Items'!$C$2:$C$497,MATCH(E237,'Dashboard Items'!$A$2:$A$497,0)),"Level does not match ID")),"ID not found"))</f>
        <v/>
      </c>
      <c r="G237" s="82"/>
      <c r="H237" s="81" t="str">
        <f>IF(G237="","",IF(ISNUMBER(SEARCH(",",G237)),"Several items (the script lists them)",IFERROR(INDEX('Dashboard Items'!$B$2:$B$497,MATCH(G237,'Dashboard Items'!$A$2:$A$497,0))&amp;": "&amp;INDEX('Dashboard Items'!$C$2:$C$497,MATCH(G237,'Dashboard Items'!$A$2:$A$497,0)),"ID not found")))</f>
        <v/>
      </c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</row>
    <row r="238" spans="2:20" x14ac:dyDescent="0.2">
      <c r="B238" s="80"/>
      <c r="C238" s="80"/>
      <c r="D238" s="80"/>
      <c r="E238" s="80"/>
      <c r="F238" s="81" t="str">
        <f>IF(E238="","",IFERROR(IF(INDEX('Dashboard Items'!$B$2:$B$497,MATCH(E238,'Dashboard Items'!$A$2:$A$497,0))="Objective","Objectives go in the next column",IF(OR(D238="",INDEX('Dashboard Items'!$B$2:$B$497,MATCH(E238,'Dashboard Items'!$A$2:$A$497,0))=D238),INDEX('Dashboard Items'!$C$2:$C$497,MATCH(E238,'Dashboard Items'!$A$2:$A$497,0)),"Level does not match ID")),"ID not found"))</f>
        <v/>
      </c>
      <c r="G238" s="82"/>
      <c r="H238" s="81" t="str">
        <f>IF(G238="","",IF(ISNUMBER(SEARCH(",",G238)),"Several items (the script lists them)",IFERROR(INDEX('Dashboard Items'!$B$2:$B$497,MATCH(G238,'Dashboard Items'!$A$2:$A$497,0))&amp;": "&amp;INDEX('Dashboard Items'!$C$2:$C$497,MATCH(G238,'Dashboard Items'!$A$2:$A$497,0)),"ID not found")))</f>
        <v/>
      </c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</row>
    <row r="239" spans="2:20" x14ac:dyDescent="0.2">
      <c r="B239" s="80"/>
      <c r="C239" s="80"/>
      <c r="D239" s="80"/>
      <c r="E239" s="80"/>
      <c r="F239" s="81" t="str">
        <f>IF(E239="","",IFERROR(IF(INDEX('Dashboard Items'!$B$2:$B$497,MATCH(E239,'Dashboard Items'!$A$2:$A$497,0))="Objective","Objectives go in the next column",IF(OR(D239="",INDEX('Dashboard Items'!$B$2:$B$497,MATCH(E239,'Dashboard Items'!$A$2:$A$497,0))=D239),INDEX('Dashboard Items'!$C$2:$C$497,MATCH(E239,'Dashboard Items'!$A$2:$A$497,0)),"Level does not match ID")),"ID not found"))</f>
        <v/>
      </c>
      <c r="G239" s="82"/>
      <c r="H239" s="81" t="str">
        <f>IF(G239="","",IF(ISNUMBER(SEARCH(",",G239)),"Several items (the script lists them)",IFERROR(INDEX('Dashboard Items'!$B$2:$B$497,MATCH(G239,'Dashboard Items'!$A$2:$A$497,0))&amp;": "&amp;INDEX('Dashboard Items'!$C$2:$C$497,MATCH(G239,'Dashboard Items'!$A$2:$A$497,0)),"ID not found")))</f>
        <v/>
      </c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</row>
    <row r="240" spans="2:20" x14ac:dyDescent="0.2">
      <c r="B240" s="80"/>
      <c r="C240" s="80"/>
      <c r="D240" s="80"/>
      <c r="E240" s="80"/>
      <c r="F240" s="81" t="str">
        <f>IF(E240="","",IFERROR(IF(INDEX('Dashboard Items'!$B$2:$B$497,MATCH(E240,'Dashboard Items'!$A$2:$A$497,0))="Objective","Objectives go in the next column",IF(OR(D240="",INDEX('Dashboard Items'!$B$2:$B$497,MATCH(E240,'Dashboard Items'!$A$2:$A$497,0))=D240),INDEX('Dashboard Items'!$C$2:$C$497,MATCH(E240,'Dashboard Items'!$A$2:$A$497,0)),"Level does not match ID")),"ID not found"))</f>
        <v/>
      </c>
      <c r="G240" s="82"/>
      <c r="H240" s="81" t="str">
        <f>IF(G240="","",IF(ISNUMBER(SEARCH(",",G240)),"Several items (the script lists them)",IFERROR(INDEX('Dashboard Items'!$B$2:$B$497,MATCH(G240,'Dashboard Items'!$A$2:$A$497,0))&amp;": "&amp;INDEX('Dashboard Items'!$C$2:$C$497,MATCH(G240,'Dashboard Items'!$A$2:$A$497,0)),"ID not found")))</f>
        <v/>
      </c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</row>
    <row r="241" spans="2:20" x14ac:dyDescent="0.2">
      <c r="B241" s="80"/>
      <c r="C241" s="80"/>
      <c r="D241" s="80"/>
      <c r="E241" s="80"/>
      <c r="F241" s="81" t="str">
        <f>IF(E241="","",IFERROR(IF(INDEX('Dashboard Items'!$B$2:$B$497,MATCH(E241,'Dashboard Items'!$A$2:$A$497,0))="Objective","Objectives go in the next column",IF(OR(D241="",INDEX('Dashboard Items'!$B$2:$B$497,MATCH(E241,'Dashboard Items'!$A$2:$A$497,0))=D241),INDEX('Dashboard Items'!$C$2:$C$497,MATCH(E241,'Dashboard Items'!$A$2:$A$497,0)),"Level does not match ID")),"ID not found"))</f>
        <v/>
      </c>
      <c r="G241" s="82"/>
      <c r="H241" s="81" t="str">
        <f>IF(G241="","",IF(ISNUMBER(SEARCH(",",G241)),"Several items (the script lists them)",IFERROR(INDEX('Dashboard Items'!$B$2:$B$497,MATCH(G241,'Dashboard Items'!$A$2:$A$497,0))&amp;": "&amp;INDEX('Dashboard Items'!$C$2:$C$497,MATCH(G241,'Dashboard Items'!$A$2:$A$497,0)),"ID not found")))</f>
        <v/>
      </c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</row>
    <row r="242" spans="2:20" x14ac:dyDescent="0.2">
      <c r="B242" s="80"/>
      <c r="C242" s="80"/>
      <c r="D242" s="80"/>
      <c r="E242" s="80"/>
      <c r="F242" s="81" t="str">
        <f>IF(E242="","",IFERROR(IF(INDEX('Dashboard Items'!$B$2:$B$497,MATCH(E242,'Dashboard Items'!$A$2:$A$497,0))="Objective","Objectives go in the next column",IF(OR(D242="",INDEX('Dashboard Items'!$B$2:$B$497,MATCH(E242,'Dashboard Items'!$A$2:$A$497,0))=D242),INDEX('Dashboard Items'!$C$2:$C$497,MATCH(E242,'Dashboard Items'!$A$2:$A$497,0)),"Level does not match ID")),"ID not found"))</f>
        <v/>
      </c>
      <c r="G242" s="82"/>
      <c r="H242" s="81" t="str">
        <f>IF(G242="","",IF(ISNUMBER(SEARCH(",",G242)),"Several items (the script lists them)",IFERROR(INDEX('Dashboard Items'!$B$2:$B$497,MATCH(G242,'Dashboard Items'!$A$2:$A$497,0))&amp;": "&amp;INDEX('Dashboard Items'!$C$2:$C$497,MATCH(G242,'Dashboard Items'!$A$2:$A$497,0)),"ID not found")))</f>
        <v/>
      </c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</row>
    <row r="243" spans="2:20" x14ac:dyDescent="0.2">
      <c r="B243" s="80"/>
      <c r="C243" s="80"/>
      <c r="D243" s="80"/>
      <c r="E243" s="80"/>
      <c r="F243" s="81" t="str">
        <f>IF(E243="","",IFERROR(IF(INDEX('Dashboard Items'!$B$2:$B$497,MATCH(E243,'Dashboard Items'!$A$2:$A$497,0))="Objective","Objectives go in the next column",IF(OR(D243="",INDEX('Dashboard Items'!$B$2:$B$497,MATCH(E243,'Dashboard Items'!$A$2:$A$497,0))=D243),INDEX('Dashboard Items'!$C$2:$C$497,MATCH(E243,'Dashboard Items'!$A$2:$A$497,0)),"Level does not match ID")),"ID not found"))</f>
        <v/>
      </c>
      <c r="G243" s="82"/>
      <c r="H243" s="81" t="str">
        <f>IF(G243="","",IF(ISNUMBER(SEARCH(",",G243)),"Several items (the script lists them)",IFERROR(INDEX('Dashboard Items'!$B$2:$B$497,MATCH(G243,'Dashboard Items'!$A$2:$A$497,0))&amp;": "&amp;INDEX('Dashboard Items'!$C$2:$C$497,MATCH(G243,'Dashboard Items'!$A$2:$A$497,0)),"ID not found")))</f>
        <v/>
      </c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</row>
    <row r="244" spans="2:20" x14ac:dyDescent="0.2">
      <c r="B244" s="80"/>
      <c r="C244" s="80"/>
      <c r="D244" s="80"/>
      <c r="E244" s="80"/>
      <c r="F244" s="81" t="str">
        <f>IF(E244="","",IFERROR(IF(INDEX('Dashboard Items'!$B$2:$B$497,MATCH(E244,'Dashboard Items'!$A$2:$A$497,0))="Objective","Objectives go in the next column",IF(OR(D244="",INDEX('Dashboard Items'!$B$2:$B$497,MATCH(E244,'Dashboard Items'!$A$2:$A$497,0))=D244),INDEX('Dashboard Items'!$C$2:$C$497,MATCH(E244,'Dashboard Items'!$A$2:$A$497,0)),"Level does not match ID")),"ID not found"))</f>
        <v/>
      </c>
      <c r="G244" s="82"/>
      <c r="H244" s="81" t="str">
        <f>IF(G244="","",IF(ISNUMBER(SEARCH(",",G244)),"Several items (the script lists them)",IFERROR(INDEX('Dashboard Items'!$B$2:$B$497,MATCH(G244,'Dashboard Items'!$A$2:$A$497,0))&amp;": "&amp;INDEX('Dashboard Items'!$C$2:$C$497,MATCH(G244,'Dashboard Items'!$A$2:$A$497,0)),"ID not found")))</f>
        <v/>
      </c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</row>
    <row r="245" spans="2:20" x14ac:dyDescent="0.2">
      <c r="B245" s="80"/>
      <c r="C245" s="80"/>
      <c r="D245" s="80"/>
      <c r="E245" s="80"/>
      <c r="F245" s="81" t="str">
        <f>IF(E245="","",IFERROR(IF(INDEX('Dashboard Items'!$B$2:$B$497,MATCH(E245,'Dashboard Items'!$A$2:$A$497,0))="Objective","Objectives go in the next column",IF(OR(D245="",INDEX('Dashboard Items'!$B$2:$B$497,MATCH(E245,'Dashboard Items'!$A$2:$A$497,0))=D245),INDEX('Dashboard Items'!$C$2:$C$497,MATCH(E245,'Dashboard Items'!$A$2:$A$497,0)),"Level does not match ID")),"ID not found"))</f>
        <v/>
      </c>
      <c r="G245" s="82"/>
      <c r="H245" s="81" t="str">
        <f>IF(G245="","",IF(ISNUMBER(SEARCH(",",G245)),"Several items (the script lists them)",IFERROR(INDEX('Dashboard Items'!$B$2:$B$497,MATCH(G245,'Dashboard Items'!$A$2:$A$497,0))&amp;": "&amp;INDEX('Dashboard Items'!$C$2:$C$497,MATCH(G245,'Dashboard Items'!$A$2:$A$497,0)),"ID not found")))</f>
        <v/>
      </c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</row>
    <row r="246" spans="2:20" x14ac:dyDescent="0.2">
      <c r="B246" s="80"/>
      <c r="C246" s="80"/>
      <c r="D246" s="80"/>
      <c r="E246" s="80"/>
      <c r="F246" s="81" t="str">
        <f>IF(E246="","",IFERROR(IF(INDEX('Dashboard Items'!$B$2:$B$497,MATCH(E246,'Dashboard Items'!$A$2:$A$497,0))="Objective","Objectives go in the next column",IF(OR(D246="",INDEX('Dashboard Items'!$B$2:$B$497,MATCH(E246,'Dashboard Items'!$A$2:$A$497,0))=D246),INDEX('Dashboard Items'!$C$2:$C$497,MATCH(E246,'Dashboard Items'!$A$2:$A$497,0)),"Level does not match ID")),"ID not found"))</f>
        <v/>
      </c>
      <c r="G246" s="82"/>
      <c r="H246" s="81" t="str">
        <f>IF(G246="","",IF(ISNUMBER(SEARCH(",",G246)),"Several items (the script lists them)",IFERROR(INDEX('Dashboard Items'!$B$2:$B$497,MATCH(G246,'Dashboard Items'!$A$2:$A$497,0))&amp;": "&amp;INDEX('Dashboard Items'!$C$2:$C$497,MATCH(G246,'Dashboard Items'!$A$2:$A$497,0)),"ID not found")))</f>
        <v/>
      </c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</row>
    <row r="247" spans="2:20" x14ac:dyDescent="0.2">
      <c r="B247" s="80"/>
      <c r="C247" s="80"/>
      <c r="D247" s="80"/>
      <c r="E247" s="80"/>
      <c r="F247" s="81" t="str">
        <f>IF(E247="","",IFERROR(IF(INDEX('Dashboard Items'!$B$2:$B$497,MATCH(E247,'Dashboard Items'!$A$2:$A$497,0))="Objective","Objectives go in the next column",IF(OR(D247="",INDEX('Dashboard Items'!$B$2:$B$497,MATCH(E247,'Dashboard Items'!$A$2:$A$497,0))=D247),INDEX('Dashboard Items'!$C$2:$C$497,MATCH(E247,'Dashboard Items'!$A$2:$A$497,0)),"Level does not match ID")),"ID not found"))</f>
        <v/>
      </c>
      <c r="G247" s="82"/>
      <c r="H247" s="81" t="str">
        <f>IF(G247="","",IF(ISNUMBER(SEARCH(",",G247)),"Several items (the script lists them)",IFERROR(INDEX('Dashboard Items'!$B$2:$B$497,MATCH(G247,'Dashboard Items'!$A$2:$A$497,0))&amp;": "&amp;INDEX('Dashboard Items'!$C$2:$C$497,MATCH(G247,'Dashboard Items'!$A$2:$A$497,0)),"ID not found")))</f>
        <v/>
      </c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</row>
    <row r="248" spans="2:20" x14ac:dyDescent="0.2">
      <c r="B248" s="80"/>
      <c r="C248" s="80"/>
      <c r="D248" s="80"/>
      <c r="E248" s="80"/>
      <c r="F248" s="81" t="str">
        <f>IF(E248="","",IFERROR(IF(INDEX('Dashboard Items'!$B$2:$B$497,MATCH(E248,'Dashboard Items'!$A$2:$A$497,0))="Objective","Objectives go in the next column",IF(OR(D248="",INDEX('Dashboard Items'!$B$2:$B$497,MATCH(E248,'Dashboard Items'!$A$2:$A$497,0))=D248),INDEX('Dashboard Items'!$C$2:$C$497,MATCH(E248,'Dashboard Items'!$A$2:$A$497,0)),"Level does not match ID")),"ID not found"))</f>
        <v/>
      </c>
      <c r="G248" s="82"/>
      <c r="H248" s="81" t="str">
        <f>IF(G248="","",IF(ISNUMBER(SEARCH(",",G248)),"Several items (the script lists them)",IFERROR(INDEX('Dashboard Items'!$B$2:$B$497,MATCH(G248,'Dashboard Items'!$A$2:$A$497,0))&amp;": "&amp;INDEX('Dashboard Items'!$C$2:$C$497,MATCH(G248,'Dashboard Items'!$A$2:$A$497,0)),"ID not found")))</f>
        <v/>
      </c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</row>
    <row r="249" spans="2:20" x14ac:dyDescent="0.2">
      <c r="B249" s="80"/>
      <c r="C249" s="80"/>
      <c r="D249" s="80"/>
      <c r="E249" s="80"/>
      <c r="F249" s="81" t="str">
        <f>IF(E249="","",IFERROR(IF(INDEX('Dashboard Items'!$B$2:$B$497,MATCH(E249,'Dashboard Items'!$A$2:$A$497,0))="Objective","Objectives go in the next column",IF(OR(D249="",INDEX('Dashboard Items'!$B$2:$B$497,MATCH(E249,'Dashboard Items'!$A$2:$A$497,0))=D249),INDEX('Dashboard Items'!$C$2:$C$497,MATCH(E249,'Dashboard Items'!$A$2:$A$497,0)),"Level does not match ID")),"ID not found"))</f>
        <v/>
      </c>
      <c r="G249" s="82"/>
      <c r="H249" s="81" t="str">
        <f>IF(G249="","",IF(ISNUMBER(SEARCH(",",G249)),"Several items (the script lists them)",IFERROR(INDEX('Dashboard Items'!$B$2:$B$497,MATCH(G249,'Dashboard Items'!$A$2:$A$497,0))&amp;": "&amp;INDEX('Dashboard Items'!$C$2:$C$497,MATCH(G249,'Dashboard Items'!$A$2:$A$497,0)),"ID not found")))</f>
        <v/>
      </c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</row>
    <row r="250" spans="2:20" x14ac:dyDescent="0.2">
      <c r="B250" s="80"/>
      <c r="C250" s="80"/>
      <c r="D250" s="80"/>
      <c r="E250" s="80"/>
      <c r="F250" s="81" t="str">
        <f>IF(E250="","",IFERROR(IF(INDEX('Dashboard Items'!$B$2:$B$497,MATCH(E250,'Dashboard Items'!$A$2:$A$497,0))="Objective","Objectives go in the next column",IF(OR(D250="",INDEX('Dashboard Items'!$B$2:$B$497,MATCH(E250,'Dashboard Items'!$A$2:$A$497,0))=D250),INDEX('Dashboard Items'!$C$2:$C$497,MATCH(E250,'Dashboard Items'!$A$2:$A$497,0)),"Level does not match ID")),"ID not found"))</f>
        <v/>
      </c>
      <c r="G250" s="82"/>
      <c r="H250" s="81" t="str">
        <f>IF(G250="","",IF(ISNUMBER(SEARCH(",",G250)),"Several items (the script lists them)",IFERROR(INDEX('Dashboard Items'!$B$2:$B$497,MATCH(G250,'Dashboard Items'!$A$2:$A$497,0))&amp;": "&amp;INDEX('Dashboard Items'!$C$2:$C$497,MATCH(G250,'Dashboard Items'!$A$2:$A$497,0)),"ID not found")))</f>
        <v/>
      </c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</row>
    <row r="251" spans="2:20" x14ac:dyDescent="0.2">
      <c r="B251" s="80"/>
      <c r="C251" s="80"/>
      <c r="D251" s="80"/>
      <c r="E251" s="80"/>
      <c r="F251" s="81" t="str">
        <f>IF(E251="","",IFERROR(IF(INDEX('Dashboard Items'!$B$2:$B$497,MATCH(E251,'Dashboard Items'!$A$2:$A$497,0))="Objective","Objectives go in the next column",IF(OR(D251="",INDEX('Dashboard Items'!$B$2:$B$497,MATCH(E251,'Dashboard Items'!$A$2:$A$497,0))=D251),INDEX('Dashboard Items'!$C$2:$C$497,MATCH(E251,'Dashboard Items'!$A$2:$A$497,0)),"Level does not match ID")),"ID not found"))</f>
        <v/>
      </c>
      <c r="G251" s="82"/>
      <c r="H251" s="81" t="str">
        <f>IF(G251="","",IF(ISNUMBER(SEARCH(",",G251)),"Several items (the script lists them)",IFERROR(INDEX('Dashboard Items'!$B$2:$B$497,MATCH(G251,'Dashboard Items'!$A$2:$A$497,0))&amp;": "&amp;INDEX('Dashboard Items'!$C$2:$C$497,MATCH(G251,'Dashboard Items'!$A$2:$A$497,0)),"ID not found")))</f>
        <v/>
      </c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</row>
    <row r="252" spans="2:20" x14ac:dyDescent="0.2">
      <c r="B252" s="80"/>
      <c r="C252" s="80"/>
      <c r="D252" s="80"/>
      <c r="E252" s="80"/>
      <c r="F252" s="81" t="str">
        <f>IF(E252="","",IFERROR(IF(INDEX('Dashboard Items'!$B$2:$B$497,MATCH(E252,'Dashboard Items'!$A$2:$A$497,0))="Objective","Objectives go in the next column",IF(OR(D252="",INDEX('Dashboard Items'!$B$2:$B$497,MATCH(E252,'Dashboard Items'!$A$2:$A$497,0))=D252),INDEX('Dashboard Items'!$C$2:$C$497,MATCH(E252,'Dashboard Items'!$A$2:$A$497,0)),"Level does not match ID")),"ID not found"))</f>
        <v/>
      </c>
      <c r="G252" s="82"/>
      <c r="H252" s="81" t="str">
        <f>IF(G252="","",IF(ISNUMBER(SEARCH(",",G252)),"Several items (the script lists them)",IFERROR(INDEX('Dashboard Items'!$B$2:$B$497,MATCH(G252,'Dashboard Items'!$A$2:$A$497,0))&amp;": "&amp;INDEX('Dashboard Items'!$C$2:$C$497,MATCH(G252,'Dashboard Items'!$A$2:$A$497,0)),"ID not found")))</f>
        <v/>
      </c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</row>
    <row r="253" spans="2:20" x14ac:dyDescent="0.2">
      <c r="B253" s="80"/>
      <c r="C253" s="80"/>
      <c r="D253" s="80"/>
      <c r="E253" s="80"/>
      <c r="F253" s="81" t="str">
        <f>IF(E253="","",IFERROR(IF(INDEX('Dashboard Items'!$B$2:$B$497,MATCH(E253,'Dashboard Items'!$A$2:$A$497,0))="Objective","Objectives go in the next column",IF(OR(D253="",INDEX('Dashboard Items'!$B$2:$B$497,MATCH(E253,'Dashboard Items'!$A$2:$A$497,0))=D253),INDEX('Dashboard Items'!$C$2:$C$497,MATCH(E253,'Dashboard Items'!$A$2:$A$497,0)),"Level does not match ID")),"ID not found"))</f>
        <v/>
      </c>
      <c r="G253" s="82"/>
      <c r="H253" s="81" t="str">
        <f>IF(G253="","",IF(ISNUMBER(SEARCH(",",G253)),"Several items (the script lists them)",IFERROR(INDEX('Dashboard Items'!$B$2:$B$497,MATCH(G253,'Dashboard Items'!$A$2:$A$497,0))&amp;": "&amp;INDEX('Dashboard Items'!$C$2:$C$497,MATCH(G253,'Dashboard Items'!$A$2:$A$497,0)),"ID not found")))</f>
        <v/>
      </c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</row>
    <row r="254" spans="2:20" x14ac:dyDescent="0.2">
      <c r="B254" s="80"/>
      <c r="C254" s="80"/>
      <c r="D254" s="80"/>
      <c r="E254" s="80"/>
      <c r="F254" s="81" t="str">
        <f>IF(E254="","",IFERROR(IF(INDEX('Dashboard Items'!$B$2:$B$497,MATCH(E254,'Dashboard Items'!$A$2:$A$497,0))="Objective","Objectives go in the next column",IF(OR(D254="",INDEX('Dashboard Items'!$B$2:$B$497,MATCH(E254,'Dashboard Items'!$A$2:$A$497,0))=D254),INDEX('Dashboard Items'!$C$2:$C$497,MATCH(E254,'Dashboard Items'!$A$2:$A$497,0)),"Level does not match ID")),"ID not found"))</f>
        <v/>
      </c>
      <c r="G254" s="82"/>
      <c r="H254" s="81" t="str">
        <f>IF(G254="","",IF(ISNUMBER(SEARCH(",",G254)),"Several items (the script lists them)",IFERROR(INDEX('Dashboard Items'!$B$2:$B$497,MATCH(G254,'Dashboard Items'!$A$2:$A$497,0))&amp;": "&amp;INDEX('Dashboard Items'!$C$2:$C$497,MATCH(G254,'Dashboard Items'!$A$2:$A$497,0)),"ID not found")))</f>
        <v/>
      </c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</row>
    <row r="255" spans="2:20" x14ac:dyDescent="0.2">
      <c r="B255" s="80"/>
      <c r="C255" s="80"/>
      <c r="D255" s="80"/>
      <c r="E255" s="80"/>
      <c r="F255" s="81" t="str">
        <f>IF(E255="","",IFERROR(IF(INDEX('Dashboard Items'!$B$2:$B$497,MATCH(E255,'Dashboard Items'!$A$2:$A$497,0))="Objective","Objectives go in the next column",IF(OR(D255="",INDEX('Dashboard Items'!$B$2:$B$497,MATCH(E255,'Dashboard Items'!$A$2:$A$497,0))=D255),INDEX('Dashboard Items'!$C$2:$C$497,MATCH(E255,'Dashboard Items'!$A$2:$A$497,0)),"Level does not match ID")),"ID not found"))</f>
        <v/>
      </c>
      <c r="G255" s="82"/>
      <c r="H255" s="81" t="str">
        <f>IF(G255="","",IF(ISNUMBER(SEARCH(",",G255)),"Several items (the script lists them)",IFERROR(INDEX('Dashboard Items'!$B$2:$B$497,MATCH(G255,'Dashboard Items'!$A$2:$A$497,0))&amp;": "&amp;INDEX('Dashboard Items'!$C$2:$C$497,MATCH(G255,'Dashboard Items'!$A$2:$A$497,0)),"ID not found")))</f>
        <v/>
      </c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</row>
    <row r="256" spans="2:20" x14ac:dyDescent="0.2">
      <c r="B256" s="80"/>
      <c r="C256" s="80"/>
      <c r="D256" s="80"/>
      <c r="E256" s="80"/>
      <c r="F256" s="81" t="str">
        <f>IF(E256="","",IFERROR(IF(INDEX('Dashboard Items'!$B$2:$B$497,MATCH(E256,'Dashboard Items'!$A$2:$A$497,0))="Objective","Objectives go in the next column",IF(OR(D256="",INDEX('Dashboard Items'!$B$2:$B$497,MATCH(E256,'Dashboard Items'!$A$2:$A$497,0))=D256),INDEX('Dashboard Items'!$C$2:$C$497,MATCH(E256,'Dashboard Items'!$A$2:$A$497,0)),"Level does not match ID")),"ID not found"))</f>
        <v/>
      </c>
      <c r="G256" s="82"/>
      <c r="H256" s="81" t="str">
        <f>IF(G256="","",IF(ISNUMBER(SEARCH(",",G256)),"Several items (the script lists them)",IFERROR(INDEX('Dashboard Items'!$B$2:$B$497,MATCH(G256,'Dashboard Items'!$A$2:$A$497,0))&amp;": "&amp;INDEX('Dashboard Items'!$C$2:$C$497,MATCH(G256,'Dashboard Items'!$A$2:$A$497,0)),"ID not found")))</f>
        <v/>
      </c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</row>
    <row r="257" spans="2:20" x14ac:dyDescent="0.2">
      <c r="B257" s="80"/>
      <c r="C257" s="80"/>
      <c r="D257" s="80"/>
      <c r="E257" s="80"/>
      <c r="F257" s="81" t="str">
        <f>IF(E257="","",IFERROR(IF(INDEX('Dashboard Items'!$B$2:$B$497,MATCH(E257,'Dashboard Items'!$A$2:$A$497,0))="Objective","Objectives go in the next column",IF(OR(D257="",INDEX('Dashboard Items'!$B$2:$B$497,MATCH(E257,'Dashboard Items'!$A$2:$A$497,0))=D257),INDEX('Dashboard Items'!$C$2:$C$497,MATCH(E257,'Dashboard Items'!$A$2:$A$497,0)),"Level does not match ID")),"ID not found"))</f>
        <v/>
      </c>
      <c r="G257" s="82"/>
      <c r="H257" s="81" t="str">
        <f>IF(G257="","",IF(ISNUMBER(SEARCH(",",G257)),"Several items (the script lists them)",IFERROR(INDEX('Dashboard Items'!$B$2:$B$497,MATCH(G257,'Dashboard Items'!$A$2:$A$497,0))&amp;": "&amp;INDEX('Dashboard Items'!$C$2:$C$497,MATCH(G257,'Dashboard Items'!$A$2:$A$497,0)),"ID not found")))</f>
        <v/>
      </c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</row>
    <row r="258" spans="2:20" x14ac:dyDescent="0.2">
      <c r="B258" s="80"/>
      <c r="C258" s="80"/>
      <c r="D258" s="80"/>
      <c r="E258" s="80"/>
      <c r="F258" s="81" t="str">
        <f>IF(E258="","",IFERROR(IF(INDEX('Dashboard Items'!$B$2:$B$497,MATCH(E258,'Dashboard Items'!$A$2:$A$497,0))="Objective","Objectives go in the next column",IF(OR(D258="",INDEX('Dashboard Items'!$B$2:$B$497,MATCH(E258,'Dashboard Items'!$A$2:$A$497,0))=D258),INDEX('Dashboard Items'!$C$2:$C$497,MATCH(E258,'Dashboard Items'!$A$2:$A$497,0)),"Level does not match ID")),"ID not found"))</f>
        <v/>
      </c>
      <c r="G258" s="82"/>
      <c r="H258" s="81" t="str">
        <f>IF(G258="","",IF(ISNUMBER(SEARCH(",",G258)),"Several items (the script lists them)",IFERROR(INDEX('Dashboard Items'!$B$2:$B$497,MATCH(G258,'Dashboard Items'!$A$2:$A$497,0))&amp;": "&amp;INDEX('Dashboard Items'!$C$2:$C$497,MATCH(G258,'Dashboard Items'!$A$2:$A$497,0)),"ID not found")))</f>
        <v/>
      </c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</row>
    <row r="259" spans="2:20" x14ac:dyDescent="0.2">
      <c r="B259" s="80"/>
      <c r="C259" s="80"/>
      <c r="D259" s="80"/>
      <c r="E259" s="80"/>
      <c r="F259" s="81" t="str">
        <f>IF(E259="","",IFERROR(IF(INDEX('Dashboard Items'!$B$2:$B$497,MATCH(E259,'Dashboard Items'!$A$2:$A$497,0))="Objective","Objectives go in the next column",IF(OR(D259="",INDEX('Dashboard Items'!$B$2:$B$497,MATCH(E259,'Dashboard Items'!$A$2:$A$497,0))=D259),INDEX('Dashboard Items'!$C$2:$C$497,MATCH(E259,'Dashboard Items'!$A$2:$A$497,0)),"Level does not match ID")),"ID not found"))</f>
        <v/>
      </c>
      <c r="G259" s="82"/>
      <c r="H259" s="81" t="str">
        <f>IF(G259="","",IF(ISNUMBER(SEARCH(",",G259)),"Several items (the script lists them)",IFERROR(INDEX('Dashboard Items'!$B$2:$B$497,MATCH(G259,'Dashboard Items'!$A$2:$A$497,0))&amp;": "&amp;INDEX('Dashboard Items'!$C$2:$C$497,MATCH(G259,'Dashboard Items'!$A$2:$A$497,0)),"ID not found")))</f>
        <v/>
      </c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</row>
    <row r="260" spans="2:20" x14ac:dyDescent="0.2">
      <c r="B260" s="80"/>
      <c r="C260" s="80"/>
      <c r="D260" s="80"/>
      <c r="E260" s="80"/>
      <c r="F260" s="81" t="str">
        <f>IF(E260="","",IFERROR(IF(INDEX('Dashboard Items'!$B$2:$B$497,MATCH(E260,'Dashboard Items'!$A$2:$A$497,0))="Objective","Objectives go in the next column",IF(OR(D260="",INDEX('Dashboard Items'!$B$2:$B$497,MATCH(E260,'Dashboard Items'!$A$2:$A$497,0))=D260),INDEX('Dashboard Items'!$C$2:$C$497,MATCH(E260,'Dashboard Items'!$A$2:$A$497,0)),"Level does not match ID")),"ID not found"))</f>
        <v/>
      </c>
      <c r="G260" s="82"/>
      <c r="H260" s="81" t="str">
        <f>IF(G260="","",IF(ISNUMBER(SEARCH(",",G260)),"Several items (the script lists them)",IFERROR(INDEX('Dashboard Items'!$B$2:$B$497,MATCH(G260,'Dashboard Items'!$A$2:$A$497,0))&amp;": "&amp;INDEX('Dashboard Items'!$C$2:$C$497,MATCH(G260,'Dashboard Items'!$A$2:$A$497,0)),"ID not found")))</f>
        <v/>
      </c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</row>
    <row r="261" spans="2:20" x14ac:dyDescent="0.2">
      <c r="B261" s="80"/>
      <c r="C261" s="80"/>
      <c r="D261" s="80"/>
      <c r="E261" s="80"/>
      <c r="F261" s="81" t="str">
        <f>IF(E261="","",IFERROR(IF(INDEX('Dashboard Items'!$B$2:$B$497,MATCH(E261,'Dashboard Items'!$A$2:$A$497,0))="Objective","Objectives go in the next column",IF(OR(D261="",INDEX('Dashboard Items'!$B$2:$B$497,MATCH(E261,'Dashboard Items'!$A$2:$A$497,0))=D261),INDEX('Dashboard Items'!$C$2:$C$497,MATCH(E261,'Dashboard Items'!$A$2:$A$497,0)),"Level does not match ID")),"ID not found"))</f>
        <v/>
      </c>
      <c r="G261" s="82"/>
      <c r="H261" s="81" t="str">
        <f>IF(G261="","",IF(ISNUMBER(SEARCH(",",G261)),"Several items (the script lists them)",IFERROR(INDEX('Dashboard Items'!$B$2:$B$497,MATCH(G261,'Dashboard Items'!$A$2:$A$497,0))&amp;": "&amp;INDEX('Dashboard Items'!$C$2:$C$497,MATCH(G261,'Dashboard Items'!$A$2:$A$497,0)),"ID not found")))</f>
        <v/>
      </c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</row>
    <row r="262" spans="2:20" x14ac:dyDescent="0.2">
      <c r="B262" s="80"/>
      <c r="C262" s="80"/>
      <c r="D262" s="80"/>
      <c r="E262" s="80"/>
      <c r="F262" s="81" t="str">
        <f>IF(E262="","",IFERROR(IF(INDEX('Dashboard Items'!$B$2:$B$497,MATCH(E262,'Dashboard Items'!$A$2:$A$497,0))="Objective","Objectives go in the next column",IF(OR(D262="",INDEX('Dashboard Items'!$B$2:$B$497,MATCH(E262,'Dashboard Items'!$A$2:$A$497,0))=D262),INDEX('Dashboard Items'!$C$2:$C$497,MATCH(E262,'Dashboard Items'!$A$2:$A$497,0)),"Level does not match ID")),"ID not found"))</f>
        <v/>
      </c>
      <c r="G262" s="82"/>
      <c r="H262" s="81" t="str">
        <f>IF(G262="","",IF(ISNUMBER(SEARCH(",",G262)),"Several items (the script lists them)",IFERROR(INDEX('Dashboard Items'!$B$2:$B$497,MATCH(G262,'Dashboard Items'!$A$2:$A$497,0))&amp;": "&amp;INDEX('Dashboard Items'!$C$2:$C$497,MATCH(G262,'Dashboard Items'!$A$2:$A$497,0)),"ID not found")))</f>
        <v/>
      </c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</row>
    <row r="263" spans="2:20" x14ac:dyDescent="0.2">
      <c r="B263" s="80"/>
      <c r="C263" s="80"/>
      <c r="D263" s="80"/>
      <c r="E263" s="80"/>
      <c r="F263" s="81" t="str">
        <f>IF(E263="","",IFERROR(IF(INDEX('Dashboard Items'!$B$2:$B$497,MATCH(E263,'Dashboard Items'!$A$2:$A$497,0))="Objective","Objectives go in the next column",IF(OR(D263="",INDEX('Dashboard Items'!$B$2:$B$497,MATCH(E263,'Dashboard Items'!$A$2:$A$497,0))=D263),INDEX('Dashboard Items'!$C$2:$C$497,MATCH(E263,'Dashboard Items'!$A$2:$A$497,0)),"Level does not match ID")),"ID not found"))</f>
        <v/>
      </c>
      <c r="G263" s="82"/>
      <c r="H263" s="81" t="str">
        <f>IF(G263="","",IF(ISNUMBER(SEARCH(",",G263)),"Several items (the script lists them)",IFERROR(INDEX('Dashboard Items'!$B$2:$B$497,MATCH(G263,'Dashboard Items'!$A$2:$A$497,0))&amp;": "&amp;INDEX('Dashboard Items'!$C$2:$C$497,MATCH(G263,'Dashboard Items'!$A$2:$A$497,0)),"ID not found")))</f>
        <v/>
      </c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</row>
    <row r="264" spans="2:20" x14ac:dyDescent="0.2">
      <c r="B264" s="80"/>
      <c r="C264" s="80"/>
      <c r="D264" s="80"/>
      <c r="E264" s="80"/>
      <c r="F264" s="81" t="str">
        <f>IF(E264="","",IFERROR(IF(INDEX('Dashboard Items'!$B$2:$B$497,MATCH(E264,'Dashboard Items'!$A$2:$A$497,0))="Objective","Objectives go in the next column",IF(OR(D264="",INDEX('Dashboard Items'!$B$2:$B$497,MATCH(E264,'Dashboard Items'!$A$2:$A$497,0))=D264),INDEX('Dashboard Items'!$C$2:$C$497,MATCH(E264,'Dashboard Items'!$A$2:$A$497,0)),"Level does not match ID")),"ID not found"))</f>
        <v/>
      </c>
      <c r="G264" s="82"/>
      <c r="H264" s="81" t="str">
        <f>IF(G264="","",IF(ISNUMBER(SEARCH(",",G264)),"Several items (the script lists them)",IFERROR(INDEX('Dashboard Items'!$B$2:$B$497,MATCH(G264,'Dashboard Items'!$A$2:$A$497,0))&amp;": "&amp;INDEX('Dashboard Items'!$C$2:$C$497,MATCH(G264,'Dashboard Items'!$A$2:$A$497,0)),"ID not found")))</f>
        <v/>
      </c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</row>
    <row r="265" spans="2:20" x14ac:dyDescent="0.2">
      <c r="B265" s="80"/>
      <c r="C265" s="80"/>
      <c r="D265" s="80"/>
      <c r="E265" s="80"/>
      <c r="F265" s="81" t="str">
        <f>IF(E265="","",IFERROR(IF(INDEX('Dashboard Items'!$B$2:$B$497,MATCH(E265,'Dashboard Items'!$A$2:$A$497,0))="Objective","Objectives go in the next column",IF(OR(D265="",INDEX('Dashboard Items'!$B$2:$B$497,MATCH(E265,'Dashboard Items'!$A$2:$A$497,0))=D265),INDEX('Dashboard Items'!$C$2:$C$497,MATCH(E265,'Dashboard Items'!$A$2:$A$497,0)),"Level does not match ID")),"ID not found"))</f>
        <v/>
      </c>
      <c r="G265" s="82"/>
      <c r="H265" s="81" t="str">
        <f>IF(G265="","",IF(ISNUMBER(SEARCH(",",G265)),"Several items (the script lists them)",IFERROR(INDEX('Dashboard Items'!$B$2:$B$497,MATCH(G265,'Dashboard Items'!$A$2:$A$497,0))&amp;": "&amp;INDEX('Dashboard Items'!$C$2:$C$497,MATCH(G265,'Dashboard Items'!$A$2:$A$497,0)),"ID not found")))</f>
        <v/>
      </c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</row>
    <row r="266" spans="2:20" x14ac:dyDescent="0.2">
      <c r="B266" s="80"/>
      <c r="C266" s="80"/>
      <c r="D266" s="80"/>
      <c r="E266" s="80"/>
      <c r="F266" s="81" t="str">
        <f>IF(E266="","",IFERROR(IF(INDEX('Dashboard Items'!$B$2:$B$497,MATCH(E266,'Dashboard Items'!$A$2:$A$497,0))="Objective","Objectives go in the next column",IF(OR(D266="",INDEX('Dashboard Items'!$B$2:$B$497,MATCH(E266,'Dashboard Items'!$A$2:$A$497,0))=D266),INDEX('Dashboard Items'!$C$2:$C$497,MATCH(E266,'Dashboard Items'!$A$2:$A$497,0)),"Level does not match ID")),"ID not found"))</f>
        <v/>
      </c>
      <c r="G266" s="82"/>
      <c r="H266" s="81" t="str">
        <f>IF(G266="","",IF(ISNUMBER(SEARCH(",",G266)),"Several items (the script lists them)",IFERROR(INDEX('Dashboard Items'!$B$2:$B$497,MATCH(G266,'Dashboard Items'!$A$2:$A$497,0))&amp;": "&amp;INDEX('Dashboard Items'!$C$2:$C$497,MATCH(G266,'Dashboard Items'!$A$2:$A$497,0)),"ID not found")))</f>
        <v/>
      </c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</row>
    <row r="267" spans="2:20" x14ac:dyDescent="0.2">
      <c r="B267" s="80"/>
      <c r="C267" s="80"/>
      <c r="D267" s="80"/>
      <c r="E267" s="80"/>
      <c r="F267" s="81" t="str">
        <f>IF(E267="","",IFERROR(IF(INDEX('Dashboard Items'!$B$2:$B$497,MATCH(E267,'Dashboard Items'!$A$2:$A$497,0))="Objective","Objectives go in the next column",IF(OR(D267="",INDEX('Dashboard Items'!$B$2:$B$497,MATCH(E267,'Dashboard Items'!$A$2:$A$497,0))=D267),INDEX('Dashboard Items'!$C$2:$C$497,MATCH(E267,'Dashboard Items'!$A$2:$A$497,0)),"Level does not match ID")),"ID not found"))</f>
        <v/>
      </c>
      <c r="G267" s="82"/>
      <c r="H267" s="81" t="str">
        <f>IF(G267="","",IF(ISNUMBER(SEARCH(",",G267)),"Several items (the script lists them)",IFERROR(INDEX('Dashboard Items'!$B$2:$B$497,MATCH(G267,'Dashboard Items'!$A$2:$A$497,0))&amp;": "&amp;INDEX('Dashboard Items'!$C$2:$C$497,MATCH(G267,'Dashboard Items'!$A$2:$A$497,0)),"ID not found")))</f>
        <v/>
      </c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</row>
    <row r="268" spans="2:20" x14ac:dyDescent="0.2">
      <c r="B268" s="80"/>
      <c r="C268" s="80"/>
      <c r="D268" s="80"/>
      <c r="E268" s="80"/>
      <c r="F268" s="81" t="str">
        <f>IF(E268="","",IFERROR(IF(INDEX('Dashboard Items'!$B$2:$B$497,MATCH(E268,'Dashboard Items'!$A$2:$A$497,0))="Objective","Objectives go in the next column",IF(OR(D268="",INDEX('Dashboard Items'!$B$2:$B$497,MATCH(E268,'Dashboard Items'!$A$2:$A$497,0))=D268),INDEX('Dashboard Items'!$C$2:$C$497,MATCH(E268,'Dashboard Items'!$A$2:$A$497,0)),"Level does not match ID")),"ID not found"))</f>
        <v/>
      </c>
      <c r="G268" s="82"/>
      <c r="H268" s="81" t="str">
        <f>IF(G268="","",IF(ISNUMBER(SEARCH(",",G268)),"Several items (the script lists them)",IFERROR(INDEX('Dashboard Items'!$B$2:$B$497,MATCH(G268,'Dashboard Items'!$A$2:$A$497,0))&amp;": "&amp;INDEX('Dashboard Items'!$C$2:$C$497,MATCH(G268,'Dashboard Items'!$A$2:$A$497,0)),"ID not found")))</f>
        <v/>
      </c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</row>
    <row r="269" spans="2:20" x14ac:dyDescent="0.2">
      <c r="B269" s="80"/>
      <c r="C269" s="80"/>
      <c r="D269" s="80"/>
      <c r="E269" s="80"/>
      <c r="F269" s="81" t="str">
        <f>IF(E269="","",IFERROR(IF(INDEX('Dashboard Items'!$B$2:$B$497,MATCH(E269,'Dashboard Items'!$A$2:$A$497,0))="Objective","Objectives go in the next column",IF(OR(D269="",INDEX('Dashboard Items'!$B$2:$B$497,MATCH(E269,'Dashboard Items'!$A$2:$A$497,0))=D269),INDEX('Dashboard Items'!$C$2:$C$497,MATCH(E269,'Dashboard Items'!$A$2:$A$497,0)),"Level does not match ID")),"ID not found"))</f>
        <v/>
      </c>
      <c r="G269" s="82"/>
      <c r="H269" s="81" t="str">
        <f>IF(G269="","",IF(ISNUMBER(SEARCH(",",G269)),"Several items (the script lists them)",IFERROR(INDEX('Dashboard Items'!$B$2:$B$497,MATCH(G269,'Dashboard Items'!$A$2:$A$497,0))&amp;": "&amp;INDEX('Dashboard Items'!$C$2:$C$497,MATCH(G269,'Dashboard Items'!$A$2:$A$497,0)),"ID not found")))</f>
        <v/>
      </c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</row>
    <row r="270" spans="2:20" x14ac:dyDescent="0.2">
      <c r="B270" s="80"/>
      <c r="C270" s="80"/>
      <c r="D270" s="80"/>
      <c r="E270" s="80"/>
      <c r="F270" s="81" t="str">
        <f>IF(E270="","",IFERROR(IF(INDEX('Dashboard Items'!$B$2:$B$497,MATCH(E270,'Dashboard Items'!$A$2:$A$497,0))="Objective","Objectives go in the next column",IF(OR(D270="",INDEX('Dashboard Items'!$B$2:$B$497,MATCH(E270,'Dashboard Items'!$A$2:$A$497,0))=D270),INDEX('Dashboard Items'!$C$2:$C$497,MATCH(E270,'Dashboard Items'!$A$2:$A$497,0)),"Level does not match ID")),"ID not found"))</f>
        <v/>
      </c>
      <c r="G270" s="82"/>
      <c r="H270" s="81" t="str">
        <f>IF(G270="","",IF(ISNUMBER(SEARCH(",",G270)),"Several items (the script lists them)",IFERROR(INDEX('Dashboard Items'!$B$2:$B$497,MATCH(G270,'Dashboard Items'!$A$2:$A$497,0))&amp;": "&amp;INDEX('Dashboard Items'!$C$2:$C$497,MATCH(G270,'Dashboard Items'!$A$2:$A$497,0)),"ID not found")))</f>
        <v/>
      </c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</row>
    <row r="271" spans="2:20" x14ac:dyDescent="0.2">
      <c r="B271" s="80"/>
      <c r="C271" s="80"/>
      <c r="D271" s="80"/>
      <c r="E271" s="80"/>
      <c r="F271" s="81" t="str">
        <f>IF(E271="","",IFERROR(IF(INDEX('Dashboard Items'!$B$2:$B$497,MATCH(E271,'Dashboard Items'!$A$2:$A$497,0))="Objective","Objectives go in the next column",IF(OR(D271="",INDEX('Dashboard Items'!$B$2:$B$497,MATCH(E271,'Dashboard Items'!$A$2:$A$497,0))=D271),INDEX('Dashboard Items'!$C$2:$C$497,MATCH(E271,'Dashboard Items'!$A$2:$A$497,0)),"Level does not match ID")),"ID not found"))</f>
        <v/>
      </c>
      <c r="G271" s="82"/>
      <c r="H271" s="81" t="str">
        <f>IF(G271="","",IF(ISNUMBER(SEARCH(",",G271)),"Several items (the script lists them)",IFERROR(INDEX('Dashboard Items'!$B$2:$B$497,MATCH(G271,'Dashboard Items'!$A$2:$A$497,0))&amp;": "&amp;INDEX('Dashboard Items'!$C$2:$C$497,MATCH(G271,'Dashboard Items'!$A$2:$A$497,0)),"ID not found")))</f>
        <v/>
      </c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</row>
    <row r="272" spans="2:20" x14ac:dyDescent="0.2">
      <c r="B272" s="80"/>
      <c r="C272" s="80"/>
      <c r="D272" s="80"/>
      <c r="E272" s="80"/>
      <c r="F272" s="81" t="str">
        <f>IF(E272="","",IFERROR(IF(INDEX('Dashboard Items'!$B$2:$B$497,MATCH(E272,'Dashboard Items'!$A$2:$A$497,0))="Objective","Objectives go in the next column",IF(OR(D272="",INDEX('Dashboard Items'!$B$2:$B$497,MATCH(E272,'Dashboard Items'!$A$2:$A$497,0))=D272),INDEX('Dashboard Items'!$C$2:$C$497,MATCH(E272,'Dashboard Items'!$A$2:$A$497,0)),"Level does not match ID")),"ID not found"))</f>
        <v/>
      </c>
      <c r="G272" s="82"/>
      <c r="H272" s="81" t="str">
        <f>IF(G272="","",IF(ISNUMBER(SEARCH(",",G272)),"Several items (the script lists them)",IFERROR(INDEX('Dashboard Items'!$B$2:$B$497,MATCH(G272,'Dashboard Items'!$A$2:$A$497,0))&amp;": "&amp;INDEX('Dashboard Items'!$C$2:$C$497,MATCH(G272,'Dashboard Items'!$A$2:$A$497,0)),"ID not found")))</f>
        <v/>
      </c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</row>
    <row r="273" spans="2:20" x14ac:dyDescent="0.2">
      <c r="B273" s="80"/>
      <c r="C273" s="80"/>
      <c r="D273" s="80"/>
      <c r="E273" s="80"/>
      <c r="F273" s="81" t="str">
        <f>IF(E273="","",IFERROR(IF(INDEX('Dashboard Items'!$B$2:$B$497,MATCH(E273,'Dashboard Items'!$A$2:$A$497,0))="Objective","Objectives go in the next column",IF(OR(D273="",INDEX('Dashboard Items'!$B$2:$B$497,MATCH(E273,'Dashboard Items'!$A$2:$A$497,0))=D273),INDEX('Dashboard Items'!$C$2:$C$497,MATCH(E273,'Dashboard Items'!$A$2:$A$497,0)),"Level does not match ID")),"ID not found"))</f>
        <v/>
      </c>
      <c r="G273" s="82"/>
      <c r="H273" s="81" t="str">
        <f>IF(G273="","",IF(ISNUMBER(SEARCH(",",G273)),"Several items (the script lists them)",IFERROR(INDEX('Dashboard Items'!$B$2:$B$497,MATCH(G273,'Dashboard Items'!$A$2:$A$497,0))&amp;": "&amp;INDEX('Dashboard Items'!$C$2:$C$497,MATCH(G273,'Dashboard Items'!$A$2:$A$497,0)),"ID not found")))</f>
        <v/>
      </c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</row>
    <row r="274" spans="2:20" x14ac:dyDescent="0.2">
      <c r="B274" s="80"/>
      <c r="C274" s="80"/>
      <c r="D274" s="80"/>
      <c r="E274" s="80"/>
      <c r="F274" s="81" t="str">
        <f>IF(E274="","",IFERROR(IF(INDEX('Dashboard Items'!$B$2:$B$497,MATCH(E274,'Dashboard Items'!$A$2:$A$497,0))="Objective","Objectives go in the next column",IF(OR(D274="",INDEX('Dashboard Items'!$B$2:$B$497,MATCH(E274,'Dashboard Items'!$A$2:$A$497,0))=D274),INDEX('Dashboard Items'!$C$2:$C$497,MATCH(E274,'Dashboard Items'!$A$2:$A$497,0)),"Level does not match ID")),"ID not found"))</f>
        <v/>
      </c>
      <c r="G274" s="82"/>
      <c r="H274" s="81" t="str">
        <f>IF(G274="","",IF(ISNUMBER(SEARCH(",",G274)),"Several items (the script lists them)",IFERROR(INDEX('Dashboard Items'!$B$2:$B$497,MATCH(G274,'Dashboard Items'!$A$2:$A$497,0))&amp;": "&amp;INDEX('Dashboard Items'!$C$2:$C$497,MATCH(G274,'Dashboard Items'!$A$2:$A$497,0)),"ID not found")))</f>
        <v/>
      </c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</row>
    <row r="275" spans="2:20" x14ac:dyDescent="0.2">
      <c r="B275" s="80"/>
      <c r="C275" s="80"/>
      <c r="D275" s="80"/>
      <c r="E275" s="80"/>
      <c r="F275" s="81" t="str">
        <f>IF(E275="","",IFERROR(IF(INDEX('Dashboard Items'!$B$2:$B$497,MATCH(E275,'Dashboard Items'!$A$2:$A$497,0))="Objective","Objectives go in the next column",IF(OR(D275="",INDEX('Dashboard Items'!$B$2:$B$497,MATCH(E275,'Dashboard Items'!$A$2:$A$497,0))=D275),INDEX('Dashboard Items'!$C$2:$C$497,MATCH(E275,'Dashboard Items'!$A$2:$A$497,0)),"Level does not match ID")),"ID not found"))</f>
        <v/>
      </c>
      <c r="G275" s="82"/>
      <c r="H275" s="81" t="str">
        <f>IF(G275="","",IF(ISNUMBER(SEARCH(",",G275)),"Several items (the script lists them)",IFERROR(INDEX('Dashboard Items'!$B$2:$B$497,MATCH(G275,'Dashboard Items'!$A$2:$A$497,0))&amp;": "&amp;INDEX('Dashboard Items'!$C$2:$C$497,MATCH(G275,'Dashboard Items'!$A$2:$A$497,0)),"ID not found")))</f>
        <v/>
      </c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</row>
    <row r="276" spans="2:20" x14ac:dyDescent="0.2">
      <c r="B276" s="80"/>
      <c r="C276" s="80"/>
      <c r="D276" s="80"/>
      <c r="E276" s="80"/>
      <c r="F276" s="81" t="str">
        <f>IF(E276="","",IFERROR(IF(INDEX('Dashboard Items'!$B$2:$B$497,MATCH(E276,'Dashboard Items'!$A$2:$A$497,0))="Objective","Objectives go in the next column",IF(OR(D276="",INDEX('Dashboard Items'!$B$2:$B$497,MATCH(E276,'Dashboard Items'!$A$2:$A$497,0))=D276),INDEX('Dashboard Items'!$C$2:$C$497,MATCH(E276,'Dashboard Items'!$A$2:$A$497,0)),"Level does not match ID")),"ID not found"))</f>
        <v/>
      </c>
      <c r="G276" s="82"/>
      <c r="H276" s="81" t="str">
        <f>IF(G276="","",IF(ISNUMBER(SEARCH(",",G276)),"Several items (the script lists them)",IFERROR(INDEX('Dashboard Items'!$B$2:$B$497,MATCH(G276,'Dashboard Items'!$A$2:$A$497,0))&amp;": "&amp;INDEX('Dashboard Items'!$C$2:$C$497,MATCH(G276,'Dashboard Items'!$A$2:$A$497,0)),"ID not found")))</f>
        <v/>
      </c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</row>
    <row r="277" spans="2:20" x14ac:dyDescent="0.2">
      <c r="B277" s="80"/>
      <c r="C277" s="80"/>
      <c r="D277" s="80"/>
      <c r="E277" s="80"/>
      <c r="F277" s="81" t="str">
        <f>IF(E277="","",IFERROR(IF(INDEX('Dashboard Items'!$B$2:$B$497,MATCH(E277,'Dashboard Items'!$A$2:$A$497,0))="Objective","Objectives go in the next column",IF(OR(D277="",INDEX('Dashboard Items'!$B$2:$B$497,MATCH(E277,'Dashboard Items'!$A$2:$A$497,0))=D277),INDEX('Dashboard Items'!$C$2:$C$497,MATCH(E277,'Dashboard Items'!$A$2:$A$497,0)),"Level does not match ID")),"ID not found"))</f>
        <v/>
      </c>
      <c r="G277" s="82"/>
      <c r="H277" s="81" t="str">
        <f>IF(G277="","",IF(ISNUMBER(SEARCH(",",G277)),"Several items (the script lists them)",IFERROR(INDEX('Dashboard Items'!$B$2:$B$497,MATCH(G277,'Dashboard Items'!$A$2:$A$497,0))&amp;": "&amp;INDEX('Dashboard Items'!$C$2:$C$497,MATCH(G277,'Dashboard Items'!$A$2:$A$497,0)),"ID not found")))</f>
        <v/>
      </c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</row>
    <row r="278" spans="2:20" x14ac:dyDescent="0.2">
      <c r="B278" s="80"/>
      <c r="C278" s="80"/>
      <c r="D278" s="80"/>
      <c r="E278" s="80"/>
      <c r="F278" s="81" t="str">
        <f>IF(E278="","",IFERROR(IF(INDEX('Dashboard Items'!$B$2:$B$497,MATCH(E278,'Dashboard Items'!$A$2:$A$497,0))="Objective","Objectives go in the next column",IF(OR(D278="",INDEX('Dashboard Items'!$B$2:$B$497,MATCH(E278,'Dashboard Items'!$A$2:$A$497,0))=D278),INDEX('Dashboard Items'!$C$2:$C$497,MATCH(E278,'Dashboard Items'!$A$2:$A$497,0)),"Level does not match ID")),"ID not found"))</f>
        <v/>
      </c>
      <c r="G278" s="82"/>
      <c r="H278" s="81" t="str">
        <f>IF(G278="","",IF(ISNUMBER(SEARCH(",",G278)),"Several items (the script lists them)",IFERROR(INDEX('Dashboard Items'!$B$2:$B$497,MATCH(G278,'Dashboard Items'!$A$2:$A$497,0))&amp;": "&amp;INDEX('Dashboard Items'!$C$2:$C$497,MATCH(G278,'Dashboard Items'!$A$2:$A$497,0)),"ID not found")))</f>
        <v/>
      </c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</row>
    <row r="279" spans="2:20" x14ac:dyDescent="0.2">
      <c r="B279" s="80"/>
      <c r="C279" s="80"/>
      <c r="D279" s="80"/>
      <c r="E279" s="80"/>
      <c r="F279" s="81" t="str">
        <f>IF(E279="","",IFERROR(IF(INDEX('Dashboard Items'!$B$2:$B$497,MATCH(E279,'Dashboard Items'!$A$2:$A$497,0))="Objective","Objectives go in the next column",IF(OR(D279="",INDEX('Dashboard Items'!$B$2:$B$497,MATCH(E279,'Dashboard Items'!$A$2:$A$497,0))=D279),INDEX('Dashboard Items'!$C$2:$C$497,MATCH(E279,'Dashboard Items'!$A$2:$A$497,0)),"Level does not match ID")),"ID not found"))</f>
        <v/>
      </c>
      <c r="G279" s="82"/>
      <c r="H279" s="81" t="str">
        <f>IF(G279="","",IF(ISNUMBER(SEARCH(",",G279)),"Several items (the script lists them)",IFERROR(INDEX('Dashboard Items'!$B$2:$B$497,MATCH(G279,'Dashboard Items'!$A$2:$A$497,0))&amp;": "&amp;INDEX('Dashboard Items'!$C$2:$C$497,MATCH(G279,'Dashboard Items'!$A$2:$A$497,0)),"ID not found")))</f>
        <v/>
      </c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</row>
    <row r="280" spans="2:20" x14ac:dyDescent="0.2">
      <c r="B280" s="80"/>
      <c r="C280" s="80"/>
      <c r="D280" s="80"/>
      <c r="E280" s="80"/>
      <c r="F280" s="81" t="str">
        <f>IF(E280="","",IFERROR(IF(INDEX('Dashboard Items'!$B$2:$B$497,MATCH(E280,'Dashboard Items'!$A$2:$A$497,0))="Objective","Objectives go in the next column",IF(OR(D280="",INDEX('Dashboard Items'!$B$2:$B$497,MATCH(E280,'Dashboard Items'!$A$2:$A$497,0))=D280),INDEX('Dashboard Items'!$C$2:$C$497,MATCH(E280,'Dashboard Items'!$A$2:$A$497,0)),"Level does not match ID")),"ID not found"))</f>
        <v/>
      </c>
      <c r="G280" s="82"/>
      <c r="H280" s="81" t="str">
        <f>IF(G280="","",IF(ISNUMBER(SEARCH(",",G280)),"Several items (the script lists them)",IFERROR(INDEX('Dashboard Items'!$B$2:$B$497,MATCH(G280,'Dashboard Items'!$A$2:$A$497,0))&amp;": "&amp;INDEX('Dashboard Items'!$C$2:$C$497,MATCH(G280,'Dashboard Items'!$A$2:$A$497,0)),"ID not found")))</f>
        <v/>
      </c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</row>
    <row r="281" spans="2:20" x14ac:dyDescent="0.2">
      <c r="B281" s="80"/>
      <c r="C281" s="80"/>
      <c r="D281" s="80"/>
      <c r="E281" s="80"/>
      <c r="F281" s="81" t="str">
        <f>IF(E281="","",IFERROR(IF(INDEX('Dashboard Items'!$B$2:$B$497,MATCH(E281,'Dashboard Items'!$A$2:$A$497,0))="Objective","Objectives go in the next column",IF(OR(D281="",INDEX('Dashboard Items'!$B$2:$B$497,MATCH(E281,'Dashboard Items'!$A$2:$A$497,0))=D281),INDEX('Dashboard Items'!$C$2:$C$497,MATCH(E281,'Dashboard Items'!$A$2:$A$497,0)),"Level does not match ID")),"ID not found"))</f>
        <v/>
      </c>
      <c r="G281" s="82"/>
      <c r="H281" s="81" t="str">
        <f>IF(G281="","",IF(ISNUMBER(SEARCH(",",G281)),"Several items (the script lists them)",IFERROR(INDEX('Dashboard Items'!$B$2:$B$497,MATCH(G281,'Dashboard Items'!$A$2:$A$497,0))&amp;": "&amp;INDEX('Dashboard Items'!$C$2:$C$497,MATCH(G281,'Dashboard Items'!$A$2:$A$497,0)),"ID not found")))</f>
        <v/>
      </c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</row>
    <row r="282" spans="2:20" x14ac:dyDescent="0.2">
      <c r="B282" s="80"/>
      <c r="C282" s="80"/>
      <c r="D282" s="80"/>
      <c r="E282" s="80"/>
      <c r="F282" s="81" t="str">
        <f>IF(E282="","",IFERROR(IF(INDEX('Dashboard Items'!$B$2:$B$497,MATCH(E282,'Dashboard Items'!$A$2:$A$497,0))="Objective","Objectives go in the next column",IF(OR(D282="",INDEX('Dashboard Items'!$B$2:$B$497,MATCH(E282,'Dashboard Items'!$A$2:$A$497,0))=D282),INDEX('Dashboard Items'!$C$2:$C$497,MATCH(E282,'Dashboard Items'!$A$2:$A$497,0)),"Level does not match ID")),"ID not found"))</f>
        <v/>
      </c>
      <c r="G282" s="82"/>
      <c r="H282" s="81" t="str">
        <f>IF(G282="","",IF(ISNUMBER(SEARCH(",",G282)),"Several items (the script lists them)",IFERROR(INDEX('Dashboard Items'!$B$2:$B$497,MATCH(G282,'Dashboard Items'!$A$2:$A$497,0))&amp;": "&amp;INDEX('Dashboard Items'!$C$2:$C$497,MATCH(G282,'Dashboard Items'!$A$2:$A$497,0)),"ID not found")))</f>
        <v/>
      </c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</row>
    <row r="283" spans="2:20" x14ac:dyDescent="0.2">
      <c r="B283" s="80"/>
      <c r="C283" s="80"/>
      <c r="D283" s="80"/>
      <c r="E283" s="80"/>
      <c r="F283" s="81" t="str">
        <f>IF(E283="","",IFERROR(IF(INDEX('Dashboard Items'!$B$2:$B$497,MATCH(E283,'Dashboard Items'!$A$2:$A$497,0))="Objective","Objectives go in the next column",IF(OR(D283="",INDEX('Dashboard Items'!$B$2:$B$497,MATCH(E283,'Dashboard Items'!$A$2:$A$497,0))=D283),INDEX('Dashboard Items'!$C$2:$C$497,MATCH(E283,'Dashboard Items'!$A$2:$A$497,0)),"Level does not match ID")),"ID not found"))</f>
        <v/>
      </c>
      <c r="G283" s="82"/>
      <c r="H283" s="81" t="str">
        <f>IF(G283="","",IF(ISNUMBER(SEARCH(",",G283)),"Several items (the script lists them)",IFERROR(INDEX('Dashboard Items'!$B$2:$B$497,MATCH(G283,'Dashboard Items'!$A$2:$A$497,0))&amp;": "&amp;INDEX('Dashboard Items'!$C$2:$C$497,MATCH(G283,'Dashboard Items'!$A$2:$A$497,0)),"ID not found")))</f>
        <v/>
      </c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</row>
    <row r="284" spans="2:20" x14ac:dyDescent="0.2">
      <c r="B284" s="80"/>
      <c r="C284" s="80"/>
      <c r="D284" s="80"/>
      <c r="E284" s="80"/>
      <c r="F284" s="81" t="str">
        <f>IF(E284="","",IFERROR(IF(INDEX('Dashboard Items'!$B$2:$B$497,MATCH(E284,'Dashboard Items'!$A$2:$A$497,0))="Objective","Objectives go in the next column",IF(OR(D284="",INDEX('Dashboard Items'!$B$2:$B$497,MATCH(E284,'Dashboard Items'!$A$2:$A$497,0))=D284),INDEX('Dashboard Items'!$C$2:$C$497,MATCH(E284,'Dashboard Items'!$A$2:$A$497,0)),"Level does not match ID")),"ID not found"))</f>
        <v/>
      </c>
      <c r="G284" s="82"/>
      <c r="H284" s="81" t="str">
        <f>IF(G284="","",IF(ISNUMBER(SEARCH(",",G284)),"Several items (the script lists them)",IFERROR(INDEX('Dashboard Items'!$B$2:$B$497,MATCH(G284,'Dashboard Items'!$A$2:$A$497,0))&amp;": "&amp;INDEX('Dashboard Items'!$C$2:$C$497,MATCH(G284,'Dashboard Items'!$A$2:$A$497,0)),"ID not found")))</f>
        <v/>
      </c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</row>
    <row r="285" spans="2:20" x14ac:dyDescent="0.2">
      <c r="B285" s="80"/>
      <c r="C285" s="80"/>
      <c r="D285" s="80"/>
      <c r="E285" s="80"/>
      <c r="F285" s="81" t="str">
        <f>IF(E285="","",IFERROR(IF(INDEX('Dashboard Items'!$B$2:$B$497,MATCH(E285,'Dashboard Items'!$A$2:$A$497,0))="Objective","Objectives go in the next column",IF(OR(D285="",INDEX('Dashboard Items'!$B$2:$B$497,MATCH(E285,'Dashboard Items'!$A$2:$A$497,0))=D285),INDEX('Dashboard Items'!$C$2:$C$497,MATCH(E285,'Dashboard Items'!$A$2:$A$497,0)),"Level does not match ID")),"ID not found"))</f>
        <v/>
      </c>
      <c r="G285" s="82"/>
      <c r="H285" s="81" t="str">
        <f>IF(G285="","",IF(ISNUMBER(SEARCH(",",G285)),"Several items (the script lists them)",IFERROR(INDEX('Dashboard Items'!$B$2:$B$497,MATCH(G285,'Dashboard Items'!$A$2:$A$497,0))&amp;": "&amp;INDEX('Dashboard Items'!$C$2:$C$497,MATCH(G285,'Dashboard Items'!$A$2:$A$497,0)),"ID not found")))</f>
        <v/>
      </c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</row>
    <row r="286" spans="2:20" x14ac:dyDescent="0.2">
      <c r="B286" s="80"/>
      <c r="C286" s="80"/>
      <c r="D286" s="80"/>
      <c r="E286" s="80"/>
      <c r="F286" s="81" t="str">
        <f>IF(E286="","",IFERROR(IF(INDEX('Dashboard Items'!$B$2:$B$497,MATCH(E286,'Dashboard Items'!$A$2:$A$497,0))="Objective","Objectives go in the next column",IF(OR(D286="",INDEX('Dashboard Items'!$B$2:$B$497,MATCH(E286,'Dashboard Items'!$A$2:$A$497,0))=D286),INDEX('Dashboard Items'!$C$2:$C$497,MATCH(E286,'Dashboard Items'!$A$2:$A$497,0)),"Level does not match ID")),"ID not found"))</f>
        <v/>
      </c>
      <c r="G286" s="82"/>
      <c r="H286" s="81" t="str">
        <f>IF(G286="","",IF(ISNUMBER(SEARCH(",",G286)),"Several items (the script lists them)",IFERROR(INDEX('Dashboard Items'!$B$2:$B$497,MATCH(G286,'Dashboard Items'!$A$2:$A$497,0))&amp;": "&amp;INDEX('Dashboard Items'!$C$2:$C$497,MATCH(G286,'Dashboard Items'!$A$2:$A$497,0)),"ID not found")))</f>
        <v/>
      </c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</row>
    <row r="287" spans="2:20" x14ac:dyDescent="0.2">
      <c r="B287" s="80"/>
      <c r="C287" s="80"/>
      <c r="D287" s="80"/>
      <c r="E287" s="80"/>
      <c r="F287" s="81" t="str">
        <f>IF(E287="","",IFERROR(IF(INDEX('Dashboard Items'!$B$2:$B$497,MATCH(E287,'Dashboard Items'!$A$2:$A$497,0))="Objective","Objectives go in the next column",IF(OR(D287="",INDEX('Dashboard Items'!$B$2:$B$497,MATCH(E287,'Dashboard Items'!$A$2:$A$497,0))=D287),INDEX('Dashboard Items'!$C$2:$C$497,MATCH(E287,'Dashboard Items'!$A$2:$A$497,0)),"Level does not match ID")),"ID not found"))</f>
        <v/>
      </c>
      <c r="G287" s="82"/>
      <c r="H287" s="81" t="str">
        <f>IF(G287="","",IF(ISNUMBER(SEARCH(",",G287)),"Several items (the script lists them)",IFERROR(INDEX('Dashboard Items'!$B$2:$B$497,MATCH(G287,'Dashboard Items'!$A$2:$A$497,0))&amp;": "&amp;INDEX('Dashboard Items'!$C$2:$C$497,MATCH(G287,'Dashboard Items'!$A$2:$A$497,0)),"ID not found")))</f>
        <v/>
      </c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</row>
    <row r="288" spans="2:20" x14ac:dyDescent="0.2">
      <c r="B288" s="80"/>
      <c r="C288" s="80"/>
      <c r="D288" s="80"/>
      <c r="E288" s="80"/>
      <c r="F288" s="81" t="str">
        <f>IF(E288="","",IFERROR(IF(INDEX('Dashboard Items'!$B$2:$B$497,MATCH(E288,'Dashboard Items'!$A$2:$A$497,0))="Objective","Objectives go in the next column",IF(OR(D288="",INDEX('Dashboard Items'!$B$2:$B$497,MATCH(E288,'Dashboard Items'!$A$2:$A$497,0))=D288),INDEX('Dashboard Items'!$C$2:$C$497,MATCH(E288,'Dashboard Items'!$A$2:$A$497,0)),"Level does not match ID")),"ID not found"))</f>
        <v/>
      </c>
      <c r="G288" s="82"/>
      <c r="H288" s="81" t="str">
        <f>IF(G288="","",IF(ISNUMBER(SEARCH(",",G288)),"Several items (the script lists them)",IFERROR(INDEX('Dashboard Items'!$B$2:$B$497,MATCH(G288,'Dashboard Items'!$A$2:$A$497,0))&amp;": "&amp;INDEX('Dashboard Items'!$C$2:$C$497,MATCH(G288,'Dashboard Items'!$A$2:$A$497,0)),"ID not found")))</f>
        <v/>
      </c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</row>
    <row r="289" spans="2:20" x14ac:dyDescent="0.2">
      <c r="B289" s="80"/>
      <c r="C289" s="80"/>
      <c r="D289" s="80"/>
      <c r="E289" s="80"/>
      <c r="F289" s="81" t="str">
        <f>IF(E289="","",IFERROR(IF(INDEX('Dashboard Items'!$B$2:$B$497,MATCH(E289,'Dashboard Items'!$A$2:$A$497,0))="Objective","Objectives go in the next column",IF(OR(D289="",INDEX('Dashboard Items'!$B$2:$B$497,MATCH(E289,'Dashboard Items'!$A$2:$A$497,0))=D289),INDEX('Dashboard Items'!$C$2:$C$497,MATCH(E289,'Dashboard Items'!$A$2:$A$497,0)),"Level does not match ID")),"ID not found"))</f>
        <v/>
      </c>
      <c r="G289" s="82"/>
      <c r="H289" s="81" t="str">
        <f>IF(G289="","",IF(ISNUMBER(SEARCH(",",G289)),"Several items (the script lists them)",IFERROR(INDEX('Dashboard Items'!$B$2:$B$497,MATCH(G289,'Dashboard Items'!$A$2:$A$497,0))&amp;": "&amp;INDEX('Dashboard Items'!$C$2:$C$497,MATCH(G289,'Dashboard Items'!$A$2:$A$497,0)),"ID not found")))</f>
        <v/>
      </c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</row>
    <row r="290" spans="2:20" x14ac:dyDescent="0.2">
      <c r="B290" s="80"/>
      <c r="C290" s="80"/>
      <c r="D290" s="80"/>
      <c r="E290" s="80"/>
      <c r="F290" s="81" t="str">
        <f>IF(E290="","",IFERROR(IF(INDEX('Dashboard Items'!$B$2:$B$497,MATCH(E290,'Dashboard Items'!$A$2:$A$497,0))="Objective","Objectives go in the next column",IF(OR(D290="",INDEX('Dashboard Items'!$B$2:$B$497,MATCH(E290,'Dashboard Items'!$A$2:$A$497,0))=D290),INDEX('Dashboard Items'!$C$2:$C$497,MATCH(E290,'Dashboard Items'!$A$2:$A$497,0)),"Level does not match ID")),"ID not found"))</f>
        <v/>
      </c>
      <c r="G290" s="82"/>
      <c r="H290" s="81" t="str">
        <f>IF(G290="","",IF(ISNUMBER(SEARCH(",",G290)),"Several items (the script lists them)",IFERROR(INDEX('Dashboard Items'!$B$2:$B$497,MATCH(G290,'Dashboard Items'!$A$2:$A$497,0))&amp;": "&amp;INDEX('Dashboard Items'!$C$2:$C$497,MATCH(G290,'Dashboard Items'!$A$2:$A$497,0)),"ID not found")))</f>
        <v/>
      </c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</row>
    <row r="291" spans="2:20" x14ac:dyDescent="0.2">
      <c r="B291" s="80"/>
      <c r="C291" s="80"/>
      <c r="D291" s="80"/>
      <c r="E291" s="80"/>
      <c r="F291" s="81" t="str">
        <f>IF(E291="","",IFERROR(IF(INDEX('Dashboard Items'!$B$2:$B$497,MATCH(E291,'Dashboard Items'!$A$2:$A$497,0))="Objective","Objectives go in the next column",IF(OR(D291="",INDEX('Dashboard Items'!$B$2:$B$497,MATCH(E291,'Dashboard Items'!$A$2:$A$497,0))=D291),INDEX('Dashboard Items'!$C$2:$C$497,MATCH(E291,'Dashboard Items'!$A$2:$A$497,0)),"Level does not match ID")),"ID not found"))</f>
        <v/>
      </c>
      <c r="G291" s="82"/>
      <c r="H291" s="81" t="str">
        <f>IF(G291="","",IF(ISNUMBER(SEARCH(",",G291)),"Several items (the script lists them)",IFERROR(INDEX('Dashboard Items'!$B$2:$B$497,MATCH(G291,'Dashboard Items'!$A$2:$A$497,0))&amp;": "&amp;INDEX('Dashboard Items'!$C$2:$C$497,MATCH(G291,'Dashboard Items'!$A$2:$A$497,0)),"ID not found")))</f>
        <v/>
      </c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</row>
    <row r="292" spans="2:20" x14ac:dyDescent="0.2">
      <c r="B292" s="80"/>
      <c r="C292" s="80"/>
      <c r="D292" s="80"/>
      <c r="E292" s="80"/>
      <c r="F292" s="81" t="str">
        <f>IF(E292="","",IFERROR(IF(INDEX('Dashboard Items'!$B$2:$B$497,MATCH(E292,'Dashboard Items'!$A$2:$A$497,0))="Objective","Objectives go in the next column",IF(OR(D292="",INDEX('Dashboard Items'!$B$2:$B$497,MATCH(E292,'Dashboard Items'!$A$2:$A$497,0))=D292),INDEX('Dashboard Items'!$C$2:$C$497,MATCH(E292,'Dashboard Items'!$A$2:$A$497,0)),"Level does not match ID")),"ID not found"))</f>
        <v/>
      </c>
      <c r="G292" s="82"/>
      <c r="H292" s="81" t="str">
        <f>IF(G292="","",IF(ISNUMBER(SEARCH(",",G292)),"Several items (the script lists them)",IFERROR(INDEX('Dashboard Items'!$B$2:$B$497,MATCH(G292,'Dashboard Items'!$A$2:$A$497,0))&amp;": "&amp;INDEX('Dashboard Items'!$C$2:$C$497,MATCH(G292,'Dashboard Items'!$A$2:$A$497,0)),"ID not found")))</f>
        <v/>
      </c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</row>
    <row r="293" spans="2:20" x14ac:dyDescent="0.2">
      <c r="B293" s="80"/>
      <c r="C293" s="80"/>
      <c r="D293" s="80"/>
      <c r="E293" s="80"/>
      <c r="F293" s="81" t="str">
        <f>IF(E293="","",IFERROR(IF(INDEX('Dashboard Items'!$B$2:$B$497,MATCH(E293,'Dashboard Items'!$A$2:$A$497,0))="Objective","Objectives go in the next column",IF(OR(D293="",INDEX('Dashboard Items'!$B$2:$B$497,MATCH(E293,'Dashboard Items'!$A$2:$A$497,0))=D293),INDEX('Dashboard Items'!$C$2:$C$497,MATCH(E293,'Dashboard Items'!$A$2:$A$497,0)),"Level does not match ID")),"ID not found"))</f>
        <v/>
      </c>
      <c r="G293" s="82"/>
      <c r="H293" s="81" t="str">
        <f>IF(G293="","",IF(ISNUMBER(SEARCH(",",G293)),"Several items (the script lists them)",IFERROR(INDEX('Dashboard Items'!$B$2:$B$497,MATCH(G293,'Dashboard Items'!$A$2:$A$497,0))&amp;": "&amp;INDEX('Dashboard Items'!$C$2:$C$497,MATCH(G293,'Dashboard Items'!$A$2:$A$497,0)),"ID not found")))</f>
        <v/>
      </c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</row>
    <row r="294" spans="2:20" x14ac:dyDescent="0.2">
      <c r="B294" s="80"/>
      <c r="C294" s="80"/>
      <c r="D294" s="80"/>
      <c r="E294" s="80"/>
      <c r="F294" s="81" t="str">
        <f>IF(E294="","",IFERROR(IF(INDEX('Dashboard Items'!$B$2:$B$497,MATCH(E294,'Dashboard Items'!$A$2:$A$497,0))="Objective","Objectives go in the next column",IF(OR(D294="",INDEX('Dashboard Items'!$B$2:$B$497,MATCH(E294,'Dashboard Items'!$A$2:$A$497,0))=D294),INDEX('Dashboard Items'!$C$2:$C$497,MATCH(E294,'Dashboard Items'!$A$2:$A$497,0)),"Level does not match ID")),"ID not found"))</f>
        <v/>
      </c>
      <c r="G294" s="82"/>
      <c r="H294" s="81" t="str">
        <f>IF(G294="","",IF(ISNUMBER(SEARCH(",",G294)),"Several items (the script lists them)",IFERROR(INDEX('Dashboard Items'!$B$2:$B$497,MATCH(G294,'Dashboard Items'!$A$2:$A$497,0))&amp;": "&amp;INDEX('Dashboard Items'!$C$2:$C$497,MATCH(G294,'Dashboard Items'!$A$2:$A$497,0)),"ID not found")))</f>
        <v/>
      </c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</row>
    <row r="295" spans="2:20" x14ac:dyDescent="0.2">
      <c r="B295" s="80"/>
      <c r="C295" s="80"/>
      <c r="D295" s="80"/>
      <c r="E295" s="80"/>
      <c r="F295" s="81" t="str">
        <f>IF(E295="","",IFERROR(IF(INDEX('Dashboard Items'!$B$2:$B$497,MATCH(E295,'Dashboard Items'!$A$2:$A$497,0))="Objective","Objectives go in the next column",IF(OR(D295="",INDEX('Dashboard Items'!$B$2:$B$497,MATCH(E295,'Dashboard Items'!$A$2:$A$497,0))=D295),INDEX('Dashboard Items'!$C$2:$C$497,MATCH(E295,'Dashboard Items'!$A$2:$A$497,0)),"Level does not match ID")),"ID not found"))</f>
        <v/>
      </c>
      <c r="G295" s="82"/>
      <c r="H295" s="81" t="str">
        <f>IF(G295="","",IF(ISNUMBER(SEARCH(",",G295)),"Several items (the script lists them)",IFERROR(INDEX('Dashboard Items'!$B$2:$B$497,MATCH(G295,'Dashboard Items'!$A$2:$A$497,0))&amp;": "&amp;INDEX('Dashboard Items'!$C$2:$C$497,MATCH(G295,'Dashboard Items'!$A$2:$A$497,0)),"ID not found")))</f>
        <v/>
      </c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</row>
    <row r="296" spans="2:20" x14ac:dyDescent="0.2">
      <c r="B296" s="80"/>
      <c r="C296" s="80"/>
      <c r="D296" s="80"/>
      <c r="E296" s="80"/>
      <c r="F296" s="81" t="str">
        <f>IF(E296="","",IFERROR(IF(INDEX('Dashboard Items'!$B$2:$B$497,MATCH(E296,'Dashboard Items'!$A$2:$A$497,0))="Objective","Objectives go in the next column",IF(OR(D296="",INDEX('Dashboard Items'!$B$2:$B$497,MATCH(E296,'Dashboard Items'!$A$2:$A$497,0))=D296),INDEX('Dashboard Items'!$C$2:$C$497,MATCH(E296,'Dashboard Items'!$A$2:$A$497,0)),"Level does not match ID")),"ID not found"))</f>
        <v/>
      </c>
      <c r="G296" s="82"/>
      <c r="H296" s="81" t="str">
        <f>IF(G296="","",IF(ISNUMBER(SEARCH(",",G296)),"Several items (the script lists them)",IFERROR(INDEX('Dashboard Items'!$B$2:$B$497,MATCH(G296,'Dashboard Items'!$A$2:$A$497,0))&amp;": "&amp;INDEX('Dashboard Items'!$C$2:$C$497,MATCH(G296,'Dashboard Items'!$A$2:$A$497,0)),"ID not found")))</f>
        <v/>
      </c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</row>
    <row r="297" spans="2:20" x14ac:dyDescent="0.2">
      <c r="B297" s="80"/>
      <c r="C297" s="80"/>
      <c r="D297" s="80"/>
      <c r="E297" s="80"/>
      <c r="F297" s="81" t="str">
        <f>IF(E297="","",IFERROR(IF(INDEX('Dashboard Items'!$B$2:$B$497,MATCH(E297,'Dashboard Items'!$A$2:$A$497,0))="Objective","Objectives go in the next column",IF(OR(D297="",INDEX('Dashboard Items'!$B$2:$B$497,MATCH(E297,'Dashboard Items'!$A$2:$A$497,0))=D297),INDEX('Dashboard Items'!$C$2:$C$497,MATCH(E297,'Dashboard Items'!$A$2:$A$497,0)),"Level does not match ID")),"ID not found"))</f>
        <v/>
      </c>
      <c r="G297" s="82"/>
      <c r="H297" s="81" t="str">
        <f>IF(G297="","",IF(ISNUMBER(SEARCH(",",G297)),"Several items (the script lists them)",IFERROR(INDEX('Dashboard Items'!$B$2:$B$497,MATCH(G297,'Dashboard Items'!$A$2:$A$497,0))&amp;": "&amp;INDEX('Dashboard Items'!$C$2:$C$497,MATCH(G297,'Dashboard Items'!$A$2:$A$497,0)),"ID not found")))</f>
        <v/>
      </c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</row>
    <row r="298" spans="2:20" x14ac:dyDescent="0.2">
      <c r="B298" s="80"/>
      <c r="C298" s="80"/>
      <c r="D298" s="80"/>
      <c r="E298" s="80"/>
      <c r="F298" s="81" t="str">
        <f>IF(E298="","",IFERROR(IF(INDEX('Dashboard Items'!$B$2:$B$497,MATCH(E298,'Dashboard Items'!$A$2:$A$497,0))="Objective","Objectives go in the next column",IF(OR(D298="",INDEX('Dashboard Items'!$B$2:$B$497,MATCH(E298,'Dashboard Items'!$A$2:$A$497,0))=D298),INDEX('Dashboard Items'!$C$2:$C$497,MATCH(E298,'Dashboard Items'!$A$2:$A$497,0)),"Level does not match ID")),"ID not found"))</f>
        <v/>
      </c>
      <c r="G298" s="82"/>
      <c r="H298" s="81" t="str">
        <f>IF(G298="","",IF(ISNUMBER(SEARCH(",",G298)),"Several items (the script lists them)",IFERROR(INDEX('Dashboard Items'!$B$2:$B$497,MATCH(G298,'Dashboard Items'!$A$2:$A$497,0))&amp;": "&amp;INDEX('Dashboard Items'!$C$2:$C$497,MATCH(G298,'Dashboard Items'!$A$2:$A$497,0)),"ID not found")))</f>
        <v/>
      </c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</row>
  </sheetData>
  <dataValidations count="3">
    <dataValidation type="list" allowBlank="1" errorTitle="Level" error="Choose Work System, Key Service or Program." sqref="D29:E29 D2:D28 D30:D298" xr:uid="{00000000-0002-0000-0100-000001000000}">
      <formula1>"Work System,Key Service,Program"</formula1>
      <formula2>0</formula2>
    </dataValidation>
    <dataValidation type="list" allowBlank="1" sqref="K2:K298 O2:O298" xr:uid="{00000000-0002-0000-0100-000000000000}">
      <formula1>"Yes,No"</formula1>
      <formula2>0</formula2>
    </dataValidation>
    <dataValidation type="list" allowBlank="1" errorTitle="Status Based On" error="Choose Target or Benchmark." sqref="L2:L298" xr:uid="{00000000-0002-0000-0100-000002000000}">
      <formula1>"Target,Benchmark"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18"/>
  <sheetViews>
    <sheetView zoomScale="90" zoomScaleNormal="90" workbookViewId="0">
      <pane ySplit="1" topLeftCell="A2" activePane="bottomLeft" state="frozen"/>
      <selection pane="bottomLeft" activeCell="H27" sqref="H27"/>
    </sheetView>
  </sheetViews>
  <sheetFormatPr baseColWidth="10" defaultColWidth="8.6640625" defaultRowHeight="15" x14ac:dyDescent="0.2"/>
  <cols>
    <col min="1" max="1" width="8.6640625" style="10"/>
    <col min="2" max="2" width="22" style="10" bestFit="1" customWidth="1"/>
    <col min="3" max="3" width="11.5" style="13" bestFit="1" customWidth="1"/>
    <col min="4" max="4" width="13.33203125" style="13" bestFit="1" customWidth="1"/>
    <col min="5" max="6" width="10" style="13" customWidth="1"/>
    <col min="7" max="7" width="11" style="13" customWidth="1"/>
    <col min="8" max="8" width="50.5" style="10" customWidth="1"/>
    <col min="9" max="16384" width="8.6640625" style="10"/>
  </cols>
  <sheetData>
    <row r="1" spans="1:8" x14ac:dyDescent="0.2">
      <c r="A1" s="2" t="s">
        <v>467</v>
      </c>
      <c r="B1" s="28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</row>
    <row r="2" spans="1:8" s="7" customFormat="1" ht="14" x14ac:dyDescent="0.2">
      <c r="A2" s="7" t="str">
        <f>LEFT(B2, FIND("-", B2) - 1)</f>
        <v>CLERK</v>
      </c>
      <c r="B2" s="7" t="s">
        <v>407</v>
      </c>
      <c r="C2" s="14" t="s">
        <v>430</v>
      </c>
      <c r="D2" s="14"/>
      <c r="E2" s="14"/>
      <c r="F2" s="14"/>
      <c r="G2" s="14"/>
    </row>
    <row r="3" spans="1:8" s="7" customFormat="1" ht="14" x14ac:dyDescent="0.2">
      <c r="A3" s="7" t="str">
        <f>LEFT(B3, FIND("-", B3) - 1)</f>
        <v>CLERK</v>
      </c>
      <c r="B3" s="7" t="s">
        <v>411</v>
      </c>
      <c r="C3" s="14" t="s">
        <v>430</v>
      </c>
      <c r="D3" s="14"/>
      <c r="E3" s="14"/>
      <c r="F3" s="14"/>
      <c r="G3" s="14"/>
    </row>
    <row r="4" spans="1:8" s="7" customFormat="1" ht="14" x14ac:dyDescent="0.2">
      <c r="A4" s="7" t="str">
        <f>LEFT(B4, FIND("-", B4) - 1)</f>
        <v>CLERK</v>
      </c>
      <c r="B4" s="7" t="s">
        <v>408</v>
      </c>
      <c r="C4" s="14" t="s">
        <v>430</v>
      </c>
      <c r="D4" s="14"/>
      <c r="E4" s="14"/>
      <c r="F4" s="14"/>
      <c r="G4" s="14"/>
    </row>
    <row r="5" spans="1:8" s="7" customFormat="1" ht="14" x14ac:dyDescent="0.2">
      <c r="A5" s="7" t="str">
        <f>LEFT(B5, FIND("-", B5) - 1)</f>
        <v>CLERK</v>
      </c>
      <c r="B5" s="7" t="s">
        <v>409</v>
      </c>
      <c r="C5" s="14" t="s">
        <v>430</v>
      </c>
      <c r="D5" s="14"/>
      <c r="E5" s="14"/>
      <c r="F5" s="14"/>
      <c r="G5" s="14"/>
    </row>
    <row r="6" spans="1:8" s="7" customFormat="1" ht="14" x14ac:dyDescent="0.2">
      <c r="A6" s="7" t="str">
        <f>LEFT(B6, FIND("-", B6) - 1)</f>
        <v>CLERK</v>
      </c>
      <c r="B6" s="7" t="s">
        <v>412</v>
      </c>
      <c r="C6" s="14" t="s">
        <v>430</v>
      </c>
      <c r="D6" s="14"/>
      <c r="E6" s="14"/>
      <c r="F6" s="14"/>
      <c r="G6" s="14"/>
    </row>
    <row r="7" spans="1:8" s="7" customFormat="1" ht="14" x14ac:dyDescent="0.2">
      <c r="A7" s="7" t="str">
        <f>LEFT(B7, FIND("-", B7) - 1)</f>
        <v>CLERK</v>
      </c>
      <c r="B7" s="7" t="s">
        <v>413</v>
      </c>
      <c r="C7" s="14" t="s">
        <v>430</v>
      </c>
      <c r="D7" s="14"/>
      <c r="E7" s="14"/>
      <c r="F7" s="14"/>
      <c r="G7" s="14"/>
    </row>
    <row r="8" spans="1:8" s="7" customFormat="1" ht="14" x14ac:dyDescent="0.2">
      <c r="A8" s="7" t="str">
        <f>LEFT(B8, FIND("-", B8) - 1)</f>
        <v>CLERK</v>
      </c>
      <c r="B8" s="7" t="s">
        <v>414</v>
      </c>
      <c r="C8" s="14" t="s">
        <v>430</v>
      </c>
      <c r="D8" s="14"/>
      <c r="E8" s="14"/>
      <c r="F8" s="14"/>
      <c r="G8" s="14"/>
    </row>
    <row r="9" spans="1:8" s="7" customFormat="1" ht="14" x14ac:dyDescent="0.2">
      <c r="A9" s="7" t="str">
        <f>LEFT(B9, FIND("-", B9) - 1)</f>
        <v>CLERK</v>
      </c>
      <c r="B9" s="7" t="s">
        <v>415</v>
      </c>
      <c r="C9" s="14" t="s">
        <v>430</v>
      </c>
      <c r="D9" s="14"/>
      <c r="E9" s="14"/>
      <c r="F9" s="14"/>
      <c r="G9" s="14"/>
    </row>
    <row r="10" spans="1:8" s="5" customFormat="1" ht="14" x14ac:dyDescent="0.2">
      <c r="A10" s="5" t="str">
        <f>LEFT(B10, FIND("-", B10) - 1)</f>
        <v>HR</v>
      </c>
      <c r="B10" s="5" t="s">
        <v>392</v>
      </c>
      <c r="C10" s="15" t="s">
        <v>40</v>
      </c>
      <c r="D10" s="15"/>
      <c r="E10" s="15">
        <v>69</v>
      </c>
      <c r="F10" s="15"/>
      <c r="G10" s="15">
        <v>76.599999999999994</v>
      </c>
      <c r="H10" s="5" t="s">
        <v>41</v>
      </c>
    </row>
    <row r="11" spans="1:8" s="5" customFormat="1" ht="14" x14ac:dyDescent="0.2">
      <c r="A11" s="5" t="str">
        <f>LEFT(B11, FIND("-", B11) - 1)</f>
        <v>HR</v>
      </c>
      <c r="B11" s="5" t="s">
        <v>392</v>
      </c>
      <c r="C11" s="15" t="s">
        <v>42</v>
      </c>
      <c r="D11" s="15"/>
      <c r="E11" s="15">
        <v>81.3</v>
      </c>
      <c r="F11" s="15"/>
      <c r="G11" s="15">
        <v>75.099999999999994</v>
      </c>
      <c r="H11" s="5" t="s">
        <v>41</v>
      </c>
    </row>
    <row r="12" spans="1:8" s="5" customFormat="1" ht="14" x14ac:dyDescent="0.2">
      <c r="A12" s="5" t="str">
        <f>LEFT(B12, FIND("-", B12) - 1)</f>
        <v>HR</v>
      </c>
      <c r="B12" s="5" t="s">
        <v>392</v>
      </c>
      <c r="C12" s="15" t="s">
        <v>43</v>
      </c>
      <c r="D12" s="15"/>
      <c r="E12" s="15">
        <v>79.3</v>
      </c>
      <c r="F12" s="15"/>
      <c r="G12" s="15">
        <v>76.599999999999994</v>
      </c>
    </row>
    <row r="13" spans="1:8" s="5" customFormat="1" ht="14" x14ac:dyDescent="0.2">
      <c r="A13" s="5" t="str">
        <f>LEFT(B13, FIND("-", B13) - 1)</f>
        <v>HR</v>
      </c>
      <c r="B13" s="5" t="s">
        <v>392</v>
      </c>
      <c r="C13" s="15" t="s">
        <v>43</v>
      </c>
      <c r="D13" s="15" t="s">
        <v>44</v>
      </c>
      <c r="E13" s="15">
        <v>79.900000000000006</v>
      </c>
      <c r="F13" s="15"/>
      <c r="G13" s="15"/>
    </row>
    <row r="14" spans="1:8" s="5" customFormat="1" ht="14" x14ac:dyDescent="0.2">
      <c r="A14" s="5" t="str">
        <f>LEFT(B14, FIND("-", B14) - 1)</f>
        <v>HR</v>
      </c>
      <c r="B14" s="5" t="s">
        <v>392</v>
      </c>
      <c r="C14" s="15" t="s">
        <v>43</v>
      </c>
      <c r="D14" s="15" t="s">
        <v>45</v>
      </c>
      <c r="E14" s="15">
        <v>78.2</v>
      </c>
      <c r="F14" s="15"/>
      <c r="G14" s="15"/>
    </row>
    <row r="15" spans="1:8" s="5" customFormat="1" ht="14" x14ac:dyDescent="0.2">
      <c r="A15" s="5" t="str">
        <f>LEFT(B15, FIND("-", B15) - 1)</f>
        <v>HR</v>
      </c>
      <c r="B15" s="5" t="s">
        <v>468</v>
      </c>
      <c r="C15" s="15" t="s">
        <v>430</v>
      </c>
      <c r="D15" s="15"/>
      <c r="E15" s="15"/>
      <c r="F15" s="15"/>
      <c r="G15" s="15"/>
    </row>
    <row r="16" spans="1:8" s="5" customFormat="1" ht="14" x14ac:dyDescent="0.2">
      <c r="A16" s="5" t="str">
        <f>LEFT(B16, FIND("-", B16) - 1)</f>
        <v>HR</v>
      </c>
      <c r="B16" s="5" t="s">
        <v>469</v>
      </c>
      <c r="C16" s="15" t="s">
        <v>430</v>
      </c>
      <c r="D16" s="15"/>
      <c r="E16" s="15"/>
      <c r="F16" s="15">
        <v>1</v>
      </c>
      <c r="G16" s="15"/>
    </row>
    <row r="17" spans="1:7" s="5" customFormat="1" ht="14" x14ac:dyDescent="0.2">
      <c r="A17" s="5" t="str">
        <f>LEFT(B17, FIND("-", B17) - 1)</f>
        <v>HR</v>
      </c>
      <c r="B17" s="5" t="s">
        <v>470</v>
      </c>
      <c r="C17" s="15" t="s">
        <v>430</v>
      </c>
      <c r="D17" s="15"/>
      <c r="E17" s="15"/>
      <c r="F17" s="15">
        <v>2</v>
      </c>
      <c r="G17" s="15"/>
    </row>
    <row r="18" spans="1:7" s="5" customFormat="1" ht="14" x14ac:dyDescent="0.2">
      <c r="A18" s="5" t="str">
        <f>LEFT(B18, FIND("-", B18) - 1)</f>
        <v>HR</v>
      </c>
      <c r="B18" s="5" t="s">
        <v>471</v>
      </c>
      <c r="C18" s="15" t="s">
        <v>430</v>
      </c>
      <c r="D18" s="15"/>
      <c r="E18" s="15"/>
      <c r="F18" s="15">
        <v>90</v>
      </c>
      <c r="G18" s="15"/>
    </row>
    <row r="19" spans="1:7" s="5" customFormat="1" ht="14" x14ac:dyDescent="0.2">
      <c r="A19" s="5" t="str">
        <f>LEFT(B19, FIND("-", B19) - 1)</f>
        <v>HR</v>
      </c>
      <c r="B19" s="5" t="s">
        <v>392</v>
      </c>
      <c r="C19" s="15"/>
      <c r="D19" s="15"/>
      <c r="E19" s="15"/>
      <c r="F19" s="15"/>
      <c r="G19" s="15"/>
    </row>
    <row r="20" spans="1:7" s="5" customFormat="1" ht="14" x14ac:dyDescent="0.2">
      <c r="A20" s="5" t="str">
        <f>LEFT(B20, FIND("-", B20) - 1)</f>
        <v>HR</v>
      </c>
      <c r="B20" s="5" t="s">
        <v>391</v>
      </c>
      <c r="C20" s="15"/>
      <c r="D20" s="15"/>
      <c r="E20" s="15"/>
      <c r="F20" s="15"/>
      <c r="G20" s="15"/>
    </row>
    <row r="21" spans="1:7" s="5" customFormat="1" ht="14" x14ac:dyDescent="0.2">
      <c r="A21" s="5" t="str">
        <f>LEFT(B21, FIND("-", B21) - 1)</f>
        <v>HR</v>
      </c>
      <c r="B21" s="5" t="s">
        <v>495</v>
      </c>
      <c r="C21" s="15"/>
      <c r="D21" s="15"/>
      <c r="E21" s="15"/>
      <c r="F21" s="15"/>
      <c r="G21" s="15"/>
    </row>
    <row r="22" spans="1:7" s="5" customFormat="1" ht="14" x14ac:dyDescent="0.2">
      <c r="A22" s="5" t="str">
        <f>LEFT(B22, FIND("-", B22) - 1)</f>
        <v>HR</v>
      </c>
      <c r="B22" s="5" t="s">
        <v>485</v>
      </c>
      <c r="C22" s="15"/>
      <c r="D22" s="15"/>
      <c r="E22" s="15"/>
      <c r="F22" s="15"/>
      <c r="G22" s="15"/>
    </row>
    <row r="23" spans="1:7" s="5" customFormat="1" ht="14" x14ac:dyDescent="0.2">
      <c r="A23" s="5" t="str">
        <f>LEFT(B23, FIND("-", B23) - 1)</f>
        <v>HR</v>
      </c>
      <c r="B23" s="5" t="s">
        <v>486</v>
      </c>
      <c r="C23" s="15"/>
      <c r="D23" s="15"/>
      <c r="E23" s="15"/>
      <c r="F23" s="15"/>
      <c r="G23" s="15"/>
    </row>
    <row r="24" spans="1:7" s="5" customFormat="1" ht="14" x14ac:dyDescent="0.2">
      <c r="A24" s="5" t="str">
        <f>LEFT(B24, FIND("-", B24) - 1)</f>
        <v>HR</v>
      </c>
      <c r="B24" s="5" t="s">
        <v>487</v>
      </c>
      <c r="C24" s="15"/>
      <c r="D24" s="15"/>
      <c r="E24" s="15"/>
      <c r="F24" s="15"/>
      <c r="G24" s="15"/>
    </row>
    <row r="25" spans="1:7" s="5" customFormat="1" ht="14" x14ac:dyDescent="0.2">
      <c r="A25" s="5" t="str">
        <f>LEFT(B25, FIND("-", B25) - 1)</f>
        <v>HR</v>
      </c>
      <c r="B25" s="5" t="s">
        <v>488</v>
      </c>
      <c r="C25" s="15"/>
      <c r="D25" s="15"/>
      <c r="E25" s="15"/>
      <c r="F25" s="15"/>
      <c r="G25" s="15"/>
    </row>
    <row r="26" spans="1:7" s="5" customFormat="1" ht="14" x14ac:dyDescent="0.2">
      <c r="A26" s="5" t="str">
        <f>LEFT(B26, FIND("-", B26) - 1)</f>
        <v>HR</v>
      </c>
      <c r="B26" s="5" t="s">
        <v>489</v>
      </c>
      <c r="C26" s="15"/>
      <c r="D26" s="15"/>
      <c r="E26" s="15"/>
      <c r="F26" s="15"/>
      <c r="G26" s="15"/>
    </row>
    <row r="27" spans="1:7" s="5" customFormat="1" ht="14" x14ac:dyDescent="0.2">
      <c r="A27" s="5" t="str">
        <f>LEFT(B27, FIND("-", B27) - 1)</f>
        <v>HR</v>
      </c>
      <c r="B27" s="5" t="s">
        <v>490</v>
      </c>
      <c r="C27" s="15"/>
      <c r="D27" s="15"/>
      <c r="E27" s="15"/>
      <c r="F27" s="15"/>
      <c r="G27" s="15"/>
    </row>
    <row r="28" spans="1:7" s="5" customFormat="1" ht="14" x14ac:dyDescent="0.2">
      <c r="A28" s="5" t="str">
        <f>LEFT(B28, FIND("-", B28) - 1)</f>
        <v>HR</v>
      </c>
      <c r="B28" s="5" t="s">
        <v>491</v>
      </c>
      <c r="C28" s="15"/>
      <c r="D28" s="15"/>
      <c r="E28" s="15"/>
      <c r="F28" s="15"/>
      <c r="G28" s="15"/>
    </row>
    <row r="29" spans="1:7" s="5" customFormat="1" ht="14" x14ac:dyDescent="0.2">
      <c r="A29" s="5" t="str">
        <f>LEFT(B29, FIND("-", B29) - 1)</f>
        <v>HR</v>
      </c>
      <c r="B29" s="5" t="s">
        <v>492</v>
      </c>
      <c r="C29" s="15"/>
      <c r="D29" s="15"/>
      <c r="E29" s="15"/>
      <c r="F29" s="15"/>
      <c r="G29" s="15"/>
    </row>
    <row r="30" spans="1:7" s="5" customFormat="1" ht="14" x14ac:dyDescent="0.2">
      <c r="A30" s="5" t="str">
        <f>LEFT(B30, FIND("-", B30) - 1)</f>
        <v>HR</v>
      </c>
      <c r="B30" s="5" t="s">
        <v>493</v>
      </c>
      <c r="C30" s="15"/>
      <c r="D30" s="15"/>
      <c r="E30" s="15"/>
      <c r="F30" s="15"/>
      <c r="G30" s="15"/>
    </row>
    <row r="31" spans="1:7" s="5" customFormat="1" ht="14" x14ac:dyDescent="0.2">
      <c r="A31" s="5" t="str">
        <f>LEFT(B31, FIND("-", B31) - 1)</f>
        <v>HR</v>
      </c>
      <c r="B31" s="5" t="s">
        <v>494</v>
      </c>
      <c r="C31" s="15"/>
      <c r="D31" s="15"/>
      <c r="E31" s="15"/>
      <c r="F31" s="15"/>
      <c r="G31" s="15"/>
    </row>
    <row r="32" spans="1:7" s="5" customFormat="1" ht="14" x14ac:dyDescent="0.2">
      <c r="A32" s="5" t="str">
        <f>LEFT(B32, FIND("-", B32) - 1)</f>
        <v>HR</v>
      </c>
      <c r="B32" s="5" t="s">
        <v>496</v>
      </c>
      <c r="C32" s="15"/>
      <c r="D32" s="15"/>
      <c r="E32" s="15"/>
      <c r="F32" s="15"/>
      <c r="G32" s="15"/>
    </row>
    <row r="33" spans="1:8" s="5" customFormat="1" ht="14" x14ac:dyDescent="0.2">
      <c r="A33" s="5" t="str">
        <f>LEFT(B33, FIND("-", B33) - 1)</f>
        <v>HR</v>
      </c>
      <c r="B33" s="5" t="s">
        <v>503</v>
      </c>
      <c r="C33" s="15"/>
      <c r="D33" s="15"/>
      <c r="E33" s="15"/>
      <c r="F33" s="15"/>
      <c r="G33" s="15"/>
    </row>
    <row r="34" spans="1:8" s="5" customFormat="1" ht="14" x14ac:dyDescent="0.2">
      <c r="A34" s="5" t="str">
        <f>LEFT(B34, FIND("-", B34) - 1)</f>
        <v>HR</v>
      </c>
      <c r="B34" s="5" t="s">
        <v>469</v>
      </c>
      <c r="C34" s="15"/>
      <c r="D34" s="15"/>
      <c r="E34" s="15"/>
      <c r="F34" s="15"/>
      <c r="G34" s="15"/>
    </row>
    <row r="35" spans="1:8" s="5" customFormat="1" ht="14" x14ac:dyDescent="0.2">
      <c r="A35" s="5" t="str">
        <f>LEFT(B35, FIND("-", B35) - 1)</f>
        <v>HR</v>
      </c>
      <c r="B35" s="5" t="s">
        <v>504</v>
      </c>
      <c r="C35" s="15"/>
      <c r="D35" s="15"/>
      <c r="E35" s="15"/>
      <c r="F35" s="15"/>
      <c r="G35" s="15"/>
    </row>
    <row r="36" spans="1:8" s="5" customFormat="1" ht="14" x14ac:dyDescent="0.2">
      <c r="A36" s="5" t="str">
        <f>LEFT(B36, FIND("-", B36) - 1)</f>
        <v>HR</v>
      </c>
      <c r="B36" s="5" t="s">
        <v>505</v>
      </c>
      <c r="C36" s="15"/>
      <c r="D36" s="15"/>
      <c r="E36" s="15"/>
      <c r="F36" s="15"/>
      <c r="G36" s="15"/>
    </row>
    <row r="37" spans="1:8" s="5" customFormat="1" ht="14" x14ac:dyDescent="0.2">
      <c r="A37" s="5" t="str">
        <f>LEFT(B37, FIND("-", B37) - 1)</f>
        <v>HR</v>
      </c>
      <c r="B37" s="5" t="s">
        <v>506</v>
      </c>
      <c r="C37" s="15"/>
      <c r="D37" s="15"/>
      <c r="E37" s="15"/>
      <c r="F37" s="15"/>
      <c r="G37" s="15"/>
    </row>
    <row r="38" spans="1:8" s="5" customFormat="1" ht="14" x14ac:dyDescent="0.2">
      <c r="A38" s="5" t="str">
        <f>LEFT(B38, FIND("-", B38) - 1)</f>
        <v>HR</v>
      </c>
      <c r="B38" s="5" t="s">
        <v>507</v>
      </c>
      <c r="C38" s="15"/>
      <c r="D38" s="15"/>
      <c r="E38" s="15"/>
      <c r="F38" s="15"/>
      <c r="G38" s="15"/>
    </row>
    <row r="39" spans="1:8" s="12" customFormat="1" x14ac:dyDescent="0.2">
      <c r="A39" s="11" t="str">
        <f>LEFT(B39, FIND("-", B39) - 1)</f>
        <v>IT</v>
      </c>
      <c r="B39" s="29" t="s">
        <v>34</v>
      </c>
      <c r="C39" s="18" t="s">
        <v>46</v>
      </c>
      <c r="D39" s="17"/>
      <c r="E39" s="17">
        <v>99.89</v>
      </c>
      <c r="F39" s="17">
        <v>99.99</v>
      </c>
      <c r="G39" s="17">
        <v>99.998999999999995</v>
      </c>
      <c r="H39" s="6"/>
    </row>
    <row r="40" spans="1:8" s="12" customFormat="1" x14ac:dyDescent="0.2">
      <c r="A40" s="11" t="str">
        <f>LEFT(B40, FIND("-", B40) - 1)</f>
        <v>IT</v>
      </c>
      <c r="B40" s="29" t="s">
        <v>34</v>
      </c>
      <c r="C40" s="18" t="s">
        <v>47</v>
      </c>
      <c r="D40" s="17"/>
      <c r="E40" s="17">
        <v>99.98</v>
      </c>
      <c r="F40" s="17">
        <v>99.99</v>
      </c>
      <c r="G40" s="17">
        <v>99.998999999999995</v>
      </c>
      <c r="H40" s="6"/>
    </row>
    <row r="41" spans="1:8" s="12" customFormat="1" x14ac:dyDescent="0.2">
      <c r="A41" s="11" t="str">
        <f>LEFT(B41, FIND("-", B41) - 1)</f>
        <v>IT</v>
      </c>
      <c r="B41" s="29" t="s">
        <v>34</v>
      </c>
      <c r="C41" s="18" t="s">
        <v>40</v>
      </c>
      <c r="D41" s="17"/>
      <c r="E41" s="17">
        <v>99.92</v>
      </c>
      <c r="F41" s="17">
        <v>99.99</v>
      </c>
      <c r="G41" s="17">
        <v>99.998999999999995</v>
      </c>
      <c r="H41" s="6"/>
    </row>
    <row r="42" spans="1:8" s="12" customFormat="1" x14ac:dyDescent="0.2">
      <c r="A42" s="11" t="str">
        <f>LEFT(B42, FIND("-", B42) - 1)</f>
        <v>IT</v>
      </c>
      <c r="B42" s="29" t="s">
        <v>34</v>
      </c>
      <c r="C42" s="18" t="s">
        <v>48</v>
      </c>
      <c r="D42" s="17"/>
      <c r="E42" s="17">
        <v>99.91</v>
      </c>
      <c r="F42" s="17">
        <v>99.99</v>
      </c>
      <c r="G42" s="17">
        <v>99.998999999999995</v>
      </c>
      <c r="H42" s="6"/>
    </row>
    <row r="43" spans="1:8" s="12" customFormat="1" x14ac:dyDescent="0.2">
      <c r="A43" s="11" t="str">
        <f>LEFT(B43, FIND("-", B43) - 1)</f>
        <v>IT</v>
      </c>
      <c r="B43" s="29" t="s">
        <v>34</v>
      </c>
      <c r="C43" s="18" t="s">
        <v>42</v>
      </c>
      <c r="D43" s="17"/>
      <c r="E43" s="17">
        <v>99.79</v>
      </c>
      <c r="F43" s="17">
        <v>99.99</v>
      </c>
      <c r="G43" s="17">
        <v>99.998999999999995</v>
      </c>
      <c r="H43" s="6"/>
    </row>
    <row r="44" spans="1:8" s="12" customFormat="1" x14ac:dyDescent="0.2">
      <c r="A44" s="11" t="str">
        <f>LEFT(B44, FIND("-", B44) - 1)</f>
        <v>IT</v>
      </c>
      <c r="B44" s="29" t="s">
        <v>34</v>
      </c>
      <c r="C44" s="18" t="s">
        <v>49</v>
      </c>
      <c r="D44" s="17"/>
      <c r="E44" s="17">
        <v>99.85</v>
      </c>
      <c r="F44" s="17">
        <v>99.99</v>
      </c>
      <c r="G44" s="17">
        <v>99.998999999999995</v>
      </c>
      <c r="H44" s="6"/>
    </row>
    <row r="45" spans="1:8" s="12" customFormat="1" x14ac:dyDescent="0.2">
      <c r="A45" s="11" t="str">
        <f>LEFT(B45, FIND("-", B45) - 1)</f>
        <v>IT</v>
      </c>
      <c r="B45" s="29" t="s">
        <v>394</v>
      </c>
      <c r="C45" s="20" t="s">
        <v>40</v>
      </c>
      <c r="D45" s="17"/>
      <c r="E45" s="17">
        <v>80</v>
      </c>
      <c r="F45" s="17">
        <v>85</v>
      </c>
      <c r="G45" s="17"/>
      <c r="H45" s="6"/>
    </row>
    <row r="46" spans="1:8" s="12" customFormat="1" x14ac:dyDescent="0.2">
      <c r="A46" s="11" t="str">
        <f>LEFT(B46, FIND("-", B46) - 1)</f>
        <v>IT</v>
      </c>
      <c r="B46" s="29" t="s">
        <v>394</v>
      </c>
      <c r="C46" s="20" t="s">
        <v>48</v>
      </c>
      <c r="D46" s="17"/>
      <c r="E46" s="17">
        <v>89.86</v>
      </c>
      <c r="F46" s="17">
        <v>85</v>
      </c>
      <c r="G46" s="17"/>
      <c r="H46" s="6"/>
    </row>
    <row r="47" spans="1:8" s="12" customFormat="1" x14ac:dyDescent="0.2">
      <c r="A47" s="11" t="str">
        <f>LEFT(B47, FIND("-", B47) - 1)</f>
        <v>IT</v>
      </c>
      <c r="B47" s="29" t="s">
        <v>394</v>
      </c>
      <c r="C47" s="20" t="s">
        <v>42</v>
      </c>
      <c r="D47" s="17"/>
      <c r="E47" s="17">
        <v>85.71</v>
      </c>
      <c r="F47" s="17">
        <v>85</v>
      </c>
      <c r="G47" s="17"/>
      <c r="H47" s="6"/>
    </row>
    <row r="48" spans="1:8" s="12" customFormat="1" x14ac:dyDescent="0.2">
      <c r="A48" s="11" t="str">
        <f>LEFT(B48, FIND("-", B48) - 1)</f>
        <v>IT</v>
      </c>
      <c r="B48" s="29" t="s">
        <v>394</v>
      </c>
      <c r="C48" s="20" t="s">
        <v>49</v>
      </c>
      <c r="D48" s="17"/>
      <c r="E48" s="17">
        <v>89.97</v>
      </c>
      <c r="F48" s="17">
        <v>85</v>
      </c>
      <c r="G48" s="17"/>
      <c r="H48" s="6"/>
    </row>
    <row r="49" spans="1:8" s="12" customFormat="1" x14ac:dyDescent="0.2">
      <c r="A49" s="11" t="str">
        <f>LEFT(B49, FIND("-", B49) - 1)</f>
        <v>IT</v>
      </c>
      <c r="B49" s="29" t="s">
        <v>395</v>
      </c>
      <c r="C49" s="20" t="s">
        <v>40</v>
      </c>
      <c r="D49" s="21" t="s">
        <v>358</v>
      </c>
      <c r="E49" s="17"/>
      <c r="F49" s="17">
        <v>95</v>
      </c>
      <c r="G49" s="17">
        <v>100</v>
      </c>
      <c r="H49" s="6"/>
    </row>
    <row r="50" spans="1:8" s="12" customFormat="1" x14ac:dyDescent="0.2">
      <c r="A50" s="11" t="str">
        <f>LEFT(B50, FIND("-", B50) - 1)</f>
        <v>IT</v>
      </c>
      <c r="B50" s="29" t="s">
        <v>395</v>
      </c>
      <c r="C50" s="20" t="s">
        <v>40</v>
      </c>
      <c r="D50" s="21" t="s">
        <v>361</v>
      </c>
      <c r="E50" s="17"/>
      <c r="F50" s="17">
        <v>95</v>
      </c>
      <c r="G50" s="17">
        <v>100</v>
      </c>
      <c r="H50" s="6"/>
    </row>
    <row r="51" spans="1:8" s="12" customFormat="1" x14ac:dyDescent="0.2">
      <c r="A51" s="11" t="str">
        <f>LEFT(B51, FIND("-", B51) - 1)</f>
        <v>IT</v>
      </c>
      <c r="B51" s="29" t="s">
        <v>395</v>
      </c>
      <c r="C51" s="20" t="s">
        <v>40</v>
      </c>
      <c r="D51" s="21" t="s">
        <v>359</v>
      </c>
      <c r="E51" s="17"/>
      <c r="F51" s="17">
        <v>95</v>
      </c>
      <c r="G51" s="17">
        <v>100</v>
      </c>
      <c r="H51" s="6"/>
    </row>
    <row r="52" spans="1:8" s="12" customFormat="1" x14ac:dyDescent="0.2">
      <c r="A52" s="11" t="str">
        <f>LEFT(B52, FIND("-", B52) - 1)</f>
        <v>IT</v>
      </c>
      <c r="B52" s="29" t="s">
        <v>395</v>
      </c>
      <c r="C52" s="20" t="s">
        <v>40</v>
      </c>
      <c r="D52" s="21" t="s">
        <v>360</v>
      </c>
      <c r="E52" s="17"/>
      <c r="F52" s="17">
        <v>95</v>
      </c>
      <c r="G52" s="17">
        <v>100</v>
      </c>
      <c r="H52" s="6"/>
    </row>
    <row r="53" spans="1:8" s="12" customFormat="1" x14ac:dyDescent="0.2">
      <c r="A53" s="11" t="str">
        <f>LEFT(B53, FIND("-", B53) - 1)</f>
        <v>IT</v>
      </c>
      <c r="B53" s="29" t="s">
        <v>395</v>
      </c>
      <c r="C53" s="20" t="s">
        <v>48</v>
      </c>
      <c r="D53" s="21" t="s">
        <v>358</v>
      </c>
      <c r="E53" s="17"/>
      <c r="F53" s="17">
        <v>95</v>
      </c>
      <c r="G53" s="17">
        <v>100</v>
      </c>
      <c r="H53" s="6"/>
    </row>
    <row r="54" spans="1:8" s="12" customFormat="1" x14ac:dyDescent="0.2">
      <c r="A54" s="11" t="str">
        <f>LEFT(B54, FIND("-", B54) - 1)</f>
        <v>IT</v>
      </c>
      <c r="B54" s="29" t="s">
        <v>395</v>
      </c>
      <c r="C54" s="20" t="s">
        <v>48</v>
      </c>
      <c r="D54" s="21" t="s">
        <v>361</v>
      </c>
      <c r="E54" s="17"/>
      <c r="F54" s="17">
        <v>95</v>
      </c>
      <c r="G54" s="17">
        <v>100</v>
      </c>
      <c r="H54" s="6"/>
    </row>
    <row r="55" spans="1:8" s="12" customFormat="1" x14ac:dyDescent="0.2">
      <c r="A55" s="11" t="str">
        <f>LEFT(B55, FIND("-", B55) - 1)</f>
        <v>IT</v>
      </c>
      <c r="B55" s="29" t="s">
        <v>395</v>
      </c>
      <c r="C55" s="20" t="s">
        <v>48</v>
      </c>
      <c r="D55" s="21" t="s">
        <v>359</v>
      </c>
      <c r="E55" s="17"/>
      <c r="F55" s="17">
        <v>95</v>
      </c>
      <c r="G55" s="17">
        <v>100</v>
      </c>
      <c r="H55" s="6"/>
    </row>
    <row r="56" spans="1:8" s="12" customFormat="1" x14ac:dyDescent="0.2">
      <c r="A56" s="11" t="str">
        <f>LEFT(B56, FIND("-", B56) - 1)</f>
        <v>IT</v>
      </c>
      <c r="B56" s="29" t="s">
        <v>395</v>
      </c>
      <c r="C56" s="20" t="s">
        <v>48</v>
      </c>
      <c r="D56" s="21" t="s">
        <v>360</v>
      </c>
      <c r="E56" s="17"/>
      <c r="F56" s="17">
        <v>95</v>
      </c>
      <c r="G56" s="17">
        <v>100</v>
      </c>
      <c r="H56" s="6"/>
    </row>
    <row r="57" spans="1:8" s="12" customFormat="1" x14ac:dyDescent="0.2">
      <c r="A57" s="11" t="str">
        <f>LEFT(B57, FIND("-", B57) - 1)</f>
        <v>IT</v>
      </c>
      <c r="B57" s="29" t="s">
        <v>395</v>
      </c>
      <c r="C57" s="20" t="s">
        <v>42</v>
      </c>
      <c r="D57" s="21" t="s">
        <v>358</v>
      </c>
      <c r="E57" s="17"/>
      <c r="F57" s="17">
        <v>95</v>
      </c>
      <c r="G57" s="17">
        <v>100</v>
      </c>
      <c r="H57" s="6"/>
    </row>
    <row r="58" spans="1:8" s="12" customFormat="1" x14ac:dyDescent="0.2">
      <c r="A58" s="11" t="str">
        <f>LEFT(B58, FIND("-", B58) - 1)</f>
        <v>IT</v>
      </c>
      <c r="B58" s="29" t="s">
        <v>395</v>
      </c>
      <c r="C58" s="20" t="s">
        <v>42</v>
      </c>
      <c r="D58" s="21" t="s">
        <v>361</v>
      </c>
      <c r="E58" s="17"/>
      <c r="F58" s="17">
        <v>95</v>
      </c>
      <c r="G58" s="17">
        <v>100</v>
      </c>
      <c r="H58" s="6"/>
    </row>
    <row r="59" spans="1:8" s="12" customFormat="1" x14ac:dyDescent="0.2">
      <c r="A59" s="11" t="str">
        <f>LEFT(B59, FIND("-", B59) - 1)</f>
        <v>IT</v>
      </c>
      <c r="B59" s="29" t="s">
        <v>395</v>
      </c>
      <c r="C59" s="20" t="s">
        <v>42</v>
      </c>
      <c r="D59" s="21" t="s">
        <v>359</v>
      </c>
      <c r="E59" s="17"/>
      <c r="F59" s="17">
        <v>95</v>
      </c>
      <c r="G59" s="17">
        <v>100</v>
      </c>
      <c r="H59" s="6"/>
    </row>
    <row r="60" spans="1:8" s="12" customFormat="1" x14ac:dyDescent="0.2">
      <c r="A60" s="11" t="str">
        <f>LEFT(B60, FIND("-", B60) - 1)</f>
        <v>IT</v>
      </c>
      <c r="B60" s="29" t="s">
        <v>395</v>
      </c>
      <c r="C60" s="20" t="s">
        <v>42</v>
      </c>
      <c r="D60" s="21" t="s">
        <v>360</v>
      </c>
      <c r="E60" s="17"/>
      <c r="F60" s="17">
        <v>95</v>
      </c>
      <c r="G60" s="17">
        <v>100</v>
      </c>
      <c r="H60" s="6"/>
    </row>
    <row r="61" spans="1:8" s="12" customFormat="1" x14ac:dyDescent="0.2">
      <c r="A61" s="11" t="str">
        <f>LEFT(B61, FIND("-", B61) - 1)</f>
        <v>IT</v>
      </c>
      <c r="B61" s="29" t="s">
        <v>395</v>
      </c>
      <c r="C61" s="20" t="s">
        <v>49</v>
      </c>
      <c r="D61" s="21" t="s">
        <v>358</v>
      </c>
      <c r="E61" s="17"/>
      <c r="F61" s="17">
        <v>95</v>
      </c>
      <c r="G61" s="17">
        <v>100</v>
      </c>
      <c r="H61" s="6"/>
    </row>
    <row r="62" spans="1:8" s="12" customFormat="1" x14ac:dyDescent="0.2">
      <c r="A62" s="11" t="str">
        <f>LEFT(B62, FIND("-", B62) - 1)</f>
        <v>IT</v>
      </c>
      <c r="B62" s="29" t="s">
        <v>395</v>
      </c>
      <c r="C62" s="20" t="s">
        <v>49</v>
      </c>
      <c r="D62" s="21" t="s">
        <v>361</v>
      </c>
      <c r="E62" s="17"/>
      <c r="F62" s="17">
        <v>95</v>
      </c>
      <c r="G62" s="17">
        <v>100</v>
      </c>
      <c r="H62" s="6"/>
    </row>
    <row r="63" spans="1:8" s="12" customFormat="1" x14ac:dyDescent="0.2">
      <c r="A63" s="11" t="str">
        <f>LEFT(B63, FIND("-", B63) - 1)</f>
        <v>IT</v>
      </c>
      <c r="B63" s="29" t="s">
        <v>395</v>
      </c>
      <c r="C63" s="20" t="s">
        <v>49</v>
      </c>
      <c r="D63" s="21" t="s">
        <v>359</v>
      </c>
      <c r="E63" s="17"/>
      <c r="F63" s="17">
        <v>95</v>
      </c>
      <c r="G63" s="17">
        <v>100</v>
      </c>
      <c r="H63" s="6"/>
    </row>
    <row r="64" spans="1:8" s="12" customFormat="1" x14ac:dyDescent="0.2">
      <c r="A64" s="11" t="str">
        <f>LEFT(B64, FIND("-", B64) - 1)</f>
        <v>IT</v>
      </c>
      <c r="B64" s="29" t="s">
        <v>395</v>
      </c>
      <c r="C64" s="20" t="s">
        <v>49</v>
      </c>
      <c r="D64" s="21" t="s">
        <v>360</v>
      </c>
      <c r="E64" s="17"/>
      <c r="F64" s="17">
        <v>95</v>
      </c>
      <c r="G64" s="17">
        <v>100</v>
      </c>
      <c r="H64" s="6"/>
    </row>
    <row r="65" spans="1:8" s="12" customFormat="1" x14ac:dyDescent="0.2">
      <c r="A65" s="11" t="str">
        <f>LEFT(B65, FIND("-", B65) - 1)</f>
        <v>IT</v>
      </c>
      <c r="B65" s="29" t="s">
        <v>396</v>
      </c>
      <c r="C65" s="20" t="s">
        <v>365</v>
      </c>
      <c r="D65" s="16"/>
      <c r="E65" s="17">
        <v>8.9</v>
      </c>
      <c r="F65" s="17">
        <v>3.9</v>
      </c>
      <c r="G65" s="17">
        <v>3.9</v>
      </c>
      <c r="H65" s="6"/>
    </row>
    <row r="66" spans="1:8" s="12" customFormat="1" x14ac:dyDescent="0.2">
      <c r="A66" s="11" t="str">
        <f>LEFT(B66, FIND("-", B66) - 1)</f>
        <v>IT</v>
      </c>
      <c r="B66" s="29" t="s">
        <v>396</v>
      </c>
      <c r="C66" s="20" t="s">
        <v>366</v>
      </c>
      <c r="D66" s="16"/>
      <c r="E66" s="17">
        <v>2.4</v>
      </c>
      <c r="F66" s="17">
        <v>3.9</v>
      </c>
      <c r="G66" s="17">
        <v>3.9</v>
      </c>
      <c r="H66" s="6"/>
    </row>
    <row r="67" spans="1:8" s="6" customFormat="1" ht="14" x14ac:dyDescent="0.2">
      <c r="A67" s="6" t="str">
        <f>LEFT(B67, FIND("-", B67) - 1)</f>
        <v>IT</v>
      </c>
      <c r="B67" s="6" t="s">
        <v>396</v>
      </c>
      <c r="C67" s="19" t="s">
        <v>367</v>
      </c>
      <c r="D67" s="19"/>
      <c r="E67" s="19">
        <v>1.05</v>
      </c>
      <c r="F67" s="19">
        <v>3.9</v>
      </c>
      <c r="G67" s="19">
        <v>3.9</v>
      </c>
    </row>
    <row r="68" spans="1:8" s="6" customFormat="1" ht="14" x14ac:dyDescent="0.2">
      <c r="A68" s="6" t="str">
        <f>LEFT(B68, FIND("-", B68) - 1)</f>
        <v>IT</v>
      </c>
      <c r="B68" s="6" t="s">
        <v>396</v>
      </c>
      <c r="C68" s="19" t="s">
        <v>368</v>
      </c>
      <c r="D68" s="19"/>
      <c r="E68" s="19">
        <v>0.9</v>
      </c>
      <c r="F68" s="19">
        <v>3.9</v>
      </c>
      <c r="G68" s="19">
        <v>3.9</v>
      </c>
    </row>
    <row r="69" spans="1:8" s="6" customFormat="1" ht="14" x14ac:dyDescent="0.2">
      <c r="A69" s="6" t="str">
        <f>LEFT(B69, FIND("-", B69) - 1)</f>
        <v>IT</v>
      </c>
      <c r="B69" s="6" t="s">
        <v>396</v>
      </c>
      <c r="C69" s="19" t="s">
        <v>369</v>
      </c>
      <c r="D69" s="19"/>
      <c r="E69" s="19">
        <v>0.63333333333333297</v>
      </c>
      <c r="F69" s="19">
        <v>3.9</v>
      </c>
      <c r="G69" s="19">
        <v>3.9</v>
      </c>
    </row>
    <row r="70" spans="1:8" s="6" customFormat="1" ht="14" x14ac:dyDescent="0.2">
      <c r="A70" s="6" t="str">
        <f>LEFT(B70, FIND("-", B70) - 1)</f>
        <v>IT</v>
      </c>
      <c r="B70" s="6" t="s">
        <v>396</v>
      </c>
      <c r="C70" s="19" t="s">
        <v>370</v>
      </c>
      <c r="D70" s="19"/>
      <c r="E70" s="19">
        <v>0.7</v>
      </c>
      <c r="F70" s="19">
        <v>3.9</v>
      </c>
      <c r="G70" s="19">
        <v>3.9</v>
      </c>
    </row>
    <row r="71" spans="1:8" s="6" customFormat="1" ht="14" x14ac:dyDescent="0.2">
      <c r="A71" s="6" t="str">
        <f>LEFT(B71, FIND("-", B71) - 1)</f>
        <v>IT</v>
      </c>
      <c r="B71" s="6" t="s">
        <v>396</v>
      </c>
      <c r="C71" s="19" t="s">
        <v>371</v>
      </c>
      <c r="D71" s="19"/>
      <c r="E71" s="19">
        <v>1.13333333333333</v>
      </c>
      <c r="F71" s="19">
        <v>3.9</v>
      </c>
      <c r="G71" s="19">
        <v>3.9</v>
      </c>
    </row>
    <row r="72" spans="1:8" s="6" customFormat="1" ht="14" x14ac:dyDescent="0.2">
      <c r="A72" s="6" t="str">
        <f>LEFT(B72, FIND("-", B72) - 1)</f>
        <v>IT</v>
      </c>
      <c r="B72" s="6" t="s">
        <v>396</v>
      </c>
      <c r="C72" s="19" t="s">
        <v>372</v>
      </c>
      <c r="D72" s="19"/>
      <c r="E72" s="19">
        <v>0.56666666666666698</v>
      </c>
      <c r="F72" s="19">
        <v>3.9</v>
      </c>
      <c r="G72" s="19">
        <v>3.9</v>
      </c>
    </row>
    <row r="73" spans="1:8" s="6" customFormat="1" ht="14" x14ac:dyDescent="0.2">
      <c r="A73" s="6" t="str">
        <f>LEFT(B73, FIND("-", B73) - 1)</f>
        <v>IT</v>
      </c>
      <c r="B73" s="6" t="s">
        <v>396</v>
      </c>
      <c r="C73" s="19" t="s">
        <v>373</v>
      </c>
      <c r="D73" s="19"/>
      <c r="E73" s="19">
        <v>0.83333333333333304</v>
      </c>
      <c r="F73" s="19">
        <v>3.9</v>
      </c>
      <c r="G73" s="19">
        <v>3.9</v>
      </c>
    </row>
    <row r="74" spans="1:8" s="6" customFormat="1" ht="14" x14ac:dyDescent="0.2">
      <c r="A74" s="6" t="str">
        <f>LEFT(B74, FIND("-", B74) - 1)</f>
        <v>IT</v>
      </c>
      <c r="B74" s="6" t="s">
        <v>396</v>
      </c>
      <c r="C74" s="19" t="s">
        <v>374</v>
      </c>
      <c r="D74" s="19"/>
      <c r="E74" s="19">
        <v>1.5333333333333301</v>
      </c>
      <c r="F74" s="19">
        <v>3.9</v>
      </c>
      <c r="G74" s="19">
        <v>3.9</v>
      </c>
    </row>
    <row r="75" spans="1:8" s="6" customFormat="1" ht="14" x14ac:dyDescent="0.2">
      <c r="A75" s="6" t="str">
        <f>LEFT(B75, FIND("-", B75) - 1)</f>
        <v>IT</v>
      </c>
      <c r="B75" s="6" t="s">
        <v>396</v>
      </c>
      <c r="C75" s="19" t="s">
        <v>375</v>
      </c>
      <c r="D75" s="19"/>
      <c r="E75" s="19">
        <v>1.1000000000000001</v>
      </c>
      <c r="F75" s="19">
        <v>3.9</v>
      </c>
      <c r="G75" s="19">
        <v>3.9</v>
      </c>
    </row>
    <row r="76" spans="1:8" s="6" customFormat="1" ht="14" x14ac:dyDescent="0.2">
      <c r="A76" s="6" t="str">
        <f>LEFT(B76, FIND("-", B76) - 1)</f>
        <v>IT</v>
      </c>
      <c r="B76" s="6" t="s">
        <v>396</v>
      </c>
      <c r="C76" s="19" t="s">
        <v>376</v>
      </c>
      <c r="D76" s="19"/>
      <c r="E76" s="19">
        <v>0.66666666666666696</v>
      </c>
      <c r="F76" s="19">
        <v>3.9</v>
      </c>
      <c r="G76" s="19">
        <v>3.9</v>
      </c>
    </row>
    <row r="77" spans="1:8" s="6" customFormat="1" ht="14" x14ac:dyDescent="0.2">
      <c r="A77" s="6" t="str">
        <f>LEFT(B77, FIND("-", B77) - 1)</f>
        <v>IT</v>
      </c>
      <c r="B77" s="6" t="s">
        <v>396</v>
      </c>
      <c r="C77" s="19" t="s">
        <v>377</v>
      </c>
      <c r="D77" s="19"/>
      <c r="E77" s="19">
        <v>0.73333333333333295</v>
      </c>
      <c r="F77" s="19">
        <v>3.9</v>
      </c>
      <c r="G77" s="19">
        <v>3.9</v>
      </c>
    </row>
    <row r="78" spans="1:8" s="6" customFormat="1" ht="14" x14ac:dyDescent="0.2">
      <c r="A78" s="6" t="str">
        <f>LEFT(B78, FIND("-", B78) - 1)</f>
        <v>IT</v>
      </c>
      <c r="B78" s="6" t="s">
        <v>396</v>
      </c>
      <c r="C78" s="19" t="s">
        <v>378</v>
      </c>
      <c r="D78" s="19"/>
      <c r="E78" s="19">
        <v>0.75</v>
      </c>
      <c r="F78" s="19">
        <v>3.9</v>
      </c>
      <c r="G78" s="19">
        <v>3.9</v>
      </c>
    </row>
    <row r="79" spans="1:8" s="6" customFormat="1" ht="14" x14ac:dyDescent="0.2">
      <c r="A79" s="6" t="str">
        <f>LEFT(B79, FIND("-", B79) - 1)</f>
        <v>IT</v>
      </c>
      <c r="B79" s="6" t="s">
        <v>396</v>
      </c>
      <c r="C79" s="19" t="s">
        <v>379</v>
      </c>
      <c r="D79" s="19"/>
      <c r="E79" s="19">
        <v>8.3666666666666707</v>
      </c>
      <c r="F79" s="19">
        <v>3.9</v>
      </c>
      <c r="G79" s="19">
        <v>3.9</v>
      </c>
    </row>
    <row r="80" spans="1:8" s="6" customFormat="1" ht="14" x14ac:dyDescent="0.2">
      <c r="A80" s="6" t="str">
        <f>LEFT(B80, FIND("-", B80) - 1)</f>
        <v>IT</v>
      </c>
      <c r="B80" s="6" t="s">
        <v>396</v>
      </c>
      <c r="C80" s="19" t="s">
        <v>380</v>
      </c>
      <c r="D80" s="19"/>
      <c r="E80" s="19">
        <v>9.6999999999999993</v>
      </c>
      <c r="F80" s="19">
        <v>3.9</v>
      </c>
      <c r="G80" s="19">
        <v>3.9</v>
      </c>
    </row>
    <row r="81" spans="1:7" s="6" customFormat="1" ht="14" x14ac:dyDescent="0.2">
      <c r="A81" s="6" t="str">
        <f>LEFT(B81, FIND("-", B81) - 1)</f>
        <v>IT</v>
      </c>
      <c r="B81" s="6" t="s">
        <v>396</v>
      </c>
      <c r="C81" s="19" t="s">
        <v>381</v>
      </c>
      <c r="D81" s="19"/>
      <c r="E81" s="19">
        <v>10.5666666666667</v>
      </c>
      <c r="F81" s="19">
        <v>3.9</v>
      </c>
      <c r="G81" s="19">
        <v>3.9</v>
      </c>
    </row>
    <row r="82" spans="1:7" s="6" customFormat="1" ht="14" x14ac:dyDescent="0.2">
      <c r="A82" s="6" t="str">
        <f>LEFT(B82, FIND("-", B82) - 1)</f>
        <v>IT</v>
      </c>
      <c r="B82" s="6" t="s">
        <v>396</v>
      </c>
      <c r="C82" s="19" t="s">
        <v>382</v>
      </c>
      <c r="D82" s="19"/>
      <c r="E82" s="19">
        <v>1.7</v>
      </c>
      <c r="F82" s="19">
        <v>3.9</v>
      </c>
      <c r="G82" s="19">
        <v>3.9</v>
      </c>
    </row>
    <row r="83" spans="1:7" s="6" customFormat="1" ht="14" x14ac:dyDescent="0.2">
      <c r="A83" s="6" t="str">
        <f>LEFT(B83, FIND("-", B83) - 1)</f>
        <v>IT</v>
      </c>
      <c r="B83" s="6" t="s">
        <v>396</v>
      </c>
      <c r="C83" s="19" t="s">
        <v>383</v>
      </c>
      <c r="D83" s="19"/>
      <c r="E83" s="19">
        <v>0.73333333333333295</v>
      </c>
      <c r="F83" s="19">
        <v>3.9</v>
      </c>
      <c r="G83" s="19">
        <v>3.9</v>
      </c>
    </row>
    <row r="84" spans="1:7" s="6" customFormat="1" ht="14" x14ac:dyDescent="0.2">
      <c r="A84" s="6" t="str">
        <f>LEFT(B84, FIND("-", B84) - 1)</f>
        <v>IT</v>
      </c>
      <c r="B84" s="6" t="s">
        <v>396</v>
      </c>
      <c r="C84" s="19" t="s">
        <v>384</v>
      </c>
      <c r="D84" s="19"/>
      <c r="E84" s="19">
        <v>0.76666666666666705</v>
      </c>
      <c r="F84" s="19">
        <v>3.9</v>
      </c>
      <c r="G84" s="19">
        <v>3.9</v>
      </c>
    </row>
    <row r="85" spans="1:7" s="30" customFormat="1" ht="14" x14ac:dyDescent="0.15">
      <c r="A85" s="30" t="str">
        <f>LEFT(B85, FIND("-", B85) - 1)</f>
        <v>LIB</v>
      </c>
      <c r="B85" s="30" t="s">
        <v>449</v>
      </c>
      <c r="C85" s="25" t="s">
        <v>47</v>
      </c>
      <c r="D85" s="25" t="s">
        <v>450</v>
      </c>
      <c r="E85" s="25">
        <v>143</v>
      </c>
      <c r="F85" s="25">
        <v>150</v>
      </c>
      <c r="G85" s="25">
        <v>150</v>
      </c>
    </row>
    <row r="86" spans="1:7" s="30" customFormat="1" ht="14" x14ac:dyDescent="0.15">
      <c r="A86" s="30" t="str">
        <f>LEFT(B86, FIND("-", B86) - 1)</f>
        <v>LIB</v>
      </c>
      <c r="B86" s="30" t="s">
        <v>449</v>
      </c>
      <c r="C86" s="25" t="s">
        <v>40</v>
      </c>
      <c r="D86" s="25" t="s">
        <v>450</v>
      </c>
      <c r="E86" s="25">
        <v>146</v>
      </c>
      <c r="F86" s="25">
        <v>150</v>
      </c>
      <c r="G86" s="25">
        <v>150</v>
      </c>
    </row>
    <row r="87" spans="1:7" s="30" customFormat="1" ht="14" x14ac:dyDescent="0.15">
      <c r="A87" s="30" t="str">
        <f>LEFT(B87, FIND("-", B87) - 1)</f>
        <v>LIB</v>
      </c>
      <c r="B87" s="30" t="s">
        <v>449</v>
      </c>
      <c r="C87" s="25" t="s">
        <v>48</v>
      </c>
      <c r="D87" s="25" t="s">
        <v>450</v>
      </c>
      <c r="E87" s="25">
        <v>47</v>
      </c>
      <c r="F87" s="25">
        <v>150</v>
      </c>
      <c r="G87" s="25">
        <v>150</v>
      </c>
    </row>
    <row r="88" spans="1:7" s="30" customFormat="1" ht="14" x14ac:dyDescent="0.15">
      <c r="A88" s="30" t="str">
        <f>LEFT(B88, FIND("-", B88) - 1)</f>
        <v>LIB</v>
      </c>
      <c r="B88" s="30" t="s">
        <v>449</v>
      </c>
      <c r="C88" s="25" t="s">
        <v>42</v>
      </c>
      <c r="D88" s="25" t="s">
        <v>450</v>
      </c>
      <c r="E88" s="25">
        <v>122</v>
      </c>
      <c r="F88" s="25">
        <v>150</v>
      </c>
      <c r="G88" s="25">
        <v>150</v>
      </c>
    </row>
    <row r="89" spans="1:7" s="30" customFormat="1" ht="14" x14ac:dyDescent="0.15">
      <c r="A89" s="30" t="str">
        <f>LEFT(B89, FIND("-", B89) - 1)</f>
        <v>LIB</v>
      </c>
      <c r="B89" s="30" t="s">
        <v>449</v>
      </c>
      <c r="C89" s="25" t="s">
        <v>49</v>
      </c>
      <c r="D89" s="25" t="s">
        <v>450</v>
      </c>
      <c r="E89" s="25">
        <v>112</v>
      </c>
      <c r="F89" s="25">
        <v>150</v>
      </c>
      <c r="G89" s="25">
        <v>150</v>
      </c>
    </row>
    <row r="90" spans="1:7" s="30" customFormat="1" ht="14" x14ac:dyDescent="0.15">
      <c r="A90" s="30" t="str">
        <f>LEFT(B90, FIND("-", B90) - 1)</f>
        <v>LIB</v>
      </c>
      <c r="B90" s="30" t="s">
        <v>449</v>
      </c>
      <c r="C90" s="25" t="s">
        <v>47</v>
      </c>
      <c r="D90" s="25" t="s">
        <v>447</v>
      </c>
      <c r="E90" s="25">
        <v>55</v>
      </c>
      <c r="F90" s="25">
        <v>50</v>
      </c>
      <c r="G90" s="25">
        <v>50</v>
      </c>
    </row>
    <row r="91" spans="1:7" s="30" customFormat="1" ht="14" x14ac:dyDescent="0.15">
      <c r="A91" s="30" t="str">
        <f>LEFT(B91, FIND("-", B91) - 1)</f>
        <v>LIB</v>
      </c>
      <c r="B91" s="30" t="s">
        <v>449</v>
      </c>
      <c r="C91" s="25" t="s">
        <v>40</v>
      </c>
      <c r="D91" s="25" t="s">
        <v>447</v>
      </c>
      <c r="E91" s="25">
        <v>48</v>
      </c>
      <c r="F91" s="25">
        <v>50</v>
      </c>
      <c r="G91" s="25">
        <v>50</v>
      </c>
    </row>
    <row r="92" spans="1:7" s="30" customFormat="1" ht="14" x14ac:dyDescent="0.15">
      <c r="A92" s="30" t="str">
        <f>LEFT(B92, FIND("-", B92) - 1)</f>
        <v>LIB</v>
      </c>
      <c r="B92" s="30" t="s">
        <v>449</v>
      </c>
      <c r="C92" s="25" t="s">
        <v>48</v>
      </c>
      <c r="D92" s="25" t="s">
        <v>447</v>
      </c>
      <c r="E92" s="25">
        <v>25</v>
      </c>
      <c r="F92" s="25">
        <v>50</v>
      </c>
      <c r="G92" s="25">
        <v>50</v>
      </c>
    </row>
    <row r="93" spans="1:7" s="30" customFormat="1" ht="14" x14ac:dyDescent="0.15">
      <c r="A93" s="30" t="str">
        <f>LEFT(B93, FIND("-", B93) - 1)</f>
        <v>LIB</v>
      </c>
      <c r="B93" s="30" t="s">
        <v>449</v>
      </c>
      <c r="C93" s="25" t="s">
        <v>42</v>
      </c>
      <c r="D93" s="25" t="s">
        <v>447</v>
      </c>
      <c r="E93" s="25">
        <v>68</v>
      </c>
      <c r="F93" s="25">
        <v>50</v>
      </c>
      <c r="G93" s="25">
        <v>50</v>
      </c>
    </row>
    <row r="94" spans="1:7" s="30" customFormat="1" ht="14" x14ac:dyDescent="0.15">
      <c r="A94" s="30" t="str">
        <f>LEFT(B94, FIND("-", B94) - 1)</f>
        <v>LIB</v>
      </c>
      <c r="B94" s="30" t="s">
        <v>449</v>
      </c>
      <c r="C94" s="25" t="s">
        <v>49</v>
      </c>
      <c r="D94" s="25" t="s">
        <v>447</v>
      </c>
      <c r="E94" s="25">
        <v>54</v>
      </c>
      <c r="F94" s="25">
        <v>50</v>
      </c>
      <c r="G94" s="25">
        <v>50</v>
      </c>
    </row>
    <row r="95" spans="1:7" s="30" customFormat="1" ht="14" x14ac:dyDescent="0.15">
      <c r="A95" s="30" t="str">
        <f>LEFT(B95, FIND("-", B95) - 1)</f>
        <v>LIB</v>
      </c>
      <c r="B95" s="30" t="s">
        <v>449</v>
      </c>
      <c r="C95" s="25" t="s">
        <v>47</v>
      </c>
      <c r="D95" s="25" t="s">
        <v>448</v>
      </c>
      <c r="E95" s="25">
        <v>88</v>
      </c>
      <c r="F95" s="25">
        <v>50</v>
      </c>
      <c r="G95" s="25">
        <v>50</v>
      </c>
    </row>
    <row r="96" spans="1:7" s="30" customFormat="1" ht="14" x14ac:dyDescent="0.15">
      <c r="A96" s="30" t="str">
        <f>LEFT(B96, FIND("-", B96) - 1)</f>
        <v>LIB</v>
      </c>
      <c r="B96" s="30" t="s">
        <v>449</v>
      </c>
      <c r="C96" s="25" t="s">
        <v>40</v>
      </c>
      <c r="D96" s="25" t="s">
        <v>448</v>
      </c>
      <c r="E96" s="25">
        <v>98</v>
      </c>
      <c r="F96" s="25">
        <v>50</v>
      </c>
      <c r="G96" s="25">
        <v>50</v>
      </c>
    </row>
    <row r="97" spans="1:7" s="30" customFormat="1" ht="14" x14ac:dyDescent="0.15">
      <c r="A97" s="30" t="str">
        <f>LEFT(B97, FIND("-", B97) - 1)</f>
        <v>LIB</v>
      </c>
      <c r="B97" s="30" t="s">
        <v>449</v>
      </c>
      <c r="C97" s="25" t="s">
        <v>48</v>
      </c>
      <c r="D97" s="25" t="s">
        <v>448</v>
      </c>
      <c r="E97" s="25">
        <v>22</v>
      </c>
      <c r="F97" s="25">
        <v>50</v>
      </c>
      <c r="G97" s="25">
        <v>50</v>
      </c>
    </row>
    <row r="98" spans="1:7" s="30" customFormat="1" ht="14" x14ac:dyDescent="0.15">
      <c r="A98" s="30" t="str">
        <f>LEFT(B98, FIND("-", B98) - 1)</f>
        <v>LIB</v>
      </c>
      <c r="B98" s="30" t="s">
        <v>449</v>
      </c>
      <c r="C98" s="25" t="s">
        <v>42</v>
      </c>
      <c r="D98" s="25" t="s">
        <v>448</v>
      </c>
      <c r="E98" s="25">
        <v>54</v>
      </c>
      <c r="F98" s="25">
        <v>50</v>
      </c>
      <c r="G98" s="25">
        <v>50</v>
      </c>
    </row>
    <row r="99" spans="1:7" s="30" customFormat="1" ht="14" x14ac:dyDescent="0.15">
      <c r="A99" s="30" t="str">
        <f>LEFT(B99, FIND("-", B99) - 1)</f>
        <v>LIB</v>
      </c>
      <c r="B99" s="30" t="s">
        <v>449</v>
      </c>
      <c r="C99" s="25" t="s">
        <v>49</v>
      </c>
      <c r="D99" s="25" t="s">
        <v>448</v>
      </c>
      <c r="E99" s="25">
        <v>58</v>
      </c>
      <c r="F99" s="25">
        <v>50</v>
      </c>
      <c r="G99" s="25">
        <v>50</v>
      </c>
    </row>
    <row r="100" spans="1:7" s="30" customFormat="1" ht="14" x14ac:dyDescent="0.15">
      <c r="A100" s="30" t="str">
        <f>LEFT(B100, FIND("-", B100) - 1)</f>
        <v>LIB</v>
      </c>
      <c r="B100" s="30" t="s">
        <v>398</v>
      </c>
      <c r="C100" s="25" t="s">
        <v>430</v>
      </c>
      <c r="D100" s="25"/>
      <c r="E100" s="25"/>
      <c r="F100" s="25"/>
      <c r="G100" s="25"/>
    </row>
    <row r="101" spans="1:7" s="30" customFormat="1" ht="14" x14ac:dyDescent="0.15">
      <c r="A101" s="30" t="str">
        <f>LEFT(B101, FIND("-", B101) - 1)</f>
        <v>LIB</v>
      </c>
      <c r="B101" s="30" t="s">
        <v>446</v>
      </c>
      <c r="C101" s="25" t="s">
        <v>430</v>
      </c>
      <c r="D101" s="25"/>
      <c r="E101" s="25"/>
      <c r="F101" s="25"/>
      <c r="G101" s="25"/>
    </row>
    <row r="102" spans="1:7" s="30" customFormat="1" ht="14" x14ac:dyDescent="0.15">
      <c r="A102" s="30" t="str">
        <f>LEFT(B102, FIND("-", B102) - 1)</f>
        <v>LIB</v>
      </c>
      <c r="B102" s="30" t="s">
        <v>399</v>
      </c>
      <c r="C102" s="25" t="s">
        <v>430</v>
      </c>
      <c r="D102" s="25"/>
      <c r="E102" s="25"/>
      <c r="F102" s="25"/>
      <c r="G102" s="25"/>
    </row>
    <row r="103" spans="1:7" s="30" customFormat="1" ht="14" x14ac:dyDescent="0.15">
      <c r="A103" s="30" t="str">
        <f>LEFT(B103, FIND("-", B103) - 1)</f>
        <v>LIB</v>
      </c>
      <c r="B103" s="30" t="s">
        <v>400</v>
      </c>
      <c r="C103" s="25" t="s">
        <v>430</v>
      </c>
      <c r="D103" s="25"/>
      <c r="E103" s="25"/>
      <c r="F103" s="25"/>
      <c r="G103" s="25"/>
    </row>
    <row r="104" spans="1:7" s="30" customFormat="1" ht="14" x14ac:dyDescent="0.15">
      <c r="A104" s="30" t="str">
        <f>LEFT(B104, FIND("-", B104) - 1)</f>
        <v>LIB</v>
      </c>
      <c r="B104" s="30" t="s">
        <v>401</v>
      </c>
      <c r="C104" s="25" t="s">
        <v>430</v>
      </c>
      <c r="D104" s="25"/>
      <c r="E104" s="25"/>
      <c r="F104" s="25"/>
      <c r="G104" s="25"/>
    </row>
    <row r="105" spans="1:7" s="30" customFormat="1" ht="14" x14ac:dyDescent="0.15">
      <c r="A105" s="30" t="str">
        <f>LEFT(B105, FIND("-", B105) - 1)</f>
        <v>LIB</v>
      </c>
      <c r="B105" s="30" t="s">
        <v>402</v>
      </c>
      <c r="C105" s="25" t="s">
        <v>430</v>
      </c>
      <c r="D105" s="25"/>
      <c r="E105" s="25"/>
      <c r="F105" s="25"/>
      <c r="G105" s="25"/>
    </row>
    <row r="106" spans="1:7" s="30" customFormat="1" ht="14" x14ac:dyDescent="0.15">
      <c r="A106" s="30" t="str">
        <f>LEFT(B106, FIND("-", B106) - 1)</f>
        <v>LIB</v>
      </c>
      <c r="B106" s="30" t="s">
        <v>403</v>
      </c>
      <c r="C106" s="25" t="s">
        <v>430</v>
      </c>
      <c r="D106" s="25"/>
      <c r="E106" s="25"/>
      <c r="F106" s="25"/>
      <c r="G106" s="25"/>
    </row>
    <row r="107" spans="1:7" s="30" customFormat="1" ht="14" x14ac:dyDescent="0.15">
      <c r="A107" s="30" t="str">
        <f>LEFT(B107, FIND("-", B107) - 1)</f>
        <v>LIB</v>
      </c>
      <c r="B107" s="30" t="s">
        <v>397</v>
      </c>
      <c r="C107" s="25" t="s">
        <v>46</v>
      </c>
      <c r="D107" s="25"/>
      <c r="E107" s="25">
        <v>65014</v>
      </c>
      <c r="F107" s="25">
        <v>71834</v>
      </c>
      <c r="G107" s="25">
        <v>62464</v>
      </c>
    </row>
    <row r="108" spans="1:7" s="30" customFormat="1" ht="14" x14ac:dyDescent="0.15">
      <c r="A108" s="30" t="str">
        <f>LEFT(B108, FIND("-", B108) - 1)</f>
        <v>LIB</v>
      </c>
      <c r="B108" s="30" t="s">
        <v>397</v>
      </c>
      <c r="C108" s="25" t="s">
        <v>47</v>
      </c>
      <c r="D108" s="25"/>
      <c r="E108" s="25">
        <v>103774</v>
      </c>
      <c r="F108" s="25">
        <v>102033</v>
      </c>
      <c r="G108" s="25">
        <v>88724</v>
      </c>
    </row>
    <row r="109" spans="1:7" s="30" customFormat="1" ht="14" x14ac:dyDescent="0.15">
      <c r="A109" s="30" t="str">
        <f>LEFT(B109, FIND("-", B109) - 1)</f>
        <v>LIB</v>
      </c>
      <c r="B109" s="30" t="s">
        <v>397</v>
      </c>
      <c r="C109" s="25" t="s">
        <v>40</v>
      </c>
      <c r="D109" s="25"/>
      <c r="E109" s="25">
        <v>211580</v>
      </c>
      <c r="F109" s="25">
        <v>150513</v>
      </c>
      <c r="G109" s="25">
        <v>130881</v>
      </c>
    </row>
    <row r="110" spans="1:7" s="30" customFormat="1" ht="14" x14ac:dyDescent="0.15">
      <c r="A110" s="30" t="str">
        <f>LEFT(B110, FIND("-", B110) - 1)</f>
        <v>LIB</v>
      </c>
      <c r="B110" s="30" t="s">
        <v>397</v>
      </c>
      <c r="C110" s="25" t="s">
        <v>48</v>
      </c>
      <c r="D110" s="25"/>
      <c r="E110" s="25">
        <v>280116</v>
      </c>
      <c r="F110" s="25">
        <v>173234</v>
      </c>
      <c r="G110" s="25">
        <v>150638</v>
      </c>
    </row>
    <row r="111" spans="1:7" s="30" customFormat="1" ht="14" x14ac:dyDescent="0.15">
      <c r="A111" s="30" t="str">
        <f>LEFT(B111, FIND("-", B111) - 1)</f>
        <v>LIB</v>
      </c>
      <c r="B111" s="30" t="s">
        <v>397</v>
      </c>
      <c r="C111" s="25" t="s">
        <v>42</v>
      </c>
      <c r="D111" s="25"/>
      <c r="E111" s="25">
        <v>287958</v>
      </c>
      <c r="F111" s="25">
        <v>197111</v>
      </c>
      <c r="G111" s="25">
        <v>171401</v>
      </c>
    </row>
    <row r="112" spans="1:7" s="30" customFormat="1" ht="14" x14ac:dyDescent="0.15">
      <c r="A112" s="30" t="str">
        <f>LEFT(B112, FIND("-", B112) - 1)</f>
        <v>LIB</v>
      </c>
      <c r="B112" s="30" t="s">
        <v>397</v>
      </c>
      <c r="C112" s="25" t="s">
        <v>49</v>
      </c>
      <c r="D112" s="25"/>
      <c r="E112" s="25">
        <v>293189</v>
      </c>
      <c r="F112" s="25">
        <v>201250</v>
      </c>
      <c r="G112" s="25">
        <v>175000</v>
      </c>
    </row>
    <row r="113" spans="1:7" s="31" customFormat="1" ht="14" x14ac:dyDescent="0.15">
      <c r="A113" s="31" t="str">
        <f>LEFT(B113, FIND("-", B113) - 1)</f>
        <v>PIO</v>
      </c>
      <c r="B113" s="31" t="s">
        <v>431</v>
      </c>
      <c r="C113" s="26" t="s">
        <v>47</v>
      </c>
      <c r="D113" s="26" t="s">
        <v>434</v>
      </c>
      <c r="E113" s="26">
        <v>4.1100000000000003</v>
      </c>
      <c r="F113" s="26">
        <v>5.9</v>
      </c>
      <c r="G113" s="26">
        <v>2.6</v>
      </c>
    </row>
    <row r="114" spans="1:7" s="31" customFormat="1" ht="14" x14ac:dyDescent="0.15">
      <c r="A114" s="31" t="str">
        <f>LEFT(B114, FIND("-", B114) - 1)</f>
        <v>PIO</v>
      </c>
      <c r="B114" s="31" t="s">
        <v>431</v>
      </c>
      <c r="C114" s="26" t="s">
        <v>40</v>
      </c>
      <c r="D114" s="26" t="s">
        <v>434</v>
      </c>
      <c r="E114" s="26">
        <v>4.2</v>
      </c>
      <c r="F114" s="26">
        <v>5.9</v>
      </c>
      <c r="G114" s="26">
        <v>2.6</v>
      </c>
    </row>
    <row r="115" spans="1:7" s="31" customFormat="1" ht="14" x14ac:dyDescent="0.15">
      <c r="A115" s="31" t="str">
        <f>LEFT(B115, FIND("-", B115) - 1)</f>
        <v>PIO</v>
      </c>
      <c r="B115" s="31" t="s">
        <v>431</v>
      </c>
      <c r="C115" s="26" t="s">
        <v>48</v>
      </c>
      <c r="D115" s="26" t="s">
        <v>434</v>
      </c>
      <c r="E115" s="26">
        <v>5.0999999999999996</v>
      </c>
      <c r="F115" s="26">
        <v>5.9</v>
      </c>
      <c r="G115" s="26">
        <v>2.6</v>
      </c>
    </row>
    <row r="116" spans="1:7" s="31" customFormat="1" ht="14" x14ac:dyDescent="0.15">
      <c r="A116" s="31" t="str">
        <f>LEFT(B116, FIND("-", B116) - 1)</f>
        <v>PIO</v>
      </c>
      <c r="B116" s="31" t="s">
        <v>431</v>
      </c>
      <c r="C116" s="26" t="s">
        <v>42</v>
      </c>
      <c r="D116" s="26" t="s">
        <v>434</v>
      </c>
      <c r="E116" s="26">
        <v>5.7</v>
      </c>
      <c r="F116" s="26">
        <v>5.9</v>
      </c>
      <c r="G116" s="26">
        <v>2.6</v>
      </c>
    </row>
    <row r="117" spans="1:7" s="31" customFormat="1" ht="14" x14ac:dyDescent="0.15">
      <c r="A117" s="31" t="str">
        <f>LEFT(B117, FIND("-", B117) - 1)</f>
        <v>PIO</v>
      </c>
      <c r="B117" s="31" t="s">
        <v>431</v>
      </c>
      <c r="C117" s="26" t="s">
        <v>49</v>
      </c>
      <c r="D117" s="26" t="s">
        <v>434</v>
      </c>
      <c r="E117" s="26">
        <v>3.5</v>
      </c>
      <c r="F117" s="26">
        <v>3.5</v>
      </c>
      <c r="G117" s="26">
        <v>3.5</v>
      </c>
    </row>
    <row r="118" spans="1:7" s="31" customFormat="1" ht="14" x14ac:dyDescent="0.15">
      <c r="A118" s="31" t="str">
        <f>LEFT(B118, FIND("-", B118) - 1)</f>
        <v>PIO</v>
      </c>
      <c r="B118" s="31" t="s">
        <v>431</v>
      </c>
      <c r="C118" s="26" t="s">
        <v>47</v>
      </c>
      <c r="D118" s="26" t="s">
        <v>435</v>
      </c>
      <c r="E118" s="26">
        <v>8.4</v>
      </c>
      <c r="F118" s="26">
        <v>6.5</v>
      </c>
      <c r="G118" s="26">
        <v>2.5</v>
      </c>
    </row>
    <row r="119" spans="1:7" s="31" customFormat="1" ht="14" x14ac:dyDescent="0.15">
      <c r="A119" s="31" t="str">
        <f>LEFT(B119, FIND("-", B119) - 1)</f>
        <v>PIO</v>
      </c>
      <c r="B119" s="31" t="s">
        <v>431</v>
      </c>
      <c r="C119" s="26" t="s">
        <v>40</v>
      </c>
      <c r="D119" s="26" t="s">
        <v>435</v>
      </c>
      <c r="E119" s="26">
        <v>6.9</v>
      </c>
      <c r="F119" s="26">
        <v>6.5</v>
      </c>
      <c r="G119" s="26">
        <v>2.5</v>
      </c>
    </row>
    <row r="120" spans="1:7" s="31" customFormat="1" ht="14" x14ac:dyDescent="0.15">
      <c r="A120" s="31" t="str">
        <f>LEFT(B120, FIND("-", B120) - 1)</f>
        <v>PIO</v>
      </c>
      <c r="B120" s="31" t="s">
        <v>431</v>
      </c>
      <c r="C120" s="26" t="s">
        <v>48</v>
      </c>
      <c r="D120" s="26" t="s">
        <v>435</v>
      </c>
      <c r="E120" s="26">
        <v>7.7</v>
      </c>
      <c r="F120" s="26">
        <v>6.5</v>
      </c>
      <c r="G120" s="26">
        <v>2.5</v>
      </c>
    </row>
    <row r="121" spans="1:7" s="31" customFormat="1" ht="14" x14ac:dyDescent="0.15">
      <c r="A121" s="31" t="str">
        <f>LEFT(B121, FIND("-", B121) - 1)</f>
        <v>PIO</v>
      </c>
      <c r="B121" s="31" t="s">
        <v>431</v>
      </c>
      <c r="C121" s="26" t="s">
        <v>42</v>
      </c>
      <c r="D121" s="26" t="s">
        <v>435</v>
      </c>
      <c r="E121" s="26">
        <v>6.3</v>
      </c>
      <c r="F121" s="26">
        <v>6.5</v>
      </c>
      <c r="G121" s="26">
        <v>2.5</v>
      </c>
    </row>
    <row r="122" spans="1:7" s="31" customFormat="1" ht="14" x14ac:dyDescent="0.15">
      <c r="A122" s="31" t="str">
        <f>LEFT(B122, FIND("-", B122) - 1)</f>
        <v>PIO</v>
      </c>
      <c r="B122" s="31" t="s">
        <v>431</v>
      </c>
      <c r="C122" s="26" t="s">
        <v>49</v>
      </c>
      <c r="D122" s="26" t="s">
        <v>435</v>
      </c>
      <c r="E122" s="26">
        <v>7.9</v>
      </c>
      <c r="F122" s="26">
        <v>6.5</v>
      </c>
      <c r="G122" s="26">
        <v>3.2</v>
      </c>
    </row>
    <row r="123" spans="1:7" s="31" customFormat="1" ht="14" x14ac:dyDescent="0.15">
      <c r="A123" s="31" t="str">
        <f>LEFT(B123, FIND("-", B123) - 1)</f>
        <v>PIO</v>
      </c>
      <c r="B123" s="31" t="s">
        <v>431</v>
      </c>
      <c r="C123" s="26" t="s">
        <v>40</v>
      </c>
      <c r="D123" s="26" t="s">
        <v>436</v>
      </c>
      <c r="E123" s="26">
        <v>8</v>
      </c>
      <c r="F123" s="26">
        <v>21.2</v>
      </c>
      <c r="G123" s="26">
        <v>2.7</v>
      </c>
    </row>
    <row r="124" spans="1:7" s="31" customFormat="1" ht="14" x14ac:dyDescent="0.15">
      <c r="A124" s="31" t="str">
        <f>LEFT(B124, FIND("-", B124) - 1)</f>
        <v>PIO</v>
      </c>
      <c r="B124" s="31" t="s">
        <v>431</v>
      </c>
      <c r="C124" s="26" t="s">
        <v>48</v>
      </c>
      <c r="D124" s="26" t="s">
        <v>436</v>
      </c>
      <c r="E124" s="26">
        <v>16.8</v>
      </c>
      <c r="F124" s="26">
        <v>21.2</v>
      </c>
      <c r="G124" s="26">
        <v>2.7</v>
      </c>
    </row>
    <row r="125" spans="1:7" s="31" customFormat="1" ht="14" x14ac:dyDescent="0.15">
      <c r="A125" s="31" t="str">
        <f>LEFT(B125, FIND("-", B125) - 1)</f>
        <v>PIO</v>
      </c>
      <c r="B125" s="31" t="s">
        <v>431</v>
      </c>
      <c r="C125" s="26" t="s">
        <v>42</v>
      </c>
      <c r="D125" s="26" t="s">
        <v>436</v>
      </c>
      <c r="E125" s="26">
        <v>20.6</v>
      </c>
      <c r="F125" s="26">
        <v>21.2</v>
      </c>
      <c r="G125" s="26">
        <v>2.7</v>
      </c>
    </row>
    <row r="126" spans="1:7" s="31" customFormat="1" ht="14" x14ac:dyDescent="0.15">
      <c r="A126" s="31" t="str">
        <f>LEFT(B126, FIND("-", B126) - 1)</f>
        <v>PIO</v>
      </c>
      <c r="B126" s="31" t="s">
        <v>431</v>
      </c>
      <c r="C126" s="26" t="s">
        <v>49</v>
      </c>
      <c r="D126" s="26" t="s">
        <v>436</v>
      </c>
      <c r="E126" s="26">
        <v>14.34</v>
      </c>
      <c r="F126" s="26">
        <v>21.2</v>
      </c>
      <c r="G126" s="26">
        <v>3.1</v>
      </c>
    </row>
    <row r="127" spans="1:7" s="31" customFormat="1" ht="14" x14ac:dyDescent="0.15">
      <c r="A127" s="31" t="str">
        <f>LEFT(B127, FIND("-", B127) - 1)</f>
        <v>PIO</v>
      </c>
      <c r="B127" s="31" t="s">
        <v>431</v>
      </c>
      <c r="C127" s="26" t="s">
        <v>48</v>
      </c>
      <c r="D127" s="26" t="s">
        <v>437</v>
      </c>
      <c r="E127" s="26">
        <v>3.7</v>
      </c>
      <c r="F127" s="26">
        <v>4.7</v>
      </c>
      <c r="G127" s="26">
        <v>1.6</v>
      </c>
    </row>
    <row r="128" spans="1:7" s="31" customFormat="1" ht="14" x14ac:dyDescent="0.15">
      <c r="A128" s="31" t="str">
        <f>LEFT(B128, FIND("-", B128) - 1)</f>
        <v>PIO</v>
      </c>
      <c r="B128" s="31" t="s">
        <v>431</v>
      </c>
      <c r="C128" s="26" t="s">
        <v>42</v>
      </c>
      <c r="D128" s="26" t="s">
        <v>437</v>
      </c>
      <c r="E128" s="26">
        <v>4.5999999999999996</v>
      </c>
      <c r="F128" s="26">
        <v>4.7</v>
      </c>
      <c r="G128" s="26">
        <v>1.6</v>
      </c>
    </row>
    <row r="129" spans="1:7" s="31" customFormat="1" ht="14" x14ac:dyDescent="0.15">
      <c r="A129" s="31" t="str">
        <f>LEFT(B129, FIND("-", B129) - 1)</f>
        <v>PIO</v>
      </c>
      <c r="B129" s="31" t="s">
        <v>431</v>
      </c>
      <c r="C129" s="26" t="s">
        <v>49</v>
      </c>
      <c r="D129" s="26" t="s">
        <v>437</v>
      </c>
      <c r="E129" s="26">
        <v>5.4</v>
      </c>
      <c r="F129" s="26">
        <v>4.7</v>
      </c>
      <c r="G129" s="26">
        <v>1.6</v>
      </c>
    </row>
    <row r="130" spans="1:7" s="9" customFormat="1" ht="13" x14ac:dyDescent="0.2">
      <c r="A130" s="9" t="str">
        <f>LEFT(B130, FIND("-", B130) - 1)</f>
        <v>TRAN</v>
      </c>
      <c r="B130" s="9" t="s">
        <v>451</v>
      </c>
      <c r="C130" s="22"/>
      <c r="D130" s="22"/>
      <c r="E130" s="22"/>
      <c r="F130" s="22">
        <v>85</v>
      </c>
      <c r="G130" s="22"/>
    </row>
    <row r="131" spans="1:7" s="9" customFormat="1" ht="13" x14ac:dyDescent="0.2">
      <c r="A131" s="9" t="str">
        <f>LEFT(B131, FIND("-", B131) - 1)</f>
        <v>TRAN</v>
      </c>
      <c r="B131" s="9" t="s">
        <v>452</v>
      </c>
      <c r="C131" s="22"/>
      <c r="D131" s="22"/>
      <c r="E131" s="22"/>
      <c r="F131" s="22">
        <v>100</v>
      </c>
      <c r="G131" s="22">
        <v>95</v>
      </c>
    </row>
    <row r="132" spans="1:7" s="9" customFormat="1" ht="13" x14ac:dyDescent="0.2">
      <c r="A132" s="9" t="str">
        <f>LEFT(B132, FIND("-", B132) - 1)</f>
        <v>TRAN</v>
      </c>
      <c r="B132" s="9" t="s">
        <v>453</v>
      </c>
      <c r="C132" s="22"/>
      <c r="D132" s="22"/>
      <c r="E132" s="22"/>
      <c r="F132" s="22"/>
      <c r="G132" s="22"/>
    </row>
    <row r="133" spans="1:7" s="9" customFormat="1" ht="13" x14ac:dyDescent="0.2">
      <c r="A133" s="9" t="str">
        <f>LEFT(B133, FIND("-", B133) - 1)</f>
        <v>TRAN</v>
      </c>
      <c r="B133" s="9" t="s">
        <v>454</v>
      </c>
      <c r="C133" s="22"/>
      <c r="D133" s="22"/>
      <c r="E133" s="22"/>
      <c r="F133" s="22">
        <v>100</v>
      </c>
      <c r="G133" s="22"/>
    </row>
    <row r="134" spans="1:7" s="9" customFormat="1" ht="13" x14ac:dyDescent="0.2">
      <c r="A134" s="9" t="str">
        <f>LEFT(B134, FIND("-", B134) - 1)</f>
        <v>TRAN</v>
      </c>
      <c r="B134" s="9" t="s">
        <v>457</v>
      </c>
      <c r="C134" s="22"/>
      <c r="D134" s="22"/>
      <c r="E134" s="22"/>
      <c r="F134" s="22"/>
      <c r="G134" s="22"/>
    </row>
    <row r="135" spans="1:7" s="9" customFormat="1" ht="13" x14ac:dyDescent="0.2">
      <c r="A135" s="9" t="str">
        <f>LEFT(B135, FIND("-", B135) - 1)</f>
        <v>TRAN</v>
      </c>
      <c r="B135" s="9" t="s">
        <v>456</v>
      </c>
      <c r="C135" s="22"/>
      <c r="D135" s="22"/>
      <c r="E135" s="22"/>
      <c r="F135" s="22"/>
      <c r="G135" s="22"/>
    </row>
    <row r="136" spans="1:7" s="9" customFormat="1" ht="13" x14ac:dyDescent="0.2">
      <c r="A136" s="9" t="str">
        <f>LEFT(B136, FIND("-", B136) - 1)</f>
        <v>TRAN</v>
      </c>
      <c r="B136" s="9" t="s">
        <v>458</v>
      </c>
      <c r="C136" s="22"/>
      <c r="D136" s="22"/>
      <c r="E136" s="22"/>
      <c r="F136" s="22"/>
      <c r="G136" s="22"/>
    </row>
    <row r="137" spans="1:7" s="74" customFormat="1" ht="13" x14ac:dyDescent="0.2">
      <c r="A137" s="74" t="str">
        <f t="shared" ref="A137:A180" si="0">LEFT(B137, FIND("-", B137) - 1)</f>
        <v>PROS</v>
      </c>
      <c r="B137" s="74" t="s">
        <v>512</v>
      </c>
      <c r="F137" s="74" t="str" cm="1">
        <f t="array" ref="F137">IFERROR(_xlfn.XLOOKUP(B2&amp;"|"&amp;(C2-1)&amp;"|"&amp;D2, $B$2:$B$500&amp;"|"&amp;$C$2:$C$500&amp;"|"&amp;$D$2:$D$500, $E$2:$E$500), "")</f>
        <v/>
      </c>
      <c r="G137" s="74">
        <v>99</v>
      </c>
    </row>
    <row r="138" spans="1:7" s="74" customFormat="1" ht="13" x14ac:dyDescent="0.2">
      <c r="A138" s="74" t="str">
        <f t="shared" si="0"/>
        <v>PROS</v>
      </c>
      <c r="B138" s="74" t="s">
        <v>513</v>
      </c>
      <c r="F138" s="74" t="str" cm="1">
        <f t="array" ref="F138">IFERROR(_xlfn.XLOOKUP(B3&amp;"|"&amp;(C3-1)&amp;"|"&amp;D3, $B$2:$B$500&amp;"|"&amp;$C$2:$C$500&amp;"|"&amp;$D$2:$D$500, $E$2:$E$500), "")</f>
        <v/>
      </c>
      <c r="G138" s="74">
        <v>606</v>
      </c>
    </row>
    <row r="139" spans="1:7" s="74" customFormat="1" ht="13" x14ac:dyDescent="0.2">
      <c r="A139" s="74" t="str">
        <f t="shared" si="0"/>
        <v>PROS</v>
      </c>
      <c r="B139" s="74" t="s">
        <v>514</v>
      </c>
      <c r="F139" s="74" t="str" cm="1">
        <f t="array" ref="F139">IFERROR(_xlfn.XLOOKUP(B4&amp;"|"&amp;(C4-1)&amp;"|"&amp;D4, $B$2:$B$500&amp;"|"&amp;$C$2:$C$500&amp;"|"&amp;$D$2:$D$500, $E$2:$E$500), "")</f>
        <v/>
      </c>
    </row>
    <row r="140" spans="1:7" s="74" customFormat="1" ht="13" x14ac:dyDescent="0.2">
      <c r="A140" s="74" t="str">
        <f t="shared" si="0"/>
        <v>PROS</v>
      </c>
      <c r="B140" s="74" t="s">
        <v>522</v>
      </c>
      <c r="F140" s="74">
        <v>96</v>
      </c>
    </row>
    <row r="141" spans="1:7" s="74" customFormat="1" ht="13" x14ac:dyDescent="0.2">
      <c r="A141" s="74" t="str">
        <f t="shared" si="0"/>
        <v>PROS</v>
      </c>
      <c r="B141" s="74" t="s">
        <v>523</v>
      </c>
      <c r="F141" s="74">
        <v>368438</v>
      </c>
    </row>
    <row r="142" spans="1:7" s="74" customFormat="1" ht="13" x14ac:dyDescent="0.2">
      <c r="A142" s="74" t="str">
        <f t="shared" si="0"/>
        <v>PROS</v>
      </c>
      <c r="B142" s="74" t="s">
        <v>524</v>
      </c>
    </row>
    <row r="143" spans="1:7" s="74" customFormat="1" ht="13" x14ac:dyDescent="0.2">
      <c r="A143" s="74" t="str">
        <f t="shared" si="0"/>
        <v>PROS</v>
      </c>
      <c r="B143" s="74" t="s">
        <v>525</v>
      </c>
      <c r="F143" s="74">
        <v>65</v>
      </c>
    </row>
    <row r="144" spans="1:7" s="74" customFormat="1" ht="13" x14ac:dyDescent="0.2">
      <c r="A144" s="74" t="str">
        <f t="shared" si="0"/>
        <v>PROS</v>
      </c>
      <c r="B144" s="74" t="s">
        <v>526</v>
      </c>
      <c r="F144" s="74" t="str" cm="1">
        <f t="array" ref="F144">IFERROR(_xlfn.XLOOKUP(B3&amp;"|"&amp;(C3-1)&amp;"|"&amp;D3, $B$2:$B$500&amp;"|"&amp;$C$2:$C$500&amp;"|"&amp;$D$2:$D$500, $E$2:$E$500) * 1.01, "")</f>
        <v/>
      </c>
    </row>
    <row r="145" spans="1:6" s="74" customFormat="1" ht="13" x14ac:dyDescent="0.2">
      <c r="A145" s="74" t="str">
        <f t="shared" si="0"/>
        <v>PROS</v>
      </c>
      <c r="B145" s="74" t="s">
        <v>527</v>
      </c>
      <c r="F145" s="74">
        <v>1000</v>
      </c>
    </row>
    <row r="146" spans="1:6" s="74" customFormat="1" ht="13" x14ac:dyDescent="0.2">
      <c r="A146" s="74" t="str">
        <f t="shared" si="0"/>
        <v>PROS</v>
      </c>
      <c r="B146" s="74" t="s">
        <v>528</v>
      </c>
      <c r="F146" s="74" t="str" cm="1">
        <f t="array" ref="F146">IFERROR(_xlfn.XLOOKUP(B2&amp;"|"&amp;(C2-1)&amp;"|"&amp;D2, $B$2:$B$500&amp;"|"&amp;$C$2:$C$500&amp;"|"&amp;$D$2:$D$500, $E$2:$E$500) * 1.02, "")</f>
        <v/>
      </c>
    </row>
    <row r="147" spans="1:6" s="74" customFormat="1" ht="13" x14ac:dyDescent="0.2">
      <c r="A147" s="74" t="str">
        <f t="shared" si="0"/>
        <v>PROS</v>
      </c>
      <c r="B147" s="74" t="s">
        <v>532</v>
      </c>
      <c r="F147" s="74">
        <v>190</v>
      </c>
    </row>
    <row r="148" spans="1:6" s="74" customFormat="1" ht="13" x14ac:dyDescent="0.2">
      <c r="A148" s="74" t="str">
        <f t="shared" si="0"/>
        <v>PROS</v>
      </c>
      <c r="B148" s="74" t="s">
        <v>533</v>
      </c>
      <c r="F148" s="74">
        <v>162</v>
      </c>
    </row>
    <row r="149" spans="1:6" s="74" customFormat="1" ht="13" x14ac:dyDescent="0.2">
      <c r="A149" s="74" t="str">
        <f t="shared" si="0"/>
        <v>PROS</v>
      </c>
      <c r="B149" s="74" t="s">
        <v>534</v>
      </c>
    </row>
    <row r="150" spans="1:6" s="84" customFormat="1" ht="13" x14ac:dyDescent="0.2">
      <c r="A150" s="84" t="str">
        <f t="shared" si="0"/>
        <v>PD</v>
      </c>
      <c r="B150" s="84" t="s">
        <v>546</v>
      </c>
    </row>
    <row r="151" spans="1:6" s="84" customFormat="1" ht="13" x14ac:dyDescent="0.2">
      <c r="A151" s="84" t="str">
        <f t="shared" si="0"/>
        <v>PD</v>
      </c>
      <c r="B151" s="84" t="s">
        <v>547</v>
      </c>
    </row>
    <row r="152" spans="1:6" s="84" customFormat="1" ht="13" x14ac:dyDescent="0.2">
      <c r="A152" s="84" t="str">
        <f t="shared" si="0"/>
        <v>PD</v>
      </c>
      <c r="B152" s="84" t="s">
        <v>548</v>
      </c>
    </row>
    <row r="153" spans="1:6" s="84" customFormat="1" ht="13" x14ac:dyDescent="0.2">
      <c r="A153" s="84" t="str">
        <f t="shared" si="0"/>
        <v>PD</v>
      </c>
      <c r="B153" s="84" t="s">
        <v>549</v>
      </c>
    </row>
    <row r="154" spans="1:6" s="84" customFormat="1" ht="13" x14ac:dyDescent="0.2">
      <c r="A154" s="84" t="str">
        <f t="shared" si="0"/>
        <v>PD</v>
      </c>
      <c r="B154" s="84" t="s">
        <v>550</v>
      </c>
    </row>
    <row r="155" spans="1:6" s="84" customFormat="1" ht="13" x14ac:dyDescent="0.2">
      <c r="A155" s="84" t="str">
        <f t="shared" si="0"/>
        <v>PD</v>
      </c>
      <c r="B155" s="84" t="s">
        <v>551</v>
      </c>
    </row>
    <row r="156" spans="1:6" s="84" customFormat="1" ht="13" x14ac:dyDescent="0.2">
      <c r="A156" s="84" t="str">
        <f t="shared" si="0"/>
        <v>PD</v>
      </c>
      <c r="B156" s="84" t="s">
        <v>565</v>
      </c>
    </row>
    <row r="157" spans="1:6" s="84" customFormat="1" ht="13" x14ac:dyDescent="0.2">
      <c r="A157" s="84" t="str">
        <f t="shared" si="0"/>
        <v>PD</v>
      </c>
      <c r="B157" s="84" t="s">
        <v>566</v>
      </c>
    </row>
    <row r="158" spans="1:6" s="84" customFormat="1" ht="13" x14ac:dyDescent="0.2">
      <c r="A158" s="84" t="str">
        <f t="shared" si="0"/>
        <v>PD</v>
      </c>
      <c r="B158" s="84" t="s">
        <v>567</v>
      </c>
    </row>
    <row r="159" spans="1:6" s="84" customFormat="1" ht="13" x14ac:dyDescent="0.2">
      <c r="A159" s="84" t="str">
        <f t="shared" si="0"/>
        <v>PD</v>
      </c>
      <c r="B159" s="84" t="s">
        <v>569</v>
      </c>
    </row>
    <row r="160" spans="1:6" s="84" customFormat="1" ht="13" x14ac:dyDescent="0.2">
      <c r="A160" s="84" t="str">
        <f t="shared" si="0"/>
        <v>PD</v>
      </c>
      <c r="B160" s="84" t="s">
        <v>570</v>
      </c>
    </row>
    <row r="161" spans="1:2" s="84" customFormat="1" ht="13" x14ac:dyDescent="0.2">
      <c r="A161" s="84" t="str">
        <f t="shared" si="0"/>
        <v>PD</v>
      </c>
      <c r="B161" s="84" t="s">
        <v>571</v>
      </c>
    </row>
    <row r="162" spans="1:2" s="84" customFormat="1" ht="13" x14ac:dyDescent="0.2">
      <c r="A162" s="84" t="str">
        <f t="shared" si="0"/>
        <v>PD</v>
      </c>
      <c r="B162" s="84" t="s">
        <v>572</v>
      </c>
    </row>
    <row r="163" spans="1:2" s="84" customFormat="1" ht="13" x14ac:dyDescent="0.2">
      <c r="A163" s="84" t="str">
        <f t="shared" si="0"/>
        <v>PD</v>
      </c>
      <c r="B163" s="84" t="s">
        <v>573</v>
      </c>
    </row>
    <row r="164" spans="1:2" s="84" customFormat="1" ht="13" x14ac:dyDescent="0.2">
      <c r="A164" s="84" t="str">
        <f t="shared" si="0"/>
        <v>PD</v>
      </c>
      <c r="B164" s="84" t="s">
        <v>574</v>
      </c>
    </row>
    <row r="165" spans="1:2" s="84" customFormat="1" ht="13" x14ac:dyDescent="0.2">
      <c r="A165" s="84" t="str">
        <f t="shared" si="0"/>
        <v>PD</v>
      </c>
      <c r="B165" s="84" t="s">
        <v>575</v>
      </c>
    </row>
    <row r="166" spans="1:2" s="84" customFormat="1" ht="13" x14ac:dyDescent="0.2">
      <c r="A166" s="84" t="str">
        <f t="shared" si="0"/>
        <v>PD</v>
      </c>
      <c r="B166" s="84" t="s">
        <v>576</v>
      </c>
    </row>
    <row r="167" spans="1:2" s="84" customFormat="1" ht="13" x14ac:dyDescent="0.2">
      <c r="A167" s="84" t="str">
        <f t="shared" si="0"/>
        <v>PD</v>
      </c>
      <c r="B167" s="84" t="s">
        <v>577</v>
      </c>
    </row>
    <row r="168" spans="1:2" s="84" customFormat="1" ht="13" x14ac:dyDescent="0.2">
      <c r="A168" s="84" t="str">
        <f t="shared" si="0"/>
        <v>PD</v>
      </c>
      <c r="B168" s="84" t="s">
        <v>578</v>
      </c>
    </row>
    <row r="169" spans="1:2" s="84" customFormat="1" ht="13" x14ac:dyDescent="0.2">
      <c r="A169" s="84" t="str">
        <f t="shared" si="0"/>
        <v>PD</v>
      </c>
      <c r="B169" s="84" t="s">
        <v>579</v>
      </c>
    </row>
    <row r="170" spans="1:2" s="84" customFormat="1" ht="13" x14ac:dyDescent="0.2">
      <c r="A170" s="84" t="str">
        <f t="shared" si="0"/>
        <v>PD</v>
      </c>
      <c r="B170" s="84" t="s">
        <v>580</v>
      </c>
    </row>
    <row r="171" spans="1:2" s="84" customFormat="1" ht="13" x14ac:dyDescent="0.2">
      <c r="A171" s="84" t="str">
        <f t="shared" si="0"/>
        <v>PD</v>
      </c>
      <c r="B171" s="84" t="s">
        <v>581</v>
      </c>
    </row>
    <row r="172" spans="1:2" s="84" customFormat="1" ht="13" x14ac:dyDescent="0.2">
      <c r="A172" s="84" t="str">
        <f t="shared" si="0"/>
        <v>PD</v>
      </c>
      <c r="B172" s="84" t="s">
        <v>582</v>
      </c>
    </row>
    <row r="173" spans="1:2" s="84" customFormat="1" ht="13" x14ac:dyDescent="0.2">
      <c r="A173" s="84" t="str">
        <f t="shared" si="0"/>
        <v>PD</v>
      </c>
      <c r="B173" s="84" t="s">
        <v>583</v>
      </c>
    </row>
    <row r="174" spans="1:2" s="34" customFormat="1" ht="13" x14ac:dyDescent="0.2">
      <c r="A174" s="34" t="str">
        <f t="shared" si="0"/>
        <v>911</v>
      </c>
      <c r="B174" s="34" t="s">
        <v>606</v>
      </c>
    </row>
    <row r="175" spans="1:2" s="34" customFormat="1" ht="13" x14ac:dyDescent="0.2">
      <c r="A175" s="34" t="str">
        <f t="shared" si="0"/>
        <v>911</v>
      </c>
      <c r="B175" s="34" t="s">
        <v>607</v>
      </c>
    </row>
    <row r="176" spans="1:2" s="34" customFormat="1" ht="13" x14ac:dyDescent="0.2">
      <c r="A176" s="34" t="str">
        <f t="shared" si="0"/>
        <v>911</v>
      </c>
      <c r="B176" s="34" t="s">
        <v>608</v>
      </c>
    </row>
    <row r="177" spans="1:8" s="34" customFormat="1" ht="13" x14ac:dyDescent="0.2">
      <c r="A177" s="34" t="str">
        <f t="shared" si="0"/>
        <v>911</v>
      </c>
      <c r="B177" s="34" t="s">
        <v>609</v>
      </c>
    </row>
    <row r="178" spans="1:8" s="34" customFormat="1" ht="13" x14ac:dyDescent="0.2">
      <c r="A178" s="34" t="str">
        <f t="shared" si="0"/>
        <v>911</v>
      </c>
      <c r="B178" s="34" t="s">
        <v>610</v>
      </c>
    </row>
    <row r="179" spans="1:8" s="34" customFormat="1" ht="13" x14ac:dyDescent="0.2">
      <c r="A179" s="34" t="str">
        <f t="shared" si="0"/>
        <v>911</v>
      </c>
      <c r="B179" s="34" t="s">
        <v>611</v>
      </c>
    </row>
    <row r="180" spans="1:8" s="34" customFormat="1" ht="13" x14ac:dyDescent="0.2">
      <c r="A180" s="34" t="str">
        <f t="shared" si="0"/>
        <v>911</v>
      </c>
      <c r="B180" s="34" t="s">
        <v>612</v>
      </c>
    </row>
    <row r="181" spans="1:8" x14ac:dyDescent="0.2">
      <c r="B181" s="32"/>
      <c r="C181" s="24"/>
      <c r="D181" s="23"/>
      <c r="E181" s="23"/>
      <c r="F181" s="23"/>
      <c r="G181" s="23"/>
      <c r="H181" s="1"/>
    </row>
    <row r="182" spans="1:8" x14ac:dyDescent="0.2">
      <c r="B182" s="32"/>
      <c r="C182" s="24"/>
      <c r="D182" s="23"/>
      <c r="E182" s="23"/>
      <c r="F182" s="23"/>
      <c r="G182" s="23"/>
      <c r="H182" s="1"/>
    </row>
    <row r="183" spans="1:8" x14ac:dyDescent="0.2">
      <c r="B183" s="32"/>
      <c r="C183" s="24"/>
      <c r="D183" s="23"/>
      <c r="E183" s="23"/>
      <c r="F183" s="23"/>
      <c r="G183" s="23"/>
      <c r="H183" s="1"/>
    </row>
    <row r="184" spans="1:8" x14ac:dyDescent="0.2">
      <c r="B184" s="32"/>
      <c r="C184" s="24"/>
      <c r="D184" s="23"/>
      <c r="E184" s="23"/>
      <c r="F184" s="23"/>
      <c r="G184" s="23"/>
      <c r="H184" s="1"/>
    </row>
    <row r="185" spans="1:8" x14ac:dyDescent="0.2">
      <c r="B185" s="32"/>
      <c r="C185" s="24"/>
      <c r="D185" s="23"/>
      <c r="E185" s="23"/>
      <c r="F185" s="23"/>
      <c r="G185" s="23"/>
      <c r="H185" s="1"/>
    </row>
    <row r="186" spans="1:8" x14ac:dyDescent="0.2">
      <c r="B186" s="32"/>
      <c r="C186" s="24"/>
      <c r="D186" s="23"/>
      <c r="E186" s="23"/>
      <c r="F186" s="23"/>
      <c r="G186" s="23"/>
      <c r="H186" s="1"/>
    </row>
    <row r="187" spans="1:8" x14ac:dyDescent="0.2">
      <c r="B187" s="32"/>
      <c r="C187" s="24"/>
      <c r="D187" s="23"/>
      <c r="E187" s="23"/>
      <c r="F187" s="23"/>
      <c r="G187" s="23"/>
      <c r="H187" s="1"/>
    </row>
    <row r="188" spans="1:8" x14ac:dyDescent="0.2">
      <c r="B188" s="32"/>
      <c r="C188" s="24"/>
      <c r="D188" s="23"/>
      <c r="E188" s="23"/>
      <c r="F188" s="23"/>
      <c r="G188" s="23"/>
      <c r="H188" s="1"/>
    </row>
    <row r="189" spans="1:8" x14ac:dyDescent="0.2">
      <c r="B189" s="32"/>
      <c r="C189" s="24"/>
      <c r="D189" s="23"/>
      <c r="E189" s="23"/>
      <c r="F189" s="23"/>
      <c r="G189" s="23"/>
      <c r="H189" s="1"/>
    </row>
    <row r="190" spans="1:8" x14ac:dyDescent="0.2">
      <c r="B190" s="32"/>
      <c r="C190" s="24"/>
      <c r="D190" s="23"/>
      <c r="E190" s="23"/>
      <c r="F190" s="23"/>
      <c r="G190" s="23"/>
      <c r="H190" s="1"/>
    </row>
    <row r="191" spans="1:8" x14ac:dyDescent="0.2">
      <c r="B191" s="32"/>
      <c r="C191" s="24"/>
      <c r="D191" s="23"/>
      <c r="E191" s="23"/>
      <c r="F191" s="23"/>
      <c r="G191" s="23"/>
      <c r="H191" s="1"/>
    </row>
    <row r="192" spans="1:8" x14ac:dyDescent="0.2">
      <c r="B192" s="32"/>
      <c r="C192" s="24"/>
      <c r="D192" s="23"/>
      <c r="E192" s="23"/>
      <c r="F192" s="23"/>
      <c r="G192" s="23"/>
      <c r="H192" s="1"/>
    </row>
    <row r="193" spans="2:8" x14ac:dyDescent="0.2">
      <c r="B193" s="32"/>
      <c r="C193" s="24"/>
      <c r="D193" s="23"/>
      <c r="E193" s="23"/>
      <c r="F193" s="23"/>
      <c r="G193" s="23"/>
      <c r="H193" s="1"/>
    </row>
    <row r="194" spans="2:8" x14ac:dyDescent="0.2">
      <c r="B194" s="32"/>
      <c r="C194" s="24"/>
      <c r="D194" s="23"/>
      <c r="E194" s="23"/>
      <c r="F194" s="23"/>
      <c r="G194" s="23"/>
      <c r="H194" s="1"/>
    </row>
    <row r="195" spans="2:8" x14ac:dyDescent="0.2">
      <c r="B195" s="32"/>
      <c r="C195" s="24"/>
      <c r="D195" s="23"/>
      <c r="E195" s="23"/>
      <c r="F195" s="23"/>
      <c r="G195" s="23"/>
      <c r="H195" s="1"/>
    </row>
    <row r="196" spans="2:8" x14ac:dyDescent="0.2">
      <c r="B196" s="32"/>
      <c r="C196" s="24"/>
      <c r="D196" s="23"/>
      <c r="E196" s="23"/>
      <c r="F196" s="23"/>
      <c r="G196" s="23"/>
      <c r="H196" s="1"/>
    </row>
    <row r="197" spans="2:8" x14ac:dyDescent="0.2">
      <c r="B197" s="32"/>
      <c r="C197" s="24"/>
      <c r="D197" s="23"/>
      <c r="E197" s="23"/>
      <c r="F197" s="23"/>
      <c r="G197" s="23"/>
      <c r="H197" s="1"/>
    </row>
    <row r="198" spans="2:8" x14ac:dyDescent="0.2">
      <c r="B198" s="32"/>
      <c r="C198" s="24"/>
      <c r="D198" s="23"/>
      <c r="E198" s="23"/>
      <c r="F198" s="23"/>
      <c r="G198" s="23"/>
      <c r="H198" s="1"/>
    </row>
    <row r="199" spans="2:8" x14ac:dyDescent="0.2">
      <c r="B199" s="32"/>
      <c r="C199" s="24"/>
      <c r="D199" s="23"/>
      <c r="E199" s="23"/>
      <c r="F199" s="23"/>
      <c r="G199" s="23"/>
      <c r="H199" s="1"/>
    </row>
    <row r="200" spans="2:8" x14ac:dyDescent="0.2">
      <c r="B200" s="32"/>
      <c r="C200" s="24"/>
      <c r="D200" s="23"/>
      <c r="E200" s="23"/>
      <c r="F200" s="23"/>
      <c r="G200" s="23"/>
      <c r="H200" s="1"/>
    </row>
    <row r="201" spans="2:8" x14ac:dyDescent="0.2">
      <c r="B201" s="32"/>
      <c r="C201" s="24"/>
      <c r="D201" s="23"/>
      <c r="E201" s="23"/>
      <c r="F201" s="23"/>
      <c r="G201" s="23"/>
      <c r="H201" s="1"/>
    </row>
    <row r="202" spans="2:8" x14ac:dyDescent="0.2">
      <c r="B202" s="32"/>
      <c r="C202" s="24"/>
      <c r="D202" s="23"/>
      <c r="E202" s="23"/>
      <c r="F202" s="23"/>
      <c r="G202" s="23"/>
      <c r="H202" s="1"/>
    </row>
    <row r="203" spans="2:8" x14ac:dyDescent="0.2">
      <c r="B203" s="32"/>
      <c r="C203" s="24"/>
      <c r="D203" s="23"/>
      <c r="E203" s="23"/>
      <c r="F203" s="23"/>
      <c r="G203" s="23"/>
      <c r="H203" s="1"/>
    </row>
    <row r="204" spans="2:8" x14ac:dyDescent="0.2">
      <c r="B204" s="32"/>
      <c r="C204" s="24"/>
      <c r="D204" s="23"/>
      <c r="E204" s="23"/>
      <c r="F204" s="23"/>
      <c r="G204" s="23"/>
      <c r="H204" s="1"/>
    </row>
    <row r="205" spans="2:8" x14ac:dyDescent="0.2">
      <c r="B205" s="32"/>
      <c r="C205" s="24"/>
      <c r="D205" s="23"/>
      <c r="E205" s="23"/>
      <c r="F205" s="23"/>
      <c r="G205" s="23"/>
      <c r="H205" s="1"/>
    </row>
    <row r="206" spans="2:8" x14ac:dyDescent="0.2">
      <c r="B206" s="32"/>
      <c r="C206" s="24"/>
      <c r="D206" s="23"/>
      <c r="E206" s="23"/>
      <c r="F206" s="23"/>
      <c r="G206" s="23"/>
      <c r="H206" s="1"/>
    </row>
    <row r="207" spans="2:8" x14ac:dyDescent="0.2">
      <c r="B207" s="32"/>
      <c r="C207" s="24"/>
      <c r="D207" s="23"/>
      <c r="E207" s="23"/>
      <c r="F207" s="23"/>
      <c r="G207" s="23"/>
      <c r="H207" s="1"/>
    </row>
    <row r="208" spans="2:8" x14ac:dyDescent="0.2">
      <c r="B208" s="32"/>
      <c r="C208" s="24"/>
      <c r="D208" s="23"/>
      <c r="E208" s="23"/>
      <c r="F208" s="23"/>
      <c r="G208" s="23"/>
      <c r="H208" s="1"/>
    </row>
    <row r="209" spans="2:8" x14ac:dyDescent="0.2">
      <c r="B209" s="32"/>
      <c r="C209" s="24"/>
      <c r="D209" s="23"/>
      <c r="E209" s="23"/>
      <c r="F209" s="23"/>
      <c r="G209" s="23"/>
      <c r="H209" s="1"/>
    </row>
    <row r="210" spans="2:8" x14ac:dyDescent="0.2">
      <c r="B210" s="32"/>
      <c r="C210" s="24"/>
      <c r="D210" s="23"/>
      <c r="E210" s="23"/>
      <c r="F210" s="23"/>
      <c r="G210" s="23"/>
      <c r="H210" s="1"/>
    </row>
    <row r="211" spans="2:8" x14ac:dyDescent="0.2">
      <c r="B211" s="32"/>
      <c r="C211" s="24"/>
      <c r="D211" s="23"/>
      <c r="E211" s="23"/>
      <c r="F211" s="23"/>
      <c r="G211" s="23"/>
      <c r="H211" s="1"/>
    </row>
    <row r="212" spans="2:8" x14ac:dyDescent="0.2">
      <c r="B212" s="32"/>
      <c r="C212" s="24"/>
      <c r="D212" s="23"/>
      <c r="E212" s="23"/>
      <c r="F212" s="23"/>
      <c r="G212" s="23"/>
      <c r="H212" s="1"/>
    </row>
    <row r="213" spans="2:8" x14ac:dyDescent="0.2">
      <c r="B213" s="32"/>
      <c r="C213" s="24"/>
      <c r="D213" s="23"/>
      <c r="E213" s="23"/>
      <c r="F213" s="23"/>
      <c r="G213" s="23"/>
      <c r="H213" s="1"/>
    </row>
    <row r="214" spans="2:8" x14ac:dyDescent="0.2">
      <c r="B214" s="32"/>
      <c r="C214" s="24"/>
      <c r="D214" s="23"/>
      <c r="E214" s="23"/>
      <c r="F214" s="23"/>
      <c r="G214" s="23"/>
      <c r="H214" s="1"/>
    </row>
    <row r="215" spans="2:8" x14ac:dyDescent="0.2">
      <c r="B215" s="32"/>
      <c r="C215" s="24"/>
      <c r="D215" s="23"/>
      <c r="E215" s="23"/>
      <c r="F215" s="23"/>
      <c r="G215" s="23"/>
      <c r="H215" s="1"/>
    </row>
    <row r="216" spans="2:8" x14ac:dyDescent="0.2">
      <c r="B216" s="32"/>
      <c r="C216" s="24"/>
      <c r="D216" s="23"/>
      <c r="E216" s="23"/>
      <c r="F216" s="23"/>
      <c r="G216" s="23"/>
      <c r="H216" s="1"/>
    </row>
    <row r="217" spans="2:8" x14ac:dyDescent="0.2">
      <c r="B217" s="32"/>
      <c r="C217" s="24"/>
      <c r="D217" s="23"/>
      <c r="E217" s="23"/>
      <c r="F217" s="23"/>
      <c r="G217" s="23"/>
      <c r="H217" s="1"/>
    </row>
    <row r="218" spans="2:8" x14ac:dyDescent="0.2">
      <c r="B218" s="32"/>
      <c r="C218" s="24"/>
      <c r="D218" s="23"/>
      <c r="E218" s="23"/>
      <c r="F218" s="23"/>
      <c r="G218" s="23"/>
      <c r="H218" s="1"/>
    </row>
    <row r="219" spans="2:8" x14ac:dyDescent="0.2">
      <c r="B219" s="32"/>
      <c r="C219" s="24"/>
      <c r="D219" s="23"/>
      <c r="E219" s="23"/>
      <c r="F219" s="23"/>
      <c r="G219" s="23"/>
      <c r="H219" s="1"/>
    </row>
    <row r="220" spans="2:8" x14ac:dyDescent="0.2">
      <c r="B220" s="32"/>
      <c r="C220" s="24"/>
      <c r="D220" s="23"/>
      <c r="E220" s="23"/>
      <c r="F220" s="23"/>
      <c r="G220" s="23"/>
      <c r="H220" s="1"/>
    </row>
    <row r="221" spans="2:8" x14ac:dyDescent="0.2">
      <c r="B221" s="32"/>
      <c r="C221" s="24"/>
      <c r="D221" s="23"/>
      <c r="E221" s="23"/>
      <c r="F221" s="23"/>
      <c r="G221" s="23"/>
      <c r="H221" s="1"/>
    </row>
    <row r="222" spans="2:8" x14ac:dyDescent="0.2">
      <c r="B222" s="32"/>
      <c r="C222" s="24"/>
      <c r="D222" s="23"/>
      <c r="E222" s="23"/>
      <c r="F222" s="23"/>
      <c r="G222" s="23"/>
      <c r="H222" s="1"/>
    </row>
    <row r="223" spans="2:8" x14ac:dyDescent="0.2">
      <c r="B223" s="32"/>
      <c r="C223" s="24"/>
      <c r="D223" s="23"/>
      <c r="E223" s="23"/>
      <c r="F223" s="23"/>
      <c r="G223" s="23"/>
      <c r="H223" s="1"/>
    </row>
    <row r="224" spans="2:8" x14ac:dyDescent="0.2">
      <c r="B224" s="32"/>
      <c r="C224" s="24"/>
      <c r="D224" s="23"/>
      <c r="E224" s="23"/>
      <c r="F224" s="23"/>
      <c r="G224" s="23"/>
      <c r="H224" s="1"/>
    </row>
    <row r="225" spans="2:8" x14ac:dyDescent="0.2">
      <c r="B225" s="32"/>
      <c r="C225" s="24"/>
      <c r="D225" s="23"/>
      <c r="E225" s="23"/>
      <c r="F225" s="23"/>
      <c r="G225" s="23"/>
      <c r="H225" s="1"/>
    </row>
    <row r="226" spans="2:8" x14ac:dyDescent="0.2">
      <c r="B226" s="32"/>
      <c r="C226" s="24"/>
      <c r="D226" s="23"/>
      <c r="E226" s="23"/>
      <c r="F226" s="23"/>
      <c r="G226" s="23"/>
      <c r="H226" s="1"/>
    </row>
    <row r="227" spans="2:8" x14ac:dyDescent="0.2">
      <c r="B227" s="32"/>
      <c r="C227" s="24"/>
      <c r="D227" s="23"/>
      <c r="E227" s="23"/>
      <c r="F227" s="23"/>
      <c r="G227" s="23"/>
      <c r="H227" s="1"/>
    </row>
    <row r="228" spans="2:8" x14ac:dyDescent="0.2">
      <c r="B228" s="32"/>
      <c r="C228" s="24"/>
      <c r="D228" s="23"/>
      <c r="E228" s="23"/>
      <c r="F228" s="23"/>
      <c r="G228" s="23"/>
      <c r="H228" s="1"/>
    </row>
    <row r="229" spans="2:8" x14ac:dyDescent="0.2">
      <c r="B229" s="32"/>
      <c r="C229" s="24"/>
      <c r="D229" s="23"/>
      <c r="E229" s="23"/>
      <c r="F229" s="23"/>
      <c r="G229" s="23"/>
      <c r="H229" s="1"/>
    </row>
    <row r="230" spans="2:8" x14ac:dyDescent="0.2">
      <c r="B230" s="32"/>
      <c r="C230" s="24"/>
      <c r="D230" s="23"/>
      <c r="E230" s="23"/>
      <c r="F230" s="23"/>
      <c r="G230" s="23"/>
      <c r="H230" s="1"/>
    </row>
    <row r="231" spans="2:8" x14ac:dyDescent="0.2">
      <c r="B231" s="32"/>
      <c r="C231" s="24"/>
      <c r="D231" s="23"/>
      <c r="E231" s="23"/>
      <c r="F231" s="23"/>
      <c r="G231" s="23"/>
      <c r="H231" s="1"/>
    </row>
    <row r="232" spans="2:8" x14ac:dyDescent="0.2">
      <c r="B232" s="32"/>
      <c r="C232" s="24"/>
      <c r="D232" s="23"/>
      <c r="E232" s="23"/>
      <c r="F232" s="23"/>
      <c r="G232" s="23"/>
      <c r="H232" s="1"/>
    </row>
    <row r="233" spans="2:8" x14ac:dyDescent="0.2">
      <c r="B233" s="32"/>
      <c r="C233" s="24"/>
      <c r="D233" s="23"/>
      <c r="E233" s="23"/>
      <c r="F233" s="23"/>
      <c r="G233" s="23"/>
      <c r="H233" s="1"/>
    </row>
    <row r="234" spans="2:8" x14ac:dyDescent="0.2">
      <c r="B234" s="32"/>
      <c r="C234" s="24"/>
      <c r="D234" s="23"/>
      <c r="E234" s="23"/>
      <c r="F234" s="23"/>
      <c r="G234" s="23"/>
      <c r="H234" s="1"/>
    </row>
    <row r="235" spans="2:8" x14ac:dyDescent="0.2">
      <c r="B235" s="32"/>
      <c r="C235" s="24"/>
      <c r="D235" s="23"/>
      <c r="E235" s="23"/>
      <c r="F235" s="23"/>
      <c r="G235" s="23"/>
      <c r="H235" s="1"/>
    </row>
    <row r="236" spans="2:8" x14ac:dyDescent="0.2">
      <c r="B236" s="32"/>
      <c r="C236" s="24"/>
      <c r="D236" s="23"/>
      <c r="E236" s="23"/>
      <c r="F236" s="23"/>
      <c r="G236" s="23"/>
      <c r="H236" s="1"/>
    </row>
    <row r="237" spans="2:8" x14ac:dyDescent="0.2">
      <c r="B237" s="32"/>
      <c r="C237" s="24"/>
      <c r="D237" s="23"/>
      <c r="E237" s="23"/>
      <c r="F237" s="23"/>
      <c r="G237" s="23"/>
      <c r="H237" s="1"/>
    </row>
    <row r="238" spans="2:8" x14ac:dyDescent="0.2">
      <c r="B238" s="32"/>
      <c r="C238" s="24"/>
      <c r="D238" s="23"/>
      <c r="E238" s="23"/>
      <c r="F238" s="23"/>
      <c r="G238" s="23"/>
      <c r="H238" s="1"/>
    </row>
    <row r="239" spans="2:8" x14ac:dyDescent="0.2">
      <c r="B239" s="32"/>
      <c r="C239" s="24"/>
      <c r="D239" s="23"/>
      <c r="E239" s="23"/>
      <c r="F239" s="23"/>
      <c r="G239" s="23"/>
      <c r="H239" s="1"/>
    </row>
    <row r="240" spans="2:8" x14ac:dyDescent="0.2">
      <c r="B240" s="32"/>
      <c r="C240" s="24"/>
      <c r="D240" s="23"/>
      <c r="E240" s="23"/>
      <c r="F240" s="23"/>
      <c r="G240" s="23"/>
      <c r="H240" s="1"/>
    </row>
    <row r="241" spans="2:8" x14ac:dyDescent="0.2">
      <c r="B241" s="32"/>
      <c r="C241" s="24"/>
      <c r="D241" s="23"/>
      <c r="E241" s="23"/>
      <c r="F241" s="23"/>
      <c r="G241" s="23"/>
      <c r="H241" s="1"/>
    </row>
    <row r="242" spans="2:8" x14ac:dyDescent="0.2">
      <c r="B242" s="32"/>
      <c r="C242" s="24"/>
      <c r="D242" s="23"/>
      <c r="E242" s="23"/>
      <c r="F242" s="23"/>
      <c r="G242" s="23"/>
      <c r="H242" s="1"/>
    </row>
    <row r="243" spans="2:8" x14ac:dyDescent="0.2">
      <c r="B243" s="32"/>
      <c r="C243" s="24"/>
      <c r="D243" s="23"/>
      <c r="E243" s="23"/>
      <c r="F243" s="23"/>
      <c r="G243" s="23"/>
      <c r="H243" s="1"/>
    </row>
    <row r="244" spans="2:8" x14ac:dyDescent="0.2">
      <c r="B244" s="32"/>
      <c r="C244" s="24"/>
      <c r="D244" s="23"/>
      <c r="E244" s="23"/>
      <c r="F244" s="23"/>
      <c r="G244" s="23"/>
      <c r="H244" s="1"/>
    </row>
    <row r="245" spans="2:8" x14ac:dyDescent="0.2">
      <c r="B245" s="32"/>
      <c r="C245" s="24"/>
      <c r="D245" s="23"/>
      <c r="E245" s="23"/>
      <c r="F245" s="23"/>
      <c r="G245" s="23"/>
      <c r="H245" s="1"/>
    </row>
    <row r="246" spans="2:8" x14ac:dyDescent="0.2">
      <c r="B246" s="32"/>
      <c r="C246" s="24"/>
      <c r="D246" s="23"/>
      <c r="E246" s="23"/>
      <c r="F246" s="23"/>
      <c r="G246" s="23"/>
      <c r="H246" s="1"/>
    </row>
    <row r="247" spans="2:8" x14ac:dyDescent="0.2">
      <c r="B247" s="32"/>
      <c r="C247" s="24"/>
      <c r="D247" s="23"/>
      <c r="E247" s="23"/>
      <c r="F247" s="23"/>
      <c r="G247" s="23"/>
      <c r="H247" s="1"/>
    </row>
    <row r="248" spans="2:8" x14ac:dyDescent="0.2">
      <c r="B248" s="32"/>
      <c r="C248" s="24"/>
      <c r="D248" s="23"/>
      <c r="E248" s="23"/>
      <c r="F248" s="23"/>
      <c r="G248" s="23"/>
      <c r="H248" s="1"/>
    </row>
    <row r="249" spans="2:8" x14ac:dyDescent="0.2">
      <c r="B249" s="32"/>
      <c r="C249" s="24"/>
      <c r="D249" s="23"/>
      <c r="E249" s="23"/>
      <c r="F249" s="23"/>
      <c r="G249" s="23"/>
      <c r="H249" s="1"/>
    </row>
    <row r="250" spans="2:8" x14ac:dyDescent="0.2">
      <c r="B250" s="32"/>
      <c r="C250" s="24"/>
      <c r="D250" s="23"/>
      <c r="E250" s="23"/>
      <c r="F250" s="23"/>
      <c r="G250" s="23"/>
      <c r="H250" s="1"/>
    </row>
    <row r="251" spans="2:8" x14ac:dyDescent="0.2">
      <c r="B251" s="32"/>
      <c r="C251" s="24"/>
      <c r="D251" s="23"/>
      <c r="E251" s="23"/>
      <c r="F251" s="23"/>
      <c r="G251" s="23"/>
      <c r="H251" s="1"/>
    </row>
    <row r="252" spans="2:8" x14ac:dyDescent="0.2">
      <c r="B252" s="32"/>
      <c r="C252" s="24"/>
      <c r="D252" s="23"/>
      <c r="E252" s="23"/>
      <c r="F252" s="23"/>
      <c r="G252" s="23"/>
      <c r="H252" s="1"/>
    </row>
    <row r="253" spans="2:8" x14ac:dyDescent="0.2">
      <c r="B253" s="32"/>
      <c r="C253" s="24"/>
      <c r="D253" s="23"/>
      <c r="E253" s="23"/>
      <c r="F253" s="23"/>
      <c r="G253" s="23"/>
      <c r="H253" s="1"/>
    </row>
    <row r="254" spans="2:8" x14ac:dyDescent="0.2">
      <c r="B254" s="32"/>
      <c r="C254" s="24"/>
      <c r="D254" s="23"/>
      <c r="E254" s="23"/>
      <c r="F254" s="23"/>
      <c r="G254" s="23"/>
      <c r="H254" s="1"/>
    </row>
    <row r="255" spans="2:8" x14ac:dyDescent="0.2">
      <c r="B255" s="32"/>
      <c r="C255" s="24"/>
      <c r="D255" s="23"/>
      <c r="E255" s="23"/>
      <c r="F255" s="23"/>
      <c r="G255" s="23"/>
      <c r="H255" s="1"/>
    </row>
    <row r="256" spans="2:8" x14ac:dyDescent="0.2">
      <c r="B256" s="32"/>
      <c r="C256" s="24"/>
      <c r="D256" s="23"/>
      <c r="E256" s="23"/>
      <c r="F256" s="23"/>
      <c r="G256" s="23"/>
      <c r="H256" s="1"/>
    </row>
    <row r="257" spans="2:8" x14ac:dyDescent="0.2">
      <c r="B257" s="32"/>
      <c r="C257" s="24"/>
      <c r="D257" s="23"/>
      <c r="E257" s="23"/>
      <c r="F257" s="23"/>
      <c r="G257" s="23"/>
      <c r="H257" s="1"/>
    </row>
    <row r="258" spans="2:8" x14ac:dyDescent="0.2">
      <c r="B258" s="32"/>
      <c r="C258" s="24"/>
      <c r="D258" s="23"/>
      <c r="E258" s="23"/>
      <c r="F258" s="23"/>
      <c r="G258" s="23"/>
      <c r="H258" s="1"/>
    </row>
    <row r="259" spans="2:8" x14ac:dyDescent="0.2">
      <c r="B259" s="32"/>
      <c r="C259" s="24"/>
      <c r="D259" s="23"/>
      <c r="E259" s="23"/>
      <c r="F259" s="23"/>
      <c r="G259" s="23"/>
      <c r="H259" s="1"/>
    </row>
    <row r="260" spans="2:8" x14ac:dyDescent="0.2">
      <c r="B260" s="32"/>
      <c r="C260" s="24"/>
      <c r="D260" s="23"/>
      <c r="E260" s="23"/>
      <c r="F260" s="23"/>
      <c r="G260" s="23"/>
      <c r="H260" s="1"/>
    </row>
    <row r="261" spans="2:8" x14ac:dyDescent="0.2">
      <c r="B261" s="32"/>
      <c r="C261" s="24"/>
      <c r="D261" s="23"/>
      <c r="E261" s="23"/>
      <c r="F261" s="23"/>
      <c r="G261" s="23"/>
      <c r="H261" s="1"/>
    </row>
    <row r="262" spans="2:8" x14ac:dyDescent="0.2">
      <c r="B262" s="32"/>
      <c r="C262" s="24"/>
      <c r="D262" s="23"/>
      <c r="E262" s="23"/>
      <c r="F262" s="23"/>
      <c r="G262" s="23"/>
      <c r="H262" s="1"/>
    </row>
    <row r="263" spans="2:8" x14ac:dyDescent="0.2">
      <c r="B263" s="32"/>
      <c r="C263" s="24"/>
      <c r="D263" s="23"/>
      <c r="E263" s="23"/>
      <c r="F263" s="23"/>
      <c r="G263" s="23"/>
      <c r="H263" s="1"/>
    </row>
    <row r="264" spans="2:8" x14ac:dyDescent="0.2">
      <c r="B264" s="32"/>
      <c r="C264" s="24"/>
      <c r="D264" s="23"/>
      <c r="E264" s="23"/>
      <c r="F264" s="23"/>
      <c r="G264" s="23"/>
      <c r="H264" s="1"/>
    </row>
    <row r="265" spans="2:8" x14ac:dyDescent="0.2">
      <c r="B265" s="32"/>
      <c r="C265" s="24"/>
      <c r="D265" s="23"/>
      <c r="E265" s="23"/>
      <c r="F265" s="23"/>
      <c r="G265" s="23"/>
      <c r="H265" s="1"/>
    </row>
    <row r="266" spans="2:8" x14ac:dyDescent="0.2">
      <c r="B266" s="32"/>
      <c r="C266" s="24"/>
      <c r="D266" s="23"/>
      <c r="E266" s="23"/>
      <c r="F266" s="23"/>
      <c r="G266" s="23"/>
      <c r="H266" s="1"/>
    </row>
    <row r="267" spans="2:8" x14ac:dyDescent="0.2">
      <c r="B267" s="32"/>
      <c r="C267" s="24"/>
      <c r="D267" s="23"/>
      <c r="E267" s="23"/>
      <c r="F267" s="23"/>
      <c r="G267" s="23"/>
      <c r="H267" s="1"/>
    </row>
    <row r="268" spans="2:8" x14ac:dyDescent="0.2">
      <c r="B268" s="32"/>
      <c r="C268" s="24"/>
      <c r="D268" s="23"/>
      <c r="E268" s="23"/>
      <c r="F268" s="23"/>
      <c r="G268" s="23"/>
      <c r="H268" s="1"/>
    </row>
    <row r="269" spans="2:8" x14ac:dyDescent="0.2">
      <c r="B269" s="32"/>
      <c r="C269" s="24"/>
      <c r="D269" s="23"/>
      <c r="E269" s="23"/>
      <c r="F269" s="23"/>
      <c r="G269" s="23"/>
      <c r="H269" s="1"/>
    </row>
    <row r="270" spans="2:8" x14ac:dyDescent="0.2">
      <c r="B270" s="32"/>
      <c r="C270" s="24"/>
      <c r="D270" s="23"/>
      <c r="E270" s="23"/>
      <c r="F270" s="23"/>
      <c r="G270" s="23"/>
      <c r="H270" s="1"/>
    </row>
    <row r="271" spans="2:8" x14ac:dyDescent="0.2">
      <c r="B271" s="32"/>
      <c r="C271" s="24"/>
      <c r="D271" s="23"/>
      <c r="E271" s="23"/>
      <c r="F271" s="23"/>
      <c r="G271" s="23"/>
      <c r="H271" s="1"/>
    </row>
    <row r="272" spans="2:8" x14ac:dyDescent="0.2">
      <c r="B272" s="32"/>
      <c r="C272" s="24"/>
      <c r="D272" s="23"/>
      <c r="E272" s="23"/>
      <c r="F272" s="23"/>
      <c r="G272" s="23"/>
      <c r="H272" s="1"/>
    </row>
    <row r="273" spans="2:8" x14ac:dyDescent="0.2">
      <c r="B273" s="32"/>
      <c r="C273" s="24"/>
      <c r="D273" s="23"/>
      <c r="E273" s="23"/>
      <c r="F273" s="23"/>
      <c r="G273" s="23"/>
      <c r="H273" s="1"/>
    </row>
    <row r="274" spans="2:8" x14ac:dyDescent="0.2">
      <c r="B274" s="32"/>
      <c r="C274" s="24"/>
      <c r="D274" s="23"/>
      <c r="E274" s="23"/>
      <c r="F274" s="23"/>
      <c r="G274" s="23"/>
      <c r="H274" s="1"/>
    </row>
    <row r="275" spans="2:8" x14ac:dyDescent="0.2">
      <c r="B275" s="32"/>
      <c r="C275" s="24"/>
      <c r="D275" s="23"/>
      <c r="E275" s="23"/>
      <c r="F275" s="23"/>
      <c r="G275" s="23"/>
      <c r="H275" s="1"/>
    </row>
    <row r="276" spans="2:8" x14ac:dyDescent="0.2">
      <c r="B276" s="32"/>
      <c r="C276" s="24"/>
      <c r="D276" s="23"/>
      <c r="E276" s="23"/>
      <c r="F276" s="23"/>
      <c r="G276" s="23"/>
      <c r="H276" s="1"/>
    </row>
    <row r="277" spans="2:8" x14ac:dyDescent="0.2">
      <c r="B277" s="32"/>
      <c r="C277" s="24"/>
      <c r="D277" s="23"/>
      <c r="E277" s="23"/>
      <c r="F277" s="23"/>
      <c r="G277" s="23"/>
      <c r="H277" s="1"/>
    </row>
    <row r="278" spans="2:8" x14ac:dyDescent="0.2">
      <c r="B278" s="32"/>
      <c r="C278" s="24"/>
      <c r="D278" s="23"/>
      <c r="E278" s="23"/>
      <c r="F278" s="23"/>
      <c r="G278" s="23"/>
      <c r="H278" s="1"/>
    </row>
    <row r="279" spans="2:8" x14ac:dyDescent="0.2">
      <c r="B279" s="32"/>
      <c r="C279" s="24"/>
      <c r="D279" s="23"/>
      <c r="E279" s="23"/>
      <c r="F279" s="23"/>
      <c r="G279" s="23"/>
      <c r="H279" s="1"/>
    </row>
    <row r="280" spans="2:8" x14ac:dyDescent="0.2">
      <c r="B280" s="32"/>
      <c r="C280" s="24"/>
      <c r="D280" s="23"/>
      <c r="E280" s="23"/>
      <c r="F280" s="23"/>
      <c r="G280" s="23"/>
      <c r="H280" s="1"/>
    </row>
    <row r="281" spans="2:8" x14ac:dyDescent="0.2">
      <c r="B281" s="32"/>
      <c r="C281" s="24"/>
      <c r="D281" s="23"/>
      <c r="E281" s="23"/>
      <c r="F281" s="23"/>
      <c r="G281" s="23"/>
      <c r="H281" s="1"/>
    </row>
    <row r="282" spans="2:8" x14ac:dyDescent="0.2">
      <c r="B282" s="32"/>
      <c r="C282" s="24"/>
      <c r="D282" s="23"/>
      <c r="E282" s="23"/>
      <c r="F282" s="23"/>
      <c r="G282" s="23"/>
      <c r="H282" s="1"/>
    </row>
    <row r="283" spans="2:8" x14ac:dyDescent="0.2">
      <c r="B283" s="32"/>
      <c r="C283" s="24"/>
      <c r="D283" s="23"/>
      <c r="E283" s="23"/>
      <c r="F283" s="23"/>
      <c r="G283" s="23"/>
      <c r="H283" s="1"/>
    </row>
    <row r="284" spans="2:8" x14ac:dyDescent="0.2">
      <c r="B284" s="32"/>
      <c r="C284" s="24"/>
      <c r="D284" s="23"/>
      <c r="E284" s="23"/>
      <c r="F284" s="23"/>
      <c r="G284" s="23"/>
      <c r="H284" s="1"/>
    </row>
    <row r="285" spans="2:8" x14ac:dyDescent="0.2">
      <c r="B285" s="32"/>
      <c r="C285" s="24"/>
      <c r="D285" s="23"/>
      <c r="E285" s="23"/>
      <c r="F285" s="23"/>
      <c r="G285" s="23"/>
      <c r="H285" s="1"/>
    </row>
    <row r="286" spans="2:8" x14ac:dyDescent="0.2">
      <c r="B286" s="32"/>
      <c r="C286" s="24"/>
      <c r="D286" s="23"/>
      <c r="E286" s="23"/>
      <c r="F286" s="23"/>
      <c r="G286" s="23"/>
      <c r="H286" s="1"/>
    </row>
    <row r="287" spans="2:8" x14ac:dyDescent="0.2">
      <c r="B287" s="32"/>
      <c r="C287" s="24"/>
      <c r="D287" s="23"/>
      <c r="E287" s="23"/>
      <c r="F287" s="23"/>
      <c r="G287" s="23"/>
      <c r="H287" s="1"/>
    </row>
    <row r="288" spans="2:8" x14ac:dyDescent="0.2">
      <c r="B288" s="32"/>
      <c r="C288" s="24"/>
      <c r="D288" s="23"/>
      <c r="E288" s="23"/>
      <c r="F288" s="23"/>
      <c r="G288" s="23"/>
      <c r="H288" s="1"/>
    </row>
    <row r="289" spans="2:8" x14ac:dyDescent="0.2">
      <c r="B289" s="32"/>
      <c r="C289" s="24"/>
      <c r="D289" s="23"/>
      <c r="E289" s="23"/>
      <c r="F289" s="23"/>
      <c r="G289" s="23"/>
      <c r="H289" s="1"/>
    </row>
    <row r="290" spans="2:8" x14ac:dyDescent="0.2">
      <c r="B290" s="32"/>
      <c r="C290" s="24"/>
      <c r="D290" s="23"/>
      <c r="E290" s="23"/>
      <c r="F290" s="23"/>
      <c r="G290" s="23"/>
      <c r="H290" s="1"/>
    </row>
    <row r="291" spans="2:8" x14ac:dyDescent="0.2">
      <c r="B291" s="32"/>
      <c r="C291" s="24"/>
      <c r="D291" s="23"/>
      <c r="E291" s="23"/>
      <c r="F291" s="23"/>
      <c r="G291" s="23"/>
      <c r="H291" s="1"/>
    </row>
    <row r="292" spans="2:8" x14ac:dyDescent="0.2">
      <c r="B292" s="32"/>
      <c r="C292" s="24"/>
      <c r="D292" s="23"/>
      <c r="E292" s="23"/>
      <c r="F292" s="23"/>
      <c r="G292" s="23"/>
      <c r="H292" s="1"/>
    </row>
    <row r="293" spans="2:8" x14ac:dyDescent="0.2">
      <c r="B293" s="32"/>
      <c r="C293" s="24"/>
      <c r="D293" s="23"/>
      <c r="E293" s="23"/>
      <c r="F293" s="23"/>
      <c r="G293" s="23"/>
      <c r="H293" s="1"/>
    </row>
    <row r="294" spans="2:8" x14ac:dyDescent="0.2">
      <c r="B294" s="32"/>
      <c r="C294" s="24"/>
      <c r="D294" s="23"/>
      <c r="E294" s="23"/>
      <c r="F294" s="23"/>
      <c r="G294" s="23"/>
      <c r="H294" s="1"/>
    </row>
    <row r="295" spans="2:8" x14ac:dyDescent="0.2">
      <c r="B295" s="32"/>
      <c r="C295" s="24"/>
      <c r="D295" s="23"/>
      <c r="E295" s="23"/>
      <c r="F295" s="23"/>
      <c r="G295" s="23"/>
      <c r="H295" s="1"/>
    </row>
    <row r="296" spans="2:8" x14ac:dyDescent="0.2">
      <c r="B296" s="32"/>
      <c r="C296" s="24"/>
      <c r="D296" s="23"/>
      <c r="E296" s="23"/>
      <c r="F296" s="23"/>
      <c r="G296" s="23"/>
      <c r="H296" s="1"/>
    </row>
    <row r="297" spans="2:8" x14ac:dyDescent="0.2">
      <c r="B297" s="32"/>
      <c r="C297" s="24"/>
      <c r="D297" s="23"/>
      <c r="E297" s="23"/>
      <c r="F297" s="23"/>
      <c r="G297" s="23"/>
      <c r="H297" s="1"/>
    </row>
    <row r="298" spans="2:8" x14ac:dyDescent="0.2">
      <c r="B298" s="32"/>
      <c r="C298" s="24"/>
      <c r="D298" s="23"/>
      <c r="E298" s="23"/>
      <c r="F298" s="23"/>
      <c r="G298" s="23"/>
      <c r="H298" s="1"/>
    </row>
    <row r="299" spans="2:8" x14ac:dyDescent="0.2">
      <c r="B299" s="32"/>
      <c r="C299" s="24"/>
      <c r="D299" s="23"/>
      <c r="E299" s="23"/>
      <c r="F299" s="23"/>
      <c r="G299" s="23"/>
      <c r="H299" s="1"/>
    </row>
    <row r="300" spans="2:8" x14ac:dyDescent="0.2">
      <c r="B300" s="32"/>
      <c r="C300" s="24"/>
      <c r="D300" s="23"/>
      <c r="E300" s="23"/>
      <c r="F300" s="23"/>
      <c r="G300" s="23"/>
      <c r="H300" s="1"/>
    </row>
    <row r="301" spans="2:8" x14ac:dyDescent="0.2">
      <c r="B301" s="32"/>
      <c r="C301" s="24"/>
      <c r="D301" s="23"/>
      <c r="E301" s="23"/>
      <c r="F301" s="23"/>
      <c r="G301" s="23"/>
      <c r="H301" s="1"/>
    </row>
    <row r="302" spans="2:8" x14ac:dyDescent="0.2">
      <c r="B302" s="32"/>
      <c r="C302" s="24"/>
      <c r="D302" s="23"/>
      <c r="E302" s="23"/>
      <c r="F302" s="23"/>
      <c r="G302" s="23"/>
      <c r="H302" s="1"/>
    </row>
    <row r="303" spans="2:8" x14ac:dyDescent="0.2">
      <c r="B303" s="32"/>
      <c r="C303" s="24"/>
      <c r="D303" s="23"/>
      <c r="E303" s="23"/>
      <c r="F303" s="23"/>
      <c r="G303" s="23"/>
      <c r="H303" s="1"/>
    </row>
    <row r="304" spans="2:8" x14ac:dyDescent="0.2">
      <c r="B304" s="32"/>
      <c r="C304" s="24"/>
      <c r="D304" s="23"/>
      <c r="E304" s="23"/>
      <c r="F304" s="23"/>
      <c r="G304" s="23"/>
      <c r="H304" s="1"/>
    </row>
    <row r="305" spans="2:8" x14ac:dyDescent="0.2">
      <c r="B305" s="32"/>
      <c r="C305" s="24"/>
      <c r="D305" s="23"/>
      <c r="E305" s="23"/>
      <c r="F305" s="23"/>
      <c r="G305" s="23"/>
      <c r="H305" s="1"/>
    </row>
    <row r="306" spans="2:8" x14ac:dyDescent="0.2">
      <c r="B306" s="32"/>
      <c r="C306" s="24"/>
      <c r="D306" s="23"/>
      <c r="E306" s="23"/>
      <c r="F306" s="23"/>
      <c r="G306" s="23"/>
      <c r="H306" s="1"/>
    </row>
    <row r="307" spans="2:8" x14ac:dyDescent="0.2">
      <c r="B307" s="32"/>
      <c r="C307" s="24"/>
      <c r="D307" s="23"/>
      <c r="E307" s="23"/>
      <c r="F307" s="23"/>
      <c r="G307" s="23"/>
      <c r="H307" s="1"/>
    </row>
    <row r="308" spans="2:8" x14ac:dyDescent="0.2">
      <c r="B308" s="32"/>
      <c r="C308" s="24"/>
      <c r="D308" s="23"/>
      <c r="E308" s="23"/>
      <c r="F308" s="23"/>
      <c r="G308" s="23"/>
      <c r="H308" s="1"/>
    </row>
    <row r="309" spans="2:8" x14ac:dyDescent="0.2">
      <c r="B309" s="32"/>
      <c r="C309" s="24"/>
      <c r="D309" s="23"/>
      <c r="E309" s="23"/>
      <c r="F309" s="23"/>
      <c r="G309" s="23"/>
      <c r="H309" s="1"/>
    </row>
    <row r="310" spans="2:8" x14ac:dyDescent="0.2">
      <c r="B310" s="32"/>
      <c r="C310" s="24"/>
      <c r="D310" s="23"/>
      <c r="E310" s="23"/>
      <c r="F310" s="23"/>
      <c r="G310" s="23"/>
      <c r="H310" s="1"/>
    </row>
    <row r="311" spans="2:8" x14ac:dyDescent="0.2">
      <c r="B311" s="32"/>
      <c r="C311" s="24"/>
      <c r="D311" s="23"/>
      <c r="E311" s="23"/>
      <c r="F311" s="23"/>
      <c r="G311" s="23"/>
      <c r="H311" s="1"/>
    </row>
    <row r="312" spans="2:8" x14ac:dyDescent="0.2">
      <c r="B312" s="32"/>
      <c r="C312" s="24"/>
      <c r="D312" s="23"/>
      <c r="E312" s="23"/>
      <c r="F312" s="23"/>
      <c r="G312" s="23"/>
      <c r="H312" s="1"/>
    </row>
    <row r="313" spans="2:8" x14ac:dyDescent="0.2">
      <c r="B313" s="32"/>
      <c r="C313" s="24"/>
      <c r="D313" s="23"/>
      <c r="E313" s="23"/>
      <c r="F313" s="23"/>
      <c r="G313" s="23"/>
      <c r="H313" s="1"/>
    </row>
    <row r="314" spans="2:8" x14ac:dyDescent="0.2">
      <c r="B314" s="32"/>
      <c r="C314" s="24"/>
      <c r="D314" s="23"/>
      <c r="E314" s="23"/>
      <c r="F314" s="23"/>
      <c r="G314" s="23"/>
      <c r="H314" s="1"/>
    </row>
    <row r="315" spans="2:8" x14ac:dyDescent="0.2">
      <c r="B315" s="32"/>
      <c r="C315" s="24"/>
      <c r="D315" s="23"/>
      <c r="E315" s="23"/>
      <c r="F315" s="23"/>
      <c r="G315" s="23"/>
      <c r="H315" s="1"/>
    </row>
    <row r="316" spans="2:8" x14ac:dyDescent="0.2">
      <c r="B316" s="32"/>
      <c r="C316" s="24"/>
      <c r="D316" s="23"/>
      <c r="E316" s="23"/>
      <c r="F316" s="23"/>
      <c r="G316" s="23"/>
      <c r="H316" s="1"/>
    </row>
    <row r="317" spans="2:8" x14ac:dyDescent="0.2">
      <c r="B317" s="32"/>
      <c r="C317" s="24"/>
      <c r="D317" s="23"/>
      <c r="E317" s="23"/>
      <c r="F317" s="23"/>
      <c r="G317" s="23"/>
      <c r="H317" s="1"/>
    </row>
    <row r="318" spans="2:8" x14ac:dyDescent="0.2">
      <c r="B318" s="32"/>
      <c r="C318" s="24"/>
      <c r="D318" s="23"/>
      <c r="E318" s="23"/>
      <c r="F318" s="23"/>
      <c r="G318" s="23"/>
      <c r="H318" s="1"/>
    </row>
    <row r="319" spans="2:8" x14ac:dyDescent="0.2">
      <c r="B319" s="32"/>
      <c r="C319" s="24"/>
      <c r="D319" s="23"/>
      <c r="E319" s="23"/>
      <c r="F319" s="23"/>
      <c r="G319" s="23"/>
      <c r="H319" s="1"/>
    </row>
    <row r="320" spans="2:8" x14ac:dyDescent="0.2">
      <c r="B320" s="32"/>
      <c r="C320" s="24"/>
      <c r="D320" s="23"/>
      <c r="E320" s="23"/>
      <c r="F320" s="23"/>
      <c r="G320" s="23"/>
      <c r="H320" s="1"/>
    </row>
    <row r="321" spans="2:8" x14ac:dyDescent="0.2">
      <c r="B321" s="32"/>
      <c r="C321" s="24"/>
      <c r="D321" s="23"/>
      <c r="E321" s="23"/>
      <c r="F321" s="23"/>
      <c r="G321" s="23"/>
      <c r="H321" s="1"/>
    </row>
    <row r="322" spans="2:8" x14ac:dyDescent="0.2">
      <c r="B322" s="32"/>
      <c r="C322" s="24"/>
      <c r="D322" s="23"/>
      <c r="E322" s="23"/>
      <c r="F322" s="23"/>
      <c r="G322" s="23"/>
      <c r="H322" s="1"/>
    </row>
    <row r="323" spans="2:8" x14ac:dyDescent="0.2">
      <c r="B323" s="32"/>
      <c r="C323" s="24"/>
      <c r="D323" s="23"/>
      <c r="E323" s="23"/>
      <c r="F323" s="23"/>
      <c r="G323" s="23"/>
      <c r="H323" s="1"/>
    </row>
    <row r="324" spans="2:8" x14ac:dyDescent="0.2">
      <c r="B324" s="32"/>
      <c r="C324" s="24"/>
      <c r="D324" s="23"/>
      <c r="E324" s="23"/>
      <c r="F324" s="23"/>
      <c r="G324" s="23"/>
      <c r="H324" s="1"/>
    </row>
    <row r="325" spans="2:8" x14ac:dyDescent="0.2">
      <c r="B325" s="32"/>
      <c r="C325" s="24"/>
      <c r="D325" s="23"/>
      <c r="E325" s="23"/>
      <c r="F325" s="23"/>
      <c r="G325" s="23"/>
      <c r="H325" s="1"/>
    </row>
    <row r="326" spans="2:8" x14ac:dyDescent="0.2">
      <c r="B326" s="32"/>
      <c r="C326" s="24"/>
      <c r="D326" s="23"/>
      <c r="E326" s="23"/>
      <c r="F326" s="23"/>
      <c r="G326" s="23"/>
      <c r="H326" s="1"/>
    </row>
    <row r="327" spans="2:8" x14ac:dyDescent="0.2">
      <c r="B327" s="32"/>
      <c r="C327" s="24"/>
      <c r="D327" s="23"/>
      <c r="E327" s="23"/>
      <c r="F327" s="23"/>
      <c r="G327" s="23"/>
      <c r="H327" s="1"/>
    </row>
    <row r="328" spans="2:8" x14ac:dyDescent="0.2">
      <c r="B328" s="32"/>
      <c r="C328" s="24"/>
      <c r="D328" s="23"/>
      <c r="E328" s="23"/>
      <c r="F328" s="23"/>
      <c r="G328" s="23"/>
      <c r="H328" s="1"/>
    </row>
    <row r="329" spans="2:8" x14ac:dyDescent="0.2">
      <c r="B329" s="32"/>
      <c r="C329" s="24"/>
      <c r="D329" s="23"/>
      <c r="E329" s="23"/>
      <c r="F329" s="23"/>
      <c r="G329" s="23"/>
      <c r="H329" s="1"/>
    </row>
    <row r="330" spans="2:8" x14ac:dyDescent="0.2">
      <c r="B330" s="32"/>
      <c r="C330" s="24"/>
      <c r="D330" s="23"/>
      <c r="E330" s="23"/>
      <c r="F330" s="23"/>
      <c r="G330" s="23"/>
      <c r="H330" s="1"/>
    </row>
    <row r="331" spans="2:8" x14ac:dyDescent="0.2">
      <c r="B331" s="32"/>
      <c r="C331" s="24"/>
      <c r="D331" s="23"/>
      <c r="E331" s="23"/>
      <c r="F331" s="23"/>
      <c r="G331" s="23"/>
      <c r="H331" s="1"/>
    </row>
    <row r="332" spans="2:8" x14ac:dyDescent="0.2">
      <c r="B332" s="32"/>
      <c r="C332" s="24"/>
      <c r="D332" s="23"/>
      <c r="E332" s="23"/>
      <c r="F332" s="23"/>
      <c r="G332" s="23"/>
      <c r="H332" s="1"/>
    </row>
    <row r="333" spans="2:8" x14ac:dyDescent="0.2">
      <c r="B333" s="32"/>
      <c r="C333" s="24"/>
      <c r="D333" s="23"/>
      <c r="E333" s="23"/>
      <c r="F333" s="23"/>
      <c r="G333" s="23"/>
      <c r="H333" s="1"/>
    </row>
    <row r="334" spans="2:8" x14ac:dyDescent="0.2">
      <c r="B334" s="32"/>
      <c r="C334" s="24"/>
      <c r="D334" s="23"/>
      <c r="E334" s="23"/>
      <c r="F334" s="23"/>
      <c r="G334" s="23"/>
      <c r="H334" s="1"/>
    </row>
    <row r="335" spans="2:8" x14ac:dyDescent="0.2">
      <c r="B335" s="32"/>
      <c r="C335" s="24"/>
      <c r="D335" s="23"/>
      <c r="E335" s="23"/>
      <c r="F335" s="23"/>
      <c r="G335" s="23"/>
      <c r="H335" s="1"/>
    </row>
    <row r="336" spans="2:8" x14ac:dyDescent="0.2">
      <c r="B336" s="32"/>
      <c r="C336" s="24"/>
      <c r="D336" s="23"/>
      <c r="E336" s="23"/>
      <c r="F336" s="23"/>
      <c r="G336" s="23"/>
      <c r="H336" s="1"/>
    </row>
    <row r="337" spans="2:8" x14ac:dyDescent="0.2">
      <c r="B337" s="32"/>
      <c r="C337" s="24"/>
      <c r="D337" s="23"/>
      <c r="E337" s="23"/>
      <c r="F337" s="23"/>
      <c r="G337" s="23"/>
      <c r="H337" s="1"/>
    </row>
    <row r="338" spans="2:8" x14ac:dyDescent="0.2">
      <c r="B338" s="32"/>
      <c r="C338" s="24"/>
      <c r="D338" s="23"/>
      <c r="E338" s="23"/>
      <c r="F338" s="23"/>
      <c r="G338" s="23"/>
      <c r="H338" s="1"/>
    </row>
    <row r="339" spans="2:8" x14ac:dyDescent="0.2">
      <c r="B339" s="32"/>
      <c r="C339" s="24"/>
      <c r="D339" s="23"/>
      <c r="E339" s="23"/>
      <c r="F339" s="23"/>
      <c r="G339" s="23"/>
      <c r="H339" s="1"/>
    </row>
    <row r="340" spans="2:8" x14ac:dyDescent="0.2">
      <c r="B340" s="32"/>
      <c r="C340" s="24"/>
      <c r="D340" s="23"/>
      <c r="E340" s="23"/>
      <c r="F340" s="23"/>
      <c r="G340" s="23"/>
      <c r="H340" s="1"/>
    </row>
    <row r="341" spans="2:8" x14ac:dyDescent="0.2">
      <c r="B341" s="32"/>
      <c r="C341" s="24"/>
      <c r="D341" s="23"/>
      <c r="E341" s="23"/>
      <c r="F341" s="23"/>
      <c r="G341" s="23"/>
      <c r="H341" s="1"/>
    </row>
    <row r="342" spans="2:8" x14ac:dyDescent="0.2">
      <c r="B342" s="32"/>
      <c r="C342" s="24"/>
      <c r="D342" s="23"/>
      <c r="E342" s="23"/>
      <c r="F342" s="23"/>
      <c r="G342" s="23"/>
      <c r="H342" s="1"/>
    </row>
    <row r="343" spans="2:8" x14ac:dyDescent="0.2">
      <c r="B343" s="32"/>
      <c r="C343" s="24"/>
      <c r="D343" s="23"/>
      <c r="E343" s="23"/>
      <c r="F343" s="23"/>
      <c r="G343" s="23"/>
      <c r="H343" s="1"/>
    </row>
    <row r="344" spans="2:8" x14ac:dyDescent="0.2">
      <c r="B344" s="32"/>
      <c r="C344" s="24"/>
      <c r="D344" s="23"/>
      <c r="E344" s="23"/>
      <c r="F344" s="23"/>
      <c r="G344" s="23"/>
      <c r="H344" s="1"/>
    </row>
    <row r="345" spans="2:8" x14ac:dyDescent="0.2">
      <c r="B345" s="32"/>
      <c r="C345" s="24"/>
      <c r="D345" s="23"/>
      <c r="E345" s="23"/>
      <c r="F345" s="23"/>
      <c r="G345" s="23"/>
      <c r="H345" s="1"/>
    </row>
    <row r="346" spans="2:8" x14ac:dyDescent="0.2">
      <c r="B346" s="32"/>
      <c r="C346" s="24"/>
      <c r="D346" s="23"/>
      <c r="E346" s="23"/>
      <c r="F346" s="23"/>
      <c r="G346" s="23"/>
      <c r="H346" s="1"/>
    </row>
    <row r="347" spans="2:8" x14ac:dyDescent="0.2">
      <c r="B347" s="32"/>
      <c r="C347" s="24"/>
      <c r="D347" s="23"/>
      <c r="E347" s="23"/>
      <c r="F347" s="23"/>
      <c r="G347" s="23"/>
      <c r="H347" s="1"/>
    </row>
    <row r="348" spans="2:8" x14ac:dyDescent="0.2">
      <c r="B348" s="32"/>
      <c r="C348" s="24"/>
      <c r="D348" s="23"/>
      <c r="E348" s="23"/>
      <c r="F348" s="23"/>
      <c r="G348" s="23"/>
      <c r="H348" s="1"/>
    </row>
    <row r="349" spans="2:8" x14ac:dyDescent="0.2">
      <c r="B349" s="32"/>
      <c r="C349" s="24"/>
      <c r="D349" s="23"/>
      <c r="E349" s="23"/>
      <c r="F349" s="23"/>
      <c r="G349" s="23"/>
      <c r="H349" s="1"/>
    </row>
    <row r="350" spans="2:8" x14ac:dyDescent="0.2">
      <c r="B350" s="32"/>
      <c r="C350" s="24"/>
      <c r="D350" s="23"/>
      <c r="E350" s="23"/>
      <c r="F350" s="23"/>
      <c r="G350" s="23"/>
      <c r="H350" s="1"/>
    </row>
    <row r="351" spans="2:8" x14ac:dyDescent="0.2">
      <c r="B351" s="32"/>
      <c r="C351" s="24"/>
      <c r="D351" s="23"/>
      <c r="E351" s="23"/>
      <c r="F351" s="23"/>
      <c r="G351" s="23"/>
      <c r="H351" s="1"/>
    </row>
    <row r="352" spans="2:8" x14ac:dyDescent="0.2">
      <c r="B352" s="32"/>
      <c r="C352" s="24"/>
      <c r="D352" s="23"/>
      <c r="E352" s="23"/>
      <c r="F352" s="23"/>
      <c r="G352" s="23"/>
      <c r="H352" s="1"/>
    </row>
    <row r="353" spans="2:8" x14ac:dyDescent="0.2">
      <c r="B353" s="32"/>
      <c r="C353" s="24"/>
      <c r="D353" s="23"/>
      <c r="E353" s="23"/>
      <c r="F353" s="23"/>
      <c r="G353" s="23"/>
      <c r="H353" s="1"/>
    </row>
    <row r="354" spans="2:8" x14ac:dyDescent="0.2">
      <c r="B354" s="32"/>
      <c r="C354" s="24"/>
      <c r="D354" s="23"/>
      <c r="E354" s="23"/>
      <c r="F354" s="23"/>
      <c r="G354" s="23"/>
      <c r="H354" s="1"/>
    </row>
    <row r="355" spans="2:8" x14ac:dyDescent="0.2">
      <c r="B355" s="32"/>
      <c r="C355" s="24"/>
      <c r="D355" s="23"/>
      <c r="E355" s="23"/>
      <c r="F355" s="23"/>
      <c r="G355" s="23"/>
      <c r="H355" s="1"/>
    </row>
    <row r="356" spans="2:8" x14ac:dyDescent="0.2">
      <c r="B356" s="32"/>
      <c r="C356" s="24"/>
      <c r="D356" s="23"/>
      <c r="E356" s="23"/>
      <c r="F356" s="23"/>
      <c r="G356" s="23"/>
      <c r="H356" s="1"/>
    </row>
    <row r="357" spans="2:8" x14ac:dyDescent="0.2">
      <c r="B357" s="32"/>
      <c r="C357" s="24"/>
      <c r="D357" s="23"/>
      <c r="E357" s="23"/>
      <c r="F357" s="23"/>
      <c r="G357" s="23"/>
      <c r="H357" s="1"/>
    </row>
    <row r="358" spans="2:8" x14ac:dyDescent="0.2">
      <c r="B358" s="32"/>
      <c r="C358" s="24"/>
      <c r="D358" s="23"/>
      <c r="E358" s="23"/>
      <c r="F358" s="23"/>
      <c r="G358" s="23"/>
      <c r="H358" s="1"/>
    </row>
    <row r="359" spans="2:8" x14ac:dyDescent="0.2">
      <c r="B359" s="32"/>
      <c r="C359" s="24"/>
      <c r="D359" s="23"/>
      <c r="E359" s="23"/>
      <c r="F359" s="23"/>
      <c r="G359" s="23"/>
      <c r="H359" s="1"/>
    </row>
    <row r="360" spans="2:8" x14ac:dyDescent="0.2">
      <c r="B360" s="32"/>
      <c r="C360" s="24"/>
      <c r="D360" s="23"/>
      <c r="E360" s="23"/>
      <c r="F360" s="23"/>
      <c r="G360" s="23"/>
      <c r="H360" s="1"/>
    </row>
    <row r="361" spans="2:8" x14ac:dyDescent="0.2">
      <c r="B361" s="32"/>
      <c r="C361" s="24"/>
      <c r="D361" s="23"/>
      <c r="E361" s="23"/>
      <c r="F361" s="23"/>
      <c r="G361" s="23"/>
      <c r="H361" s="1"/>
    </row>
    <row r="362" spans="2:8" x14ac:dyDescent="0.2">
      <c r="B362" s="32"/>
      <c r="C362" s="24"/>
      <c r="D362" s="23"/>
      <c r="E362" s="23"/>
      <c r="F362" s="23"/>
      <c r="G362" s="23"/>
      <c r="H362" s="1"/>
    </row>
    <row r="363" spans="2:8" x14ac:dyDescent="0.2">
      <c r="B363" s="32"/>
      <c r="C363" s="24"/>
      <c r="D363" s="23"/>
      <c r="E363" s="23"/>
      <c r="F363" s="23"/>
      <c r="G363" s="23"/>
      <c r="H363" s="1"/>
    </row>
    <row r="364" spans="2:8" x14ac:dyDescent="0.2">
      <c r="B364" s="32"/>
      <c r="C364" s="24"/>
      <c r="D364" s="23"/>
      <c r="E364" s="23"/>
      <c r="F364" s="23"/>
      <c r="G364" s="23"/>
      <c r="H364" s="1"/>
    </row>
    <row r="365" spans="2:8" x14ac:dyDescent="0.2">
      <c r="B365" s="32"/>
      <c r="C365" s="24"/>
      <c r="D365" s="23"/>
      <c r="E365" s="23"/>
      <c r="F365" s="23"/>
      <c r="G365" s="23"/>
      <c r="H365" s="1"/>
    </row>
    <row r="366" spans="2:8" x14ac:dyDescent="0.2">
      <c r="B366" s="32"/>
      <c r="C366" s="24"/>
      <c r="D366" s="23"/>
      <c r="E366" s="23"/>
      <c r="F366" s="23"/>
      <c r="G366" s="23"/>
      <c r="H366" s="1"/>
    </row>
    <row r="367" spans="2:8" x14ac:dyDescent="0.2">
      <c r="B367" s="32"/>
      <c r="C367" s="24"/>
      <c r="D367" s="23"/>
      <c r="E367" s="23"/>
      <c r="F367" s="23"/>
      <c r="G367" s="23"/>
      <c r="H367" s="1"/>
    </row>
    <row r="368" spans="2:8" x14ac:dyDescent="0.2">
      <c r="B368" s="32"/>
      <c r="C368" s="24"/>
      <c r="D368" s="23"/>
      <c r="E368" s="23"/>
      <c r="F368" s="23"/>
      <c r="G368" s="23"/>
      <c r="H368" s="1"/>
    </row>
    <row r="369" spans="2:8" x14ac:dyDescent="0.2">
      <c r="B369" s="32"/>
      <c r="C369" s="24"/>
      <c r="D369" s="23"/>
      <c r="E369" s="23"/>
      <c r="F369" s="23"/>
      <c r="G369" s="23"/>
      <c r="H369" s="1"/>
    </row>
    <row r="370" spans="2:8" x14ac:dyDescent="0.2">
      <c r="B370" s="32"/>
      <c r="C370" s="24"/>
      <c r="D370" s="23"/>
      <c r="E370" s="23"/>
      <c r="F370" s="23"/>
      <c r="G370" s="23"/>
      <c r="H370" s="1"/>
    </row>
    <row r="371" spans="2:8" x14ac:dyDescent="0.2">
      <c r="B371" s="32"/>
      <c r="C371" s="24"/>
      <c r="D371" s="23"/>
      <c r="E371" s="23"/>
      <c r="F371" s="23"/>
      <c r="G371" s="23"/>
      <c r="H371" s="1"/>
    </row>
    <row r="372" spans="2:8" x14ac:dyDescent="0.2">
      <c r="B372" s="32"/>
      <c r="C372" s="24"/>
      <c r="D372" s="23"/>
      <c r="E372" s="23"/>
      <c r="F372" s="23"/>
      <c r="G372" s="23"/>
      <c r="H372" s="1"/>
    </row>
    <row r="373" spans="2:8" x14ac:dyDescent="0.2">
      <c r="B373" s="32"/>
      <c r="C373" s="24"/>
      <c r="D373" s="23"/>
      <c r="E373" s="23"/>
      <c r="F373" s="23"/>
      <c r="G373" s="23"/>
      <c r="H373" s="1"/>
    </row>
    <row r="374" spans="2:8" x14ac:dyDescent="0.2">
      <c r="B374" s="32"/>
      <c r="C374" s="24"/>
      <c r="D374" s="23"/>
      <c r="E374" s="23"/>
      <c r="F374" s="23"/>
      <c r="G374" s="23"/>
      <c r="H374" s="1"/>
    </row>
    <row r="375" spans="2:8" x14ac:dyDescent="0.2">
      <c r="B375" s="32"/>
      <c r="C375" s="24"/>
      <c r="D375" s="23"/>
      <c r="E375" s="23"/>
      <c r="F375" s="23"/>
      <c r="G375" s="23"/>
      <c r="H375" s="1"/>
    </row>
    <row r="376" spans="2:8" x14ac:dyDescent="0.2">
      <c r="B376" s="32"/>
      <c r="C376" s="24"/>
      <c r="D376" s="23"/>
      <c r="E376" s="23"/>
      <c r="F376" s="23"/>
      <c r="G376" s="23"/>
      <c r="H376" s="1"/>
    </row>
    <row r="377" spans="2:8" x14ac:dyDescent="0.2">
      <c r="B377" s="32"/>
      <c r="C377" s="24"/>
      <c r="D377" s="23"/>
      <c r="E377" s="23"/>
      <c r="F377" s="23"/>
      <c r="G377" s="23"/>
      <c r="H377" s="1"/>
    </row>
    <row r="378" spans="2:8" x14ac:dyDescent="0.2">
      <c r="B378" s="32"/>
      <c r="C378" s="24"/>
      <c r="D378" s="23"/>
      <c r="E378" s="23"/>
      <c r="F378" s="23"/>
      <c r="G378" s="23"/>
      <c r="H378" s="1"/>
    </row>
    <row r="379" spans="2:8" x14ac:dyDescent="0.2">
      <c r="B379" s="32"/>
      <c r="C379" s="24"/>
      <c r="D379" s="23"/>
      <c r="E379" s="23"/>
      <c r="F379" s="23"/>
      <c r="G379" s="23"/>
      <c r="H379" s="1"/>
    </row>
    <row r="380" spans="2:8" x14ac:dyDescent="0.2">
      <c r="B380" s="32"/>
      <c r="C380" s="24"/>
      <c r="D380" s="23"/>
      <c r="E380" s="23"/>
      <c r="F380" s="23"/>
      <c r="G380" s="23"/>
      <c r="H380" s="1"/>
    </row>
    <row r="381" spans="2:8" x14ac:dyDescent="0.2">
      <c r="B381" s="32"/>
      <c r="C381" s="24"/>
      <c r="D381" s="23"/>
      <c r="E381" s="23"/>
      <c r="F381" s="23"/>
      <c r="G381" s="23"/>
      <c r="H381" s="1"/>
    </row>
    <row r="382" spans="2:8" x14ac:dyDescent="0.2">
      <c r="B382" s="32"/>
      <c r="C382" s="24"/>
      <c r="D382" s="23"/>
      <c r="E382" s="23"/>
      <c r="F382" s="23"/>
      <c r="G382" s="23"/>
      <c r="H382" s="1"/>
    </row>
    <row r="383" spans="2:8" x14ac:dyDescent="0.2">
      <c r="B383" s="32"/>
      <c r="C383" s="24"/>
      <c r="D383" s="23"/>
      <c r="E383" s="23"/>
      <c r="F383" s="23"/>
      <c r="G383" s="23"/>
      <c r="H383" s="1"/>
    </row>
    <row r="384" spans="2:8" x14ac:dyDescent="0.2">
      <c r="B384" s="32"/>
      <c r="C384" s="24"/>
      <c r="D384" s="23"/>
      <c r="E384" s="23"/>
      <c r="F384" s="23"/>
      <c r="G384" s="23"/>
      <c r="H384" s="1"/>
    </row>
    <row r="385" spans="2:8" x14ac:dyDescent="0.2">
      <c r="B385" s="32"/>
      <c r="C385" s="24"/>
      <c r="D385" s="23"/>
      <c r="E385" s="23"/>
      <c r="F385" s="23"/>
      <c r="G385" s="23"/>
      <c r="H385" s="1"/>
    </row>
    <row r="386" spans="2:8" x14ac:dyDescent="0.2">
      <c r="B386" s="32"/>
      <c r="C386" s="24"/>
      <c r="D386" s="23"/>
      <c r="E386" s="23"/>
      <c r="F386" s="23"/>
      <c r="G386" s="23"/>
      <c r="H386" s="1"/>
    </row>
    <row r="387" spans="2:8" x14ac:dyDescent="0.2">
      <c r="B387" s="32"/>
      <c r="C387" s="24"/>
      <c r="D387" s="23"/>
      <c r="E387" s="23"/>
      <c r="F387" s="23"/>
      <c r="G387" s="23"/>
      <c r="H387" s="1"/>
    </row>
    <row r="388" spans="2:8" x14ac:dyDescent="0.2">
      <c r="B388" s="32"/>
      <c r="C388" s="24"/>
      <c r="D388" s="23"/>
      <c r="E388" s="23"/>
      <c r="F388" s="23"/>
      <c r="G388" s="23"/>
      <c r="H388" s="1"/>
    </row>
    <row r="389" spans="2:8" x14ac:dyDescent="0.2">
      <c r="B389" s="32"/>
      <c r="C389" s="24"/>
      <c r="D389" s="23"/>
      <c r="E389" s="23"/>
      <c r="F389" s="23"/>
      <c r="G389" s="23"/>
      <c r="H389" s="1"/>
    </row>
    <row r="390" spans="2:8" x14ac:dyDescent="0.2">
      <c r="B390" s="32"/>
      <c r="C390" s="24"/>
      <c r="D390" s="23"/>
      <c r="E390" s="23"/>
      <c r="F390" s="23"/>
      <c r="G390" s="23"/>
      <c r="H390" s="1"/>
    </row>
    <row r="391" spans="2:8" x14ac:dyDescent="0.2">
      <c r="B391" s="32"/>
      <c r="C391" s="24"/>
      <c r="D391" s="23"/>
      <c r="E391" s="23"/>
      <c r="F391" s="23"/>
      <c r="G391" s="23"/>
      <c r="H391" s="1"/>
    </row>
    <row r="392" spans="2:8" x14ac:dyDescent="0.2">
      <c r="B392" s="32"/>
      <c r="C392" s="24"/>
      <c r="D392" s="23"/>
      <c r="E392" s="23"/>
      <c r="F392" s="23"/>
      <c r="G392" s="23"/>
      <c r="H392" s="1"/>
    </row>
    <row r="393" spans="2:8" x14ac:dyDescent="0.2">
      <c r="B393" s="32"/>
      <c r="C393" s="24"/>
      <c r="D393" s="23"/>
      <c r="E393" s="23"/>
      <c r="F393" s="23"/>
      <c r="G393" s="23"/>
      <c r="H393" s="1"/>
    </row>
    <row r="394" spans="2:8" x14ac:dyDescent="0.2">
      <c r="B394" s="32"/>
      <c r="C394" s="24"/>
      <c r="D394" s="23"/>
      <c r="E394" s="23"/>
      <c r="F394" s="23"/>
      <c r="G394" s="23"/>
      <c r="H394" s="1"/>
    </row>
    <row r="395" spans="2:8" x14ac:dyDescent="0.2">
      <c r="B395" s="32"/>
      <c r="C395" s="24"/>
      <c r="D395" s="23"/>
      <c r="E395" s="23"/>
      <c r="F395" s="23"/>
      <c r="G395" s="23"/>
      <c r="H395" s="1"/>
    </row>
    <row r="396" spans="2:8" x14ac:dyDescent="0.2">
      <c r="B396" s="32"/>
      <c r="C396" s="24"/>
      <c r="D396" s="23"/>
      <c r="E396" s="23"/>
      <c r="F396" s="23"/>
      <c r="G396" s="23"/>
      <c r="H396" s="1"/>
    </row>
    <row r="397" spans="2:8" x14ac:dyDescent="0.2">
      <c r="B397" s="32"/>
      <c r="C397" s="24"/>
      <c r="D397" s="23"/>
      <c r="E397" s="23"/>
      <c r="F397" s="23"/>
      <c r="G397" s="23"/>
      <c r="H397" s="1"/>
    </row>
    <row r="398" spans="2:8" x14ac:dyDescent="0.2">
      <c r="B398" s="32"/>
      <c r="C398" s="24"/>
      <c r="D398" s="23"/>
      <c r="E398" s="23"/>
      <c r="F398" s="23"/>
      <c r="G398" s="23"/>
      <c r="H398" s="1"/>
    </row>
    <row r="399" spans="2:8" x14ac:dyDescent="0.2">
      <c r="B399" s="32"/>
      <c r="C399" s="24"/>
      <c r="D399" s="23"/>
      <c r="E399" s="23"/>
      <c r="F399" s="23"/>
      <c r="G399" s="23"/>
      <c r="H399" s="1"/>
    </row>
    <row r="400" spans="2:8" x14ac:dyDescent="0.2">
      <c r="B400" s="32"/>
      <c r="C400" s="24"/>
      <c r="D400" s="23"/>
      <c r="E400" s="23"/>
      <c r="F400" s="23"/>
      <c r="G400" s="23"/>
      <c r="H400" s="1"/>
    </row>
    <row r="401" spans="2:8" x14ac:dyDescent="0.2">
      <c r="B401" s="32"/>
      <c r="C401" s="24"/>
      <c r="D401" s="23"/>
      <c r="E401" s="23"/>
      <c r="F401" s="23"/>
      <c r="G401" s="23"/>
      <c r="H401" s="1"/>
    </row>
    <row r="402" spans="2:8" x14ac:dyDescent="0.2">
      <c r="B402" s="32"/>
      <c r="C402" s="24"/>
      <c r="D402" s="23"/>
      <c r="E402" s="23"/>
      <c r="F402" s="23"/>
      <c r="G402" s="23"/>
      <c r="H402" s="1"/>
    </row>
    <row r="403" spans="2:8" x14ac:dyDescent="0.2">
      <c r="B403" s="32"/>
      <c r="C403" s="24"/>
      <c r="D403" s="23"/>
      <c r="E403" s="23"/>
      <c r="F403" s="23"/>
      <c r="G403" s="23"/>
      <c r="H403" s="1"/>
    </row>
    <row r="404" spans="2:8" x14ac:dyDescent="0.2">
      <c r="B404" s="32"/>
      <c r="C404" s="24"/>
      <c r="D404" s="23"/>
      <c r="E404" s="23"/>
      <c r="F404" s="23"/>
      <c r="G404" s="23"/>
      <c r="H404" s="1"/>
    </row>
    <row r="405" spans="2:8" x14ac:dyDescent="0.2">
      <c r="B405" s="32"/>
      <c r="C405" s="24"/>
      <c r="D405" s="23"/>
      <c r="E405" s="23"/>
      <c r="F405" s="23"/>
      <c r="G405" s="23"/>
      <c r="H405" s="1"/>
    </row>
    <row r="406" spans="2:8" x14ac:dyDescent="0.2">
      <c r="B406" s="32"/>
      <c r="C406" s="24"/>
      <c r="D406" s="23"/>
      <c r="E406" s="23"/>
      <c r="F406" s="23"/>
      <c r="G406" s="23"/>
      <c r="H406" s="1"/>
    </row>
    <row r="407" spans="2:8" x14ac:dyDescent="0.2">
      <c r="B407" s="32"/>
      <c r="C407" s="24"/>
      <c r="D407" s="23"/>
      <c r="E407" s="23"/>
      <c r="F407" s="23"/>
      <c r="G407" s="23"/>
      <c r="H407" s="1"/>
    </row>
    <row r="408" spans="2:8" x14ac:dyDescent="0.2">
      <c r="B408" s="32"/>
      <c r="C408" s="24"/>
      <c r="D408" s="23"/>
      <c r="E408" s="23"/>
      <c r="F408" s="23"/>
      <c r="G408" s="23"/>
      <c r="H408" s="1"/>
    </row>
    <row r="409" spans="2:8" x14ac:dyDescent="0.2">
      <c r="B409" s="32"/>
      <c r="C409" s="24"/>
      <c r="D409" s="23"/>
      <c r="E409" s="23"/>
      <c r="F409" s="23"/>
      <c r="G409" s="23"/>
      <c r="H409" s="1"/>
    </row>
    <row r="410" spans="2:8" x14ac:dyDescent="0.2">
      <c r="B410" s="32"/>
      <c r="C410" s="24"/>
      <c r="D410" s="23"/>
      <c r="E410" s="23"/>
      <c r="F410" s="23"/>
      <c r="G410" s="23"/>
      <c r="H410" s="1"/>
    </row>
    <row r="411" spans="2:8" x14ac:dyDescent="0.2">
      <c r="B411" s="32"/>
      <c r="C411" s="24"/>
      <c r="D411" s="23"/>
      <c r="E411" s="23"/>
      <c r="F411" s="23"/>
      <c r="G411" s="23"/>
      <c r="H411" s="1"/>
    </row>
    <row r="412" spans="2:8" x14ac:dyDescent="0.2">
      <c r="B412" s="32"/>
      <c r="C412" s="24"/>
      <c r="D412" s="23"/>
      <c r="E412" s="23"/>
      <c r="F412" s="23"/>
      <c r="G412" s="23"/>
      <c r="H412" s="1"/>
    </row>
    <row r="413" spans="2:8" x14ac:dyDescent="0.2">
      <c r="B413" s="32"/>
      <c r="C413" s="24"/>
      <c r="D413" s="23"/>
      <c r="E413" s="23"/>
      <c r="F413" s="23"/>
      <c r="G413" s="23"/>
      <c r="H413" s="1"/>
    </row>
    <row r="414" spans="2:8" x14ac:dyDescent="0.2">
      <c r="B414" s="32"/>
      <c r="C414" s="24"/>
      <c r="D414" s="23"/>
      <c r="E414" s="23"/>
      <c r="F414" s="23"/>
      <c r="G414" s="23"/>
      <c r="H414" s="1"/>
    </row>
    <row r="415" spans="2:8" x14ac:dyDescent="0.2">
      <c r="B415" s="32"/>
      <c r="C415" s="24"/>
      <c r="D415" s="23"/>
      <c r="E415" s="23"/>
      <c r="F415" s="23"/>
      <c r="G415" s="23"/>
      <c r="H415" s="1"/>
    </row>
    <row r="416" spans="2:8" x14ac:dyDescent="0.2">
      <c r="B416" s="32"/>
      <c r="C416" s="24"/>
      <c r="D416" s="23"/>
      <c r="E416" s="23"/>
      <c r="F416" s="23"/>
      <c r="G416" s="23"/>
      <c r="H416" s="1"/>
    </row>
    <row r="417" spans="2:8" x14ac:dyDescent="0.2">
      <c r="B417" s="32"/>
      <c r="C417" s="24"/>
      <c r="D417" s="23"/>
      <c r="E417" s="23"/>
      <c r="F417" s="23"/>
      <c r="G417" s="23"/>
      <c r="H417" s="1"/>
    </row>
    <row r="418" spans="2:8" x14ac:dyDescent="0.2">
      <c r="B418" s="32"/>
      <c r="C418" s="24"/>
      <c r="D418" s="23"/>
      <c r="E418" s="23"/>
      <c r="F418" s="23"/>
      <c r="G418" s="23"/>
      <c r="H418" s="1"/>
    </row>
    <row r="419" spans="2:8" x14ac:dyDescent="0.2">
      <c r="B419" s="32"/>
      <c r="C419" s="24"/>
      <c r="D419" s="23"/>
      <c r="E419" s="23"/>
      <c r="F419" s="23"/>
      <c r="G419" s="23"/>
      <c r="H419" s="1"/>
    </row>
    <row r="420" spans="2:8" x14ac:dyDescent="0.2">
      <c r="B420" s="32"/>
      <c r="C420" s="24"/>
      <c r="D420" s="23"/>
      <c r="E420" s="23"/>
      <c r="F420" s="23"/>
      <c r="G420" s="23"/>
      <c r="H420" s="1"/>
    </row>
    <row r="421" spans="2:8" x14ac:dyDescent="0.2">
      <c r="B421" s="32"/>
      <c r="C421" s="24"/>
      <c r="D421" s="23"/>
      <c r="E421" s="23"/>
      <c r="F421" s="23"/>
      <c r="G421" s="23"/>
      <c r="H421" s="1"/>
    </row>
    <row r="422" spans="2:8" x14ac:dyDescent="0.2">
      <c r="B422" s="32"/>
      <c r="C422" s="24"/>
      <c r="D422" s="23"/>
      <c r="E422" s="23"/>
      <c r="F422" s="23"/>
      <c r="G422" s="23"/>
      <c r="H422" s="1"/>
    </row>
    <row r="423" spans="2:8" x14ac:dyDescent="0.2">
      <c r="B423" s="32"/>
      <c r="C423" s="24"/>
      <c r="D423" s="23"/>
      <c r="E423" s="23"/>
      <c r="F423" s="23"/>
      <c r="G423" s="23"/>
      <c r="H423" s="1"/>
    </row>
    <row r="424" spans="2:8" x14ac:dyDescent="0.2">
      <c r="B424" s="32"/>
      <c r="C424" s="24"/>
      <c r="D424" s="23"/>
      <c r="E424" s="23"/>
      <c r="F424" s="23"/>
      <c r="G424" s="23"/>
      <c r="H424" s="1"/>
    </row>
    <row r="425" spans="2:8" x14ac:dyDescent="0.2">
      <c r="B425" s="32"/>
      <c r="C425" s="24"/>
      <c r="D425" s="23"/>
      <c r="E425" s="23"/>
      <c r="F425" s="23"/>
      <c r="G425" s="23"/>
      <c r="H425" s="1"/>
    </row>
    <row r="426" spans="2:8" x14ac:dyDescent="0.2">
      <c r="B426" s="32"/>
      <c r="C426" s="24"/>
      <c r="D426" s="23"/>
      <c r="E426" s="23"/>
      <c r="F426" s="23"/>
      <c r="G426" s="23"/>
      <c r="H426" s="1"/>
    </row>
    <row r="427" spans="2:8" x14ac:dyDescent="0.2">
      <c r="B427" s="32"/>
      <c r="C427" s="24"/>
      <c r="D427" s="23"/>
      <c r="E427" s="23"/>
      <c r="F427" s="23"/>
      <c r="G427" s="23"/>
      <c r="H427" s="1"/>
    </row>
    <row r="428" spans="2:8" x14ac:dyDescent="0.2">
      <c r="B428" s="32"/>
      <c r="C428" s="24"/>
      <c r="D428" s="23"/>
      <c r="E428" s="23"/>
      <c r="F428" s="23"/>
      <c r="G428" s="23"/>
      <c r="H428" s="1"/>
    </row>
    <row r="429" spans="2:8" x14ac:dyDescent="0.2">
      <c r="B429" s="32"/>
      <c r="C429" s="24"/>
      <c r="D429" s="23"/>
      <c r="E429" s="23"/>
      <c r="F429" s="23"/>
      <c r="G429" s="23"/>
      <c r="H429" s="1"/>
    </row>
    <row r="430" spans="2:8" x14ac:dyDescent="0.2">
      <c r="B430" s="32"/>
      <c r="C430" s="24"/>
      <c r="D430" s="23"/>
      <c r="E430" s="23"/>
      <c r="F430" s="23"/>
      <c r="G430" s="23"/>
      <c r="H430" s="1"/>
    </row>
    <row r="431" spans="2:8" x14ac:dyDescent="0.2">
      <c r="B431" s="32"/>
      <c r="C431" s="24"/>
      <c r="D431" s="23"/>
      <c r="E431" s="23"/>
      <c r="F431" s="23"/>
      <c r="G431" s="23"/>
      <c r="H431" s="1"/>
    </row>
    <row r="432" spans="2:8" x14ac:dyDescent="0.2">
      <c r="B432" s="32"/>
      <c r="C432" s="24"/>
      <c r="D432" s="23"/>
      <c r="E432" s="23"/>
      <c r="F432" s="23"/>
      <c r="G432" s="23"/>
      <c r="H432" s="1"/>
    </row>
    <row r="433" spans="2:8" x14ac:dyDescent="0.2">
      <c r="B433" s="32"/>
      <c r="C433" s="24"/>
      <c r="D433" s="23"/>
      <c r="E433" s="23"/>
      <c r="F433" s="23"/>
      <c r="G433" s="23"/>
      <c r="H433" s="1"/>
    </row>
    <row r="434" spans="2:8" x14ac:dyDescent="0.2">
      <c r="B434" s="32"/>
      <c r="C434" s="24"/>
      <c r="D434" s="23"/>
      <c r="E434" s="23"/>
      <c r="F434" s="23"/>
      <c r="G434" s="23"/>
      <c r="H434" s="1"/>
    </row>
    <row r="435" spans="2:8" x14ac:dyDescent="0.2">
      <c r="B435" s="32"/>
      <c r="C435" s="24"/>
      <c r="D435" s="23"/>
      <c r="E435" s="23"/>
      <c r="F435" s="23"/>
      <c r="G435" s="23"/>
      <c r="H435" s="1"/>
    </row>
    <row r="436" spans="2:8" x14ac:dyDescent="0.2">
      <c r="B436" s="32"/>
      <c r="C436" s="24"/>
      <c r="D436" s="23"/>
      <c r="E436" s="23"/>
      <c r="F436" s="23"/>
      <c r="G436" s="23"/>
      <c r="H436" s="1"/>
    </row>
    <row r="437" spans="2:8" x14ac:dyDescent="0.2">
      <c r="B437" s="32"/>
      <c r="C437" s="24"/>
      <c r="D437" s="23"/>
      <c r="E437" s="23"/>
      <c r="F437" s="23"/>
      <c r="G437" s="23"/>
      <c r="H437" s="1"/>
    </row>
    <row r="438" spans="2:8" x14ac:dyDescent="0.2">
      <c r="B438" s="32"/>
      <c r="C438" s="24"/>
      <c r="D438" s="23"/>
      <c r="E438" s="23"/>
      <c r="F438" s="23"/>
      <c r="G438" s="23"/>
      <c r="H438" s="1"/>
    </row>
    <row r="439" spans="2:8" x14ac:dyDescent="0.2">
      <c r="B439" s="32"/>
      <c r="C439" s="24"/>
      <c r="D439" s="23"/>
      <c r="E439" s="23"/>
      <c r="F439" s="23"/>
      <c r="G439" s="23"/>
      <c r="H439" s="1"/>
    </row>
    <row r="440" spans="2:8" x14ac:dyDescent="0.2">
      <c r="B440" s="32"/>
      <c r="C440" s="24"/>
      <c r="D440" s="23"/>
      <c r="E440" s="23"/>
      <c r="F440" s="23"/>
      <c r="G440" s="23"/>
      <c r="H440" s="1"/>
    </row>
    <row r="441" spans="2:8" x14ac:dyDescent="0.2">
      <c r="B441" s="32"/>
      <c r="C441" s="24"/>
      <c r="D441" s="23"/>
      <c r="E441" s="23"/>
      <c r="F441" s="23"/>
      <c r="G441" s="23"/>
      <c r="H441" s="1"/>
    </row>
    <row r="442" spans="2:8" x14ac:dyDescent="0.2">
      <c r="B442" s="32"/>
      <c r="C442" s="24"/>
      <c r="D442" s="23"/>
      <c r="E442" s="23"/>
      <c r="F442" s="23"/>
      <c r="G442" s="23"/>
      <c r="H442" s="1"/>
    </row>
    <row r="443" spans="2:8" x14ac:dyDescent="0.2">
      <c r="B443" s="32"/>
      <c r="C443" s="24"/>
      <c r="D443" s="23"/>
      <c r="E443" s="23"/>
      <c r="F443" s="23"/>
      <c r="G443" s="23"/>
      <c r="H443" s="1"/>
    </row>
    <row r="444" spans="2:8" x14ac:dyDescent="0.2">
      <c r="B444" s="32"/>
      <c r="C444" s="24"/>
      <c r="D444" s="23"/>
      <c r="E444" s="23"/>
      <c r="F444" s="23"/>
      <c r="G444" s="23"/>
      <c r="H444" s="1"/>
    </row>
    <row r="445" spans="2:8" x14ac:dyDescent="0.2">
      <c r="B445" s="32"/>
      <c r="C445" s="24"/>
      <c r="D445" s="23"/>
      <c r="E445" s="23"/>
      <c r="F445" s="23"/>
      <c r="G445" s="23"/>
      <c r="H445" s="1"/>
    </row>
    <row r="446" spans="2:8" x14ac:dyDescent="0.2">
      <c r="B446" s="32"/>
      <c r="C446" s="24"/>
      <c r="D446" s="23"/>
      <c r="E446" s="23"/>
      <c r="F446" s="23"/>
      <c r="G446" s="23"/>
      <c r="H446" s="1"/>
    </row>
    <row r="447" spans="2:8" x14ac:dyDescent="0.2">
      <c r="B447" s="32"/>
      <c r="C447" s="24"/>
      <c r="D447" s="23"/>
      <c r="E447" s="23"/>
      <c r="F447" s="23"/>
      <c r="G447" s="23"/>
      <c r="H447" s="1"/>
    </row>
    <row r="448" spans="2:8" x14ac:dyDescent="0.2">
      <c r="B448" s="32"/>
      <c r="C448" s="24"/>
      <c r="D448" s="23"/>
      <c r="E448" s="23"/>
      <c r="F448" s="23"/>
      <c r="G448" s="23"/>
      <c r="H448" s="1"/>
    </row>
    <row r="449" spans="2:8" x14ac:dyDescent="0.2">
      <c r="B449" s="32"/>
      <c r="C449" s="24"/>
      <c r="D449" s="23"/>
      <c r="E449" s="23"/>
      <c r="F449" s="23"/>
      <c r="G449" s="23"/>
      <c r="H449" s="1"/>
    </row>
    <row r="450" spans="2:8" x14ac:dyDescent="0.2">
      <c r="B450" s="32"/>
      <c r="C450" s="24"/>
      <c r="D450" s="23"/>
      <c r="E450" s="23"/>
      <c r="F450" s="23"/>
      <c r="G450" s="23"/>
      <c r="H450" s="1"/>
    </row>
    <row r="451" spans="2:8" x14ac:dyDescent="0.2">
      <c r="B451" s="32"/>
      <c r="C451" s="24"/>
      <c r="D451" s="23"/>
      <c r="E451" s="23"/>
      <c r="F451" s="23"/>
      <c r="G451" s="23"/>
      <c r="H451" s="1"/>
    </row>
    <row r="452" spans="2:8" x14ac:dyDescent="0.2">
      <c r="B452" s="32"/>
      <c r="C452" s="24"/>
      <c r="D452" s="23"/>
      <c r="E452" s="23"/>
      <c r="F452" s="23"/>
      <c r="G452" s="23"/>
      <c r="H452" s="1"/>
    </row>
    <row r="453" spans="2:8" x14ac:dyDescent="0.2">
      <c r="B453" s="32"/>
      <c r="C453" s="24"/>
      <c r="D453" s="23"/>
      <c r="E453" s="23"/>
      <c r="F453" s="23"/>
      <c r="G453" s="23"/>
      <c r="H453" s="1"/>
    </row>
    <row r="454" spans="2:8" x14ac:dyDescent="0.2">
      <c r="B454" s="32"/>
      <c r="C454" s="24"/>
      <c r="D454" s="23"/>
      <c r="E454" s="23"/>
      <c r="F454" s="23"/>
      <c r="G454" s="23"/>
      <c r="H454" s="1"/>
    </row>
    <row r="455" spans="2:8" x14ac:dyDescent="0.2">
      <c r="B455" s="32"/>
      <c r="C455" s="24"/>
      <c r="D455" s="23"/>
      <c r="E455" s="23"/>
      <c r="F455" s="23"/>
      <c r="G455" s="23"/>
      <c r="H455" s="1"/>
    </row>
    <row r="456" spans="2:8" x14ac:dyDescent="0.2">
      <c r="B456" s="32"/>
      <c r="C456" s="24"/>
      <c r="D456" s="23"/>
      <c r="E456" s="23"/>
      <c r="F456" s="23"/>
      <c r="G456" s="23"/>
      <c r="H456" s="1"/>
    </row>
    <row r="457" spans="2:8" x14ac:dyDescent="0.2">
      <c r="B457" s="32"/>
      <c r="C457" s="24"/>
      <c r="D457" s="23"/>
      <c r="E457" s="23"/>
      <c r="F457" s="23"/>
      <c r="G457" s="23"/>
      <c r="H457" s="1"/>
    </row>
    <row r="458" spans="2:8" x14ac:dyDescent="0.2">
      <c r="B458" s="32"/>
      <c r="C458" s="24"/>
      <c r="D458" s="23"/>
      <c r="E458" s="23"/>
      <c r="F458" s="23"/>
      <c r="G458" s="23"/>
      <c r="H458" s="1"/>
    </row>
    <row r="459" spans="2:8" x14ac:dyDescent="0.2">
      <c r="B459" s="32"/>
      <c r="C459" s="24"/>
      <c r="D459" s="23"/>
      <c r="E459" s="23"/>
      <c r="F459" s="23"/>
      <c r="G459" s="23"/>
      <c r="H459" s="1"/>
    </row>
    <row r="460" spans="2:8" x14ac:dyDescent="0.2">
      <c r="B460" s="32"/>
      <c r="C460" s="24"/>
      <c r="D460" s="23"/>
      <c r="E460" s="23"/>
      <c r="F460" s="23"/>
      <c r="G460" s="23"/>
      <c r="H460" s="1"/>
    </row>
    <row r="461" spans="2:8" x14ac:dyDescent="0.2">
      <c r="B461" s="32"/>
      <c r="C461" s="24"/>
      <c r="D461" s="23"/>
      <c r="E461" s="23"/>
      <c r="F461" s="23"/>
      <c r="G461" s="23"/>
      <c r="H461" s="1"/>
    </row>
    <row r="462" spans="2:8" x14ac:dyDescent="0.2">
      <c r="B462" s="32"/>
      <c r="C462" s="24"/>
      <c r="D462" s="23"/>
      <c r="E462" s="23"/>
      <c r="F462" s="23"/>
      <c r="G462" s="23"/>
      <c r="H462" s="1"/>
    </row>
    <row r="463" spans="2:8" x14ac:dyDescent="0.2">
      <c r="B463" s="32"/>
      <c r="C463" s="24"/>
      <c r="D463" s="23"/>
      <c r="E463" s="23"/>
      <c r="F463" s="23"/>
      <c r="G463" s="23"/>
      <c r="H463" s="1"/>
    </row>
    <row r="464" spans="2:8" x14ac:dyDescent="0.2">
      <c r="B464" s="32"/>
      <c r="C464" s="24"/>
      <c r="D464" s="23"/>
      <c r="E464" s="23"/>
      <c r="F464" s="23"/>
      <c r="G464" s="23"/>
      <c r="H464" s="1"/>
    </row>
    <row r="465" spans="2:8" x14ac:dyDescent="0.2">
      <c r="B465" s="32"/>
      <c r="C465" s="24"/>
      <c r="D465" s="23"/>
      <c r="E465" s="23"/>
      <c r="F465" s="23"/>
      <c r="G465" s="23"/>
      <c r="H465" s="1"/>
    </row>
    <row r="466" spans="2:8" x14ac:dyDescent="0.2">
      <c r="B466" s="32"/>
      <c r="C466" s="24"/>
      <c r="D466" s="23"/>
      <c r="E466" s="23"/>
      <c r="F466" s="23"/>
      <c r="G466" s="23"/>
      <c r="H466" s="1"/>
    </row>
    <row r="467" spans="2:8" x14ac:dyDescent="0.2">
      <c r="B467" s="32"/>
      <c r="C467" s="24"/>
      <c r="D467" s="23"/>
      <c r="E467" s="23"/>
      <c r="F467" s="23"/>
      <c r="G467" s="23"/>
      <c r="H467" s="1"/>
    </row>
    <row r="468" spans="2:8" x14ac:dyDescent="0.2">
      <c r="B468" s="32"/>
      <c r="C468" s="24"/>
      <c r="D468" s="23"/>
      <c r="E468" s="23"/>
      <c r="F468" s="23"/>
      <c r="G468" s="23"/>
      <c r="H468" s="1"/>
    </row>
    <row r="469" spans="2:8" x14ac:dyDescent="0.2">
      <c r="B469" s="32"/>
      <c r="C469" s="24"/>
      <c r="D469" s="23"/>
      <c r="E469" s="23"/>
      <c r="F469" s="23"/>
      <c r="G469" s="23"/>
      <c r="H469" s="1"/>
    </row>
    <row r="470" spans="2:8" x14ac:dyDescent="0.2">
      <c r="B470" s="32"/>
      <c r="C470" s="24"/>
      <c r="D470" s="23"/>
      <c r="E470" s="23"/>
      <c r="F470" s="23"/>
      <c r="G470" s="23"/>
      <c r="H470" s="1"/>
    </row>
    <row r="471" spans="2:8" x14ac:dyDescent="0.2">
      <c r="B471" s="32"/>
      <c r="C471" s="24"/>
      <c r="D471" s="23"/>
      <c r="E471" s="23"/>
      <c r="F471" s="23"/>
      <c r="G471" s="23"/>
      <c r="H471" s="1"/>
    </row>
    <row r="472" spans="2:8" x14ac:dyDescent="0.2">
      <c r="B472" s="32"/>
      <c r="C472" s="24"/>
      <c r="D472" s="23"/>
      <c r="E472" s="23"/>
      <c r="F472" s="23"/>
      <c r="G472" s="23"/>
      <c r="H472" s="1"/>
    </row>
    <row r="473" spans="2:8" x14ac:dyDescent="0.2">
      <c r="B473" s="32"/>
      <c r="C473" s="24"/>
      <c r="D473" s="23"/>
      <c r="E473" s="23"/>
      <c r="F473" s="23"/>
      <c r="G473" s="23"/>
      <c r="H473" s="1"/>
    </row>
    <row r="474" spans="2:8" x14ac:dyDescent="0.2">
      <c r="B474" s="32"/>
      <c r="C474" s="24"/>
      <c r="D474" s="23"/>
      <c r="E474" s="23"/>
      <c r="F474" s="23"/>
      <c r="G474" s="23"/>
      <c r="H474" s="1"/>
    </row>
    <row r="475" spans="2:8" x14ac:dyDescent="0.2">
      <c r="B475" s="32"/>
      <c r="C475" s="24"/>
      <c r="D475" s="23"/>
      <c r="E475" s="23"/>
      <c r="F475" s="23"/>
      <c r="G475" s="23"/>
      <c r="H475" s="1"/>
    </row>
    <row r="476" spans="2:8" x14ac:dyDescent="0.2">
      <c r="B476" s="32"/>
      <c r="C476" s="24"/>
      <c r="D476" s="23"/>
      <c r="E476" s="23"/>
      <c r="F476" s="23"/>
      <c r="G476" s="23"/>
      <c r="H476" s="1"/>
    </row>
    <row r="477" spans="2:8" x14ac:dyDescent="0.2">
      <c r="B477" s="32"/>
      <c r="C477" s="24"/>
      <c r="D477" s="23"/>
      <c r="E477" s="23"/>
      <c r="F477" s="23"/>
      <c r="G477" s="23"/>
      <c r="H477" s="1"/>
    </row>
    <row r="478" spans="2:8" x14ac:dyDescent="0.2">
      <c r="B478" s="32"/>
      <c r="C478" s="24"/>
      <c r="D478" s="23"/>
      <c r="E478" s="23"/>
      <c r="F478" s="23"/>
      <c r="G478" s="23"/>
      <c r="H478" s="1"/>
    </row>
    <row r="479" spans="2:8" x14ac:dyDescent="0.2">
      <c r="B479" s="32"/>
      <c r="C479" s="24"/>
      <c r="D479" s="23"/>
      <c r="E479" s="23"/>
      <c r="F479" s="23"/>
      <c r="G479" s="23"/>
      <c r="H479" s="1"/>
    </row>
    <row r="480" spans="2:8" x14ac:dyDescent="0.2">
      <c r="B480" s="32"/>
      <c r="C480" s="24"/>
      <c r="D480" s="23"/>
      <c r="E480" s="23"/>
      <c r="F480" s="23"/>
      <c r="G480" s="23"/>
      <c r="H480" s="1"/>
    </row>
    <row r="481" spans="2:8" x14ac:dyDescent="0.2">
      <c r="B481" s="32"/>
      <c r="C481" s="24"/>
      <c r="D481" s="23"/>
      <c r="E481" s="23"/>
      <c r="F481" s="23"/>
      <c r="G481" s="23"/>
      <c r="H481" s="1"/>
    </row>
    <row r="482" spans="2:8" x14ac:dyDescent="0.2">
      <c r="B482" s="32"/>
      <c r="C482" s="24"/>
      <c r="D482" s="23"/>
      <c r="E482" s="23"/>
      <c r="F482" s="23"/>
      <c r="G482" s="23"/>
      <c r="H482" s="1"/>
    </row>
    <row r="483" spans="2:8" x14ac:dyDescent="0.2">
      <c r="B483" s="32"/>
      <c r="C483" s="24"/>
      <c r="D483" s="23"/>
      <c r="E483" s="23"/>
      <c r="F483" s="23"/>
      <c r="G483" s="23"/>
      <c r="H483" s="1"/>
    </row>
    <row r="484" spans="2:8" x14ac:dyDescent="0.2">
      <c r="B484" s="32"/>
      <c r="C484" s="24"/>
      <c r="D484" s="23"/>
      <c r="E484" s="23"/>
      <c r="F484" s="23"/>
      <c r="G484" s="23"/>
      <c r="H484" s="1"/>
    </row>
    <row r="485" spans="2:8" x14ac:dyDescent="0.2">
      <c r="B485" s="32"/>
      <c r="C485" s="24"/>
      <c r="D485" s="23"/>
      <c r="E485" s="23"/>
      <c r="F485" s="23"/>
      <c r="G485" s="23"/>
      <c r="H485" s="1"/>
    </row>
    <row r="486" spans="2:8" x14ac:dyDescent="0.2">
      <c r="B486" s="32"/>
      <c r="C486" s="24"/>
      <c r="D486" s="23"/>
      <c r="E486" s="23"/>
      <c r="F486" s="23"/>
      <c r="G486" s="23"/>
      <c r="H486" s="1"/>
    </row>
    <row r="487" spans="2:8" x14ac:dyDescent="0.2">
      <c r="B487" s="32"/>
      <c r="C487" s="24"/>
      <c r="D487" s="23"/>
      <c r="E487" s="23"/>
      <c r="F487" s="23"/>
      <c r="G487" s="23"/>
      <c r="H487" s="1"/>
    </row>
    <row r="488" spans="2:8" x14ac:dyDescent="0.2">
      <c r="B488" s="32"/>
      <c r="C488" s="24"/>
      <c r="D488" s="23"/>
      <c r="E488" s="23"/>
      <c r="F488" s="23"/>
      <c r="G488" s="23"/>
      <c r="H488" s="1"/>
    </row>
    <row r="489" spans="2:8" x14ac:dyDescent="0.2">
      <c r="B489" s="32"/>
      <c r="C489" s="24"/>
      <c r="D489" s="23"/>
      <c r="E489" s="23"/>
      <c r="F489" s="23"/>
      <c r="G489" s="23"/>
      <c r="H489" s="1"/>
    </row>
    <row r="490" spans="2:8" x14ac:dyDescent="0.2">
      <c r="B490" s="32"/>
      <c r="C490" s="24"/>
      <c r="D490" s="23"/>
      <c r="E490" s="23"/>
      <c r="F490" s="23"/>
      <c r="G490" s="23"/>
      <c r="H490" s="1"/>
    </row>
    <row r="491" spans="2:8" x14ac:dyDescent="0.2">
      <c r="B491" s="32"/>
      <c r="C491" s="24"/>
      <c r="D491" s="23"/>
      <c r="E491" s="23"/>
      <c r="F491" s="23"/>
      <c r="G491" s="23"/>
      <c r="H491" s="1"/>
    </row>
    <row r="492" spans="2:8" x14ac:dyDescent="0.2">
      <c r="B492" s="32"/>
      <c r="C492" s="24"/>
      <c r="D492" s="23"/>
      <c r="E492" s="23"/>
      <c r="F492" s="23"/>
      <c r="G492" s="23"/>
      <c r="H492" s="1"/>
    </row>
    <row r="493" spans="2:8" x14ac:dyDescent="0.2">
      <c r="B493" s="32"/>
      <c r="C493" s="24"/>
      <c r="D493" s="23"/>
      <c r="E493" s="23"/>
      <c r="F493" s="23"/>
      <c r="G493" s="23"/>
      <c r="H493" s="1"/>
    </row>
    <row r="494" spans="2:8" x14ac:dyDescent="0.2">
      <c r="B494" s="32"/>
      <c r="C494" s="24"/>
      <c r="D494" s="23"/>
      <c r="E494" s="23"/>
      <c r="F494" s="23"/>
      <c r="G494" s="23"/>
      <c r="H494" s="1"/>
    </row>
    <row r="495" spans="2:8" x14ac:dyDescent="0.2">
      <c r="B495" s="32"/>
      <c r="C495" s="24"/>
      <c r="D495" s="23"/>
      <c r="E495" s="23"/>
      <c r="F495" s="23"/>
      <c r="G495" s="23"/>
      <c r="H495" s="1"/>
    </row>
    <row r="496" spans="2:8" x14ac:dyDescent="0.2">
      <c r="B496" s="32"/>
      <c r="C496" s="24"/>
      <c r="D496" s="23"/>
      <c r="E496" s="23"/>
      <c r="F496" s="23"/>
      <c r="G496" s="23"/>
      <c r="H496" s="1"/>
    </row>
    <row r="497" spans="2:8" x14ac:dyDescent="0.2">
      <c r="B497" s="32"/>
      <c r="C497" s="24"/>
      <c r="D497" s="23"/>
      <c r="E497" s="23"/>
      <c r="F497" s="23"/>
      <c r="G497" s="23"/>
      <c r="H497" s="1"/>
    </row>
    <row r="498" spans="2:8" x14ac:dyDescent="0.2">
      <c r="B498" s="32"/>
      <c r="C498" s="24"/>
      <c r="D498" s="23"/>
      <c r="E498" s="23"/>
      <c r="F498" s="23"/>
      <c r="G498" s="23"/>
      <c r="H498" s="1"/>
    </row>
    <row r="499" spans="2:8" x14ac:dyDescent="0.2">
      <c r="B499" s="32"/>
      <c r="C499" s="24"/>
      <c r="D499" s="23"/>
      <c r="E499" s="23"/>
      <c r="F499" s="23"/>
      <c r="G499" s="23"/>
      <c r="H499" s="1"/>
    </row>
    <row r="500" spans="2:8" x14ac:dyDescent="0.2">
      <c r="B500" s="32"/>
      <c r="C500" s="24"/>
      <c r="D500" s="23"/>
      <c r="E500" s="23"/>
      <c r="F500" s="23"/>
      <c r="G500" s="23"/>
      <c r="H500" s="1"/>
    </row>
    <row r="501" spans="2:8" x14ac:dyDescent="0.2">
      <c r="B501" s="32"/>
      <c r="C501" s="24"/>
      <c r="D501" s="23"/>
      <c r="E501" s="23"/>
      <c r="F501" s="23"/>
      <c r="G501" s="23"/>
      <c r="H501" s="1"/>
    </row>
    <row r="502" spans="2:8" x14ac:dyDescent="0.2">
      <c r="B502" s="32"/>
      <c r="C502" s="24"/>
      <c r="D502" s="23"/>
      <c r="E502" s="23"/>
      <c r="F502" s="23"/>
      <c r="G502" s="23"/>
      <c r="H502" s="1"/>
    </row>
    <row r="503" spans="2:8" x14ac:dyDescent="0.2">
      <c r="B503" s="32"/>
      <c r="C503" s="24"/>
      <c r="D503" s="23"/>
      <c r="E503" s="23"/>
      <c r="F503" s="23"/>
      <c r="G503" s="23"/>
      <c r="H503" s="1"/>
    </row>
    <row r="504" spans="2:8" x14ac:dyDescent="0.2">
      <c r="B504" s="32"/>
      <c r="C504" s="24"/>
      <c r="D504" s="23"/>
      <c r="E504" s="23"/>
      <c r="F504" s="23"/>
      <c r="G504" s="23"/>
      <c r="H504" s="1"/>
    </row>
    <row r="505" spans="2:8" x14ac:dyDescent="0.2">
      <c r="B505" s="32"/>
      <c r="C505" s="24"/>
      <c r="D505" s="23"/>
      <c r="E505" s="23"/>
      <c r="F505" s="23"/>
      <c r="G505" s="23"/>
      <c r="H505" s="1"/>
    </row>
    <row r="506" spans="2:8" x14ac:dyDescent="0.2">
      <c r="B506" s="32"/>
      <c r="C506" s="24"/>
      <c r="D506" s="23"/>
      <c r="E506" s="23"/>
      <c r="F506" s="23"/>
      <c r="G506" s="23"/>
      <c r="H506" s="1"/>
    </row>
    <row r="507" spans="2:8" x14ac:dyDescent="0.2">
      <c r="B507" s="32"/>
      <c r="C507" s="24"/>
      <c r="D507" s="23"/>
      <c r="E507" s="23"/>
      <c r="F507" s="23"/>
      <c r="G507" s="23"/>
      <c r="H507" s="1"/>
    </row>
    <row r="508" spans="2:8" x14ac:dyDescent="0.2">
      <c r="B508" s="32"/>
      <c r="C508" s="24"/>
      <c r="D508" s="23"/>
      <c r="E508" s="23"/>
      <c r="F508" s="23"/>
      <c r="G508" s="23"/>
      <c r="H508" s="1"/>
    </row>
    <row r="509" spans="2:8" x14ac:dyDescent="0.2">
      <c r="B509" s="32"/>
      <c r="C509" s="24"/>
      <c r="D509" s="23"/>
      <c r="E509" s="23"/>
      <c r="F509" s="23"/>
      <c r="G509" s="23"/>
      <c r="H509" s="1"/>
    </row>
    <row r="510" spans="2:8" x14ac:dyDescent="0.2">
      <c r="B510" s="32"/>
      <c r="C510" s="24"/>
      <c r="D510" s="23"/>
      <c r="E510" s="23"/>
      <c r="F510" s="23"/>
      <c r="G510" s="23"/>
      <c r="H510" s="1"/>
    </row>
    <row r="511" spans="2:8" x14ac:dyDescent="0.2">
      <c r="B511" s="32"/>
      <c r="C511" s="24"/>
      <c r="D511" s="23"/>
      <c r="E511" s="23"/>
      <c r="F511" s="23"/>
      <c r="G511" s="23"/>
      <c r="H511" s="1"/>
    </row>
    <row r="512" spans="2:8" x14ac:dyDescent="0.2">
      <c r="B512" s="32"/>
      <c r="C512" s="24"/>
      <c r="D512" s="23"/>
      <c r="E512" s="23"/>
      <c r="F512" s="23"/>
      <c r="G512" s="23"/>
      <c r="H512" s="1"/>
    </row>
    <row r="513" spans="2:8" x14ac:dyDescent="0.2">
      <c r="B513" s="32"/>
      <c r="C513" s="24"/>
      <c r="D513" s="23"/>
      <c r="E513" s="23"/>
      <c r="F513" s="23"/>
      <c r="G513" s="23"/>
      <c r="H513" s="1"/>
    </row>
    <row r="514" spans="2:8" x14ac:dyDescent="0.2">
      <c r="B514" s="32"/>
      <c r="C514" s="24"/>
      <c r="D514" s="23"/>
      <c r="E514" s="23"/>
      <c r="F514" s="23"/>
      <c r="G514" s="23"/>
      <c r="H514" s="1"/>
    </row>
    <row r="515" spans="2:8" x14ac:dyDescent="0.2">
      <c r="B515" s="32"/>
      <c r="C515" s="24"/>
      <c r="D515" s="23"/>
      <c r="E515" s="23"/>
      <c r="F515" s="23"/>
      <c r="G515" s="23"/>
      <c r="H515" s="1"/>
    </row>
    <row r="516" spans="2:8" x14ac:dyDescent="0.2">
      <c r="B516" s="32"/>
      <c r="C516" s="24"/>
      <c r="D516" s="23"/>
      <c r="E516" s="23"/>
      <c r="F516" s="23"/>
      <c r="G516" s="23"/>
      <c r="H516" s="1"/>
    </row>
    <row r="517" spans="2:8" x14ac:dyDescent="0.2">
      <c r="B517" s="32"/>
      <c r="C517" s="24"/>
      <c r="D517" s="23"/>
      <c r="E517" s="23"/>
      <c r="F517" s="23"/>
      <c r="G517" s="23"/>
      <c r="H517" s="1"/>
    </row>
    <row r="518" spans="2:8" x14ac:dyDescent="0.2">
      <c r="B518" s="32"/>
      <c r="C518" s="24"/>
      <c r="D518" s="23"/>
      <c r="E518" s="23"/>
      <c r="F518" s="23"/>
      <c r="G518" s="23"/>
      <c r="H518" s="1"/>
    </row>
    <row r="519" spans="2:8" x14ac:dyDescent="0.2">
      <c r="B519" s="32"/>
      <c r="C519" s="24"/>
      <c r="D519" s="23"/>
      <c r="E519" s="23"/>
      <c r="F519" s="23"/>
      <c r="G519" s="23"/>
      <c r="H519" s="1"/>
    </row>
    <row r="520" spans="2:8" x14ac:dyDescent="0.2">
      <c r="B520" s="32"/>
      <c r="C520" s="24"/>
      <c r="D520" s="23"/>
      <c r="E520" s="23"/>
      <c r="F520" s="23"/>
      <c r="G520" s="23"/>
      <c r="H520" s="1"/>
    </row>
    <row r="521" spans="2:8" x14ac:dyDescent="0.2">
      <c r="B521" s="32"/>
      <c r="C521" s="24"/>
      <c r="D521" s="23"/>
      <c r="E521" s="23"/>
      <c r="F521" s="23"/>
      <c r="G521" s="23"/>
      <c r="H521" s="1"/>
    </row>
    <row r="522" spans="2:8" x14ac:dyDescent="0.2">
      <c r="B522" s="32"/>
      <c r="C522" s="24"/>
      <c r="D522" s="23"/>
      <c r="E522" s="23"/>
      <c r="F522" s="23"/>
      <c r="G522" s="23"/>
      <c r="H522" s="1"/>
    </row>
    <row r="523" spans="2:8" x14ac:dyDescent="0.2">
      <c r="B523" s="32"/>
      <c r="C523" s="24"/>
      <c r="D523" s="23"/>
      <c r="E523" s="23"/>
      <c r="F523" s="23"/>
      <c r="G523" s="23"/>
      <c r="H523" s="1"/>
    </row>
    <row r="524" spans="2:8" x14ac:dyDescent="0.2">
      <c r="B524" s="32"/>
      <c r="C524" s="24"/>
      <c r="D524" s="23"/>
      <c r="E524" s="23"/>
      <c r="F524" s="23"/>
      <c r="G524" s="23"/>
      <c r="H524" s="1"/>
    </row>
    <row r="525" spans="2:8" x14ac:dyDescent="0.2">
      <c r="B525" s="32"/>
      <c r="C525" s="24"/>
      <c r="D525" s="23"/>
      <c r="E525" s="23"/>
      <c r="F525" s="23"/>
      <c r="G525" s="23"/>
      <c r="H525" s="1"/>
    </row>
    <row r="526" spans="2:8" x14ac:dyDescent="0.2">
      <c r="B526" s="32"/>
      <c r="C526" s="24"/>
      <c r="D526" s="23"/>
      <c r="E526" s="23"/>
      <c r="F526" s="23"/>
      <c r="G526" s="23"/>
      <c r="H526" s="1"/>
    </row>
    <row r="527" spans="2:8" x14ac:dyDescent="0.2">
      <c r="B527" s="32"/>
      <c r="C527" s="24"/>
      <c r="D527" s="23"/>
      <c r="E527" s="23"/>
      <c r="F527" s="23"/>
      <c r="G527" s="23"/>
      <c r="H527" s="1"/>
    </row>
    <row r="528" spans="2:8" x14ac:dyDescent="0.2">
      <c r="B528" s="32"/>
      <c r="C528" s="24"/>
      <c r="D528" s="23"/>
      <c r="E528" s="23"/>
      <c r="F528" s="23"/>
      <c r="G528" s="23"/>
      <c r="H528" s="1"/>
    </row>
    <row r="529" spans="2:8" x14ac:dyDescent="0.2">
      <c r="B529" s="32"/>
      <c r="C529" s="24"/>
      <c r="D529" s="23"/>
      <c r="E529" s="23"/>
      <c r="F529" s="23"/>
      <c r="G529" s="23"/>
      <c r="H529" s="1"/>
    </row>
    <row r="530" spans="2:8" x14ac:dyDescent="0.2">
      <c r="B530" s="32"/>
      <c r="C530" s="24"/>
      <c r="D530" s="23"/>
      <c r="E530" s="23"/>
      <c r="F530" s="23"/>
      <c r="G530" s="23"/>
      <c r="H530" s="1"/>
    </row>
    <row r="531" spans="2:8" x14ac:dyDescent="0.2">
      <c r="B531" s="32"/>
      <c r="C531" s="24"/>
      <c r="D531" s="23"/>
      <c r="E531" s="23"/>
      <c r="F531" s="23"/>
      <c r="G531" s="23"/>
      <c r="H531" s="1"/>
    </row>
    <row r="532" spans="2:8" x14ac:dyDescent="0.2">
      <c r="B532" s="32"/>
      <c r="C532" s="24"/>
      <c r="D532" s="23"/>
      <c r="E532" s="23"/>
      <c r="F532" s="23"/>
      <c r="G532" s="23"/>
      <c r="H532" s="1"/>
    </row>
    <row r="533" spans="2:8" x14ac:dyDescent="0.2">
      <c r="B533" s="32"/>
      <c r="C533" s="24"/>
      <c r="D533" s="23"/>
      <c r="E533" s="23"/>
      <c r="F533" s="23"/>
      <c r="G533" s="23"/>
      <c r="H533" s="1"/>
    </row>
    <row r="534" spans="2:8" x14ac:dyDescent="0.2">
      <c r="B534" s="32"/>
      <c r="C534" s="24"/>
      <c r="D534" s="23"/>
      <c r="E534" s="23"/>
      <c r="F534" s="23"/>
      <c r="G534" s="23"/>
      <c r="H534" s="1"/>
    </row>
    <row r="535" spans="2:8" x14ac:dyDescent="0.2">
      <c r="B535" s="32"/>
      <c r="C535" s="24"/>
      <c r="D535" s="23"/>
      <c r="E535" s="23"/>
      <c r="F535" s="23"/>
      <c r="G535" s="23"/>
      <c r="H535" s="1"/>
    </row>
    <row r="536" spans="2:8" x14ac:dyDescent="0.2">
      <c r="B536" s="32"/>
      <c r="C536" s="24"/>
      <c r="D536" s="23"/>
      <c r="E536" s="23"/>
      <c r="F536" s="23"/>
      <c r="G536" s="23"/>
      <c r="H536" s="1"/>
    </row>
    <row r="537" spans="2:8" x14ac:dyDescent="0.2">
      <c r="B537" s="32"/>
      <c r="C537" s="24"/>
      <c r="D537" s="23"/>
      <c r="E537" s="23"/>
      <c r="F537" s="23"/>
      <c r="G537" s="23"/>
      <c r="H537" s="1"/>
    </row>
    <row r="538" spans="2:8" x14ac:dyDescent="0.2">
      <c r="B538" s="32"/>
      <c r="C538" s="24"/>
      <c r="D538" s="23"/>
      <c r="E538" s="23"/>
      <c r="F538" s="23"/>
      <c r="G538" s="23"/>
      <c r="H538" s="1"/>
    </row>
    <row r="539" spans="2:8" x14ac:dyDescent="0.2">
      <c r="B539" s="32"/>
      <c r="C539" s="24"/>
      <c r="D539" s="23"/>
      <c r="E539" s="23"/>
      <c r="F539" s="23"/>
      <c r="G539" s="23"/>
      <c r="H539" s="1"/>
    </row>
    <row r="540" spans="2:8" x14ac:dyDescent="0.2">
      <c r="B540" s="32"/>
      <c r="C540" s="24"/>
      <c r="D540" s="23"/>
      <c r="E540" s="23"/>
      <c r="F540" s="23"/>
      <c r="G540" s="23"/>
      <c r="H540" s="1"/>
    </row>
    <row r="541" spans="2:8" x14ac:dyDescent="0.2">
      <c r="B541" s="32"/>
      <c r="C541" s="24"/>
      <c r="D541" s="23"/>
      <c r="E541" s="23"/>
      <c r="F541" s="23"/>
      <c r="G541" s="23"/>
      <c r="H541" s="1"/>
    </row>
    <row r="542" spans="2:8" x14ac:dyDescent="0.2">
      <c r="B542" s="32"/>
      <c r="C542" s="24"/>
      <c r="D542" s="23"/>
      <c r="E542" s="23"/>
      <c r="F542" s="23"/>
      <c r="G542" s="23"/>
      <c r="H542" s="1"/>
    </row>
    <row r="543" spans="2:8" x14ac:dyDescent="0.2">
      <c r="B543" s="32"/>
      <c r="C543" s="24"/>
      <c r="D543" s="23"/>
      <c r="E543" s="23"/>
      <c r="F543" s="23"/>
      <c r="G543" s="23"/>
      <c r="H543" s="1"/>
    </row>
    <row r="544" spans="2:8" x14ac:dyDescent="0.2">
      <c r="B544" s="32"/>
      <c r="C544" s="24"/>
      <c r="D544" s="23"/>
      <c r="E544" s="23"/>
      <c r="F544" s="23"/>
      <c r="G544" s="23"/>
      <c r="H544" s="1"/>
    </row>
    <row r="545" spans="2:8" x14ac:dyDescent="0.2">
      <c r="B545" s="32"/>
      <c r="C545" s="24"/>
      <c r="D545" s="23"/>
      <c r="E545" s="23"/>
      <c r="F545" s="23"/>
      <c r="G545" s="23"/>
      <c r="H545" s="1"/>
    </row>
    <row r="546" spans="2:8" x14ac:dyDescent="0.2">
      <c r="B546" s="32"/>
      <c r="C546" s="24"/>
      <c r="D546" s="23"/>
      <c r="E546" s="23"/>
      <c r="F546" s="23"/>
      <c r="G546" s="23"/>
      <c r="H546" s="1"/>
    </row>
    <row r="547" spans="2:8" x14ac:dyDescent="0.2">
      <c r="B547" s="32"/>
      <c r="C547" s="24"/>
      <c r="D547" s="23"/>
      <c r="E547" s="23"/>
      <c r="F547" s="23"/>
      <c r="G547" s="23"/>
      <c r="H547" s="1"/>
    </row>
    <row r="548" spans="2:8" x14ac:dyDescent="0.2">
      <c r="B548" s="32"/>
      <c r="C548" s="24"/>
      <c r="D548" s="23"/>
      <c r="E548" s="23"/>
      <c r="F548" s="23"/>
      <c r="G548" s="23"/>
      <c r="H548" s="1"/>
    </row>
    <row r="549" spans="2:8" x14ac:dyDescent="0.2">
      <c r="B549" s="32"/>
      <c r="C549" s="24"/>
      <c r="D549" s="23"/>
      <c r="E549" s="23"/>
      <c r="F549" s="23"/>
      <c r="G549" s="23"/>
      <c r="H549" s="1"/>
    </row>
    <row r="550" spans="2:8" x14ac:dyDescent="0.2">
      <c r="B550" s="32"/>
      <c r="C550" s="24"/>
      <c r="D550" s="23"/>
      <c r="E550" s="23"/>
      <c r="F550" s="23"/>
      <c r="G550" s="23"/>
      <c r="H550" s="1"/>
    </row>
    <row r="551" spans="2:8" x14ac:dyDescent="0.2">
      <c r="B551" s="32"/>
      <c r="C551" s="24"/>
      <c r="D551" s="23"/>
      <c r="E551" s="23"/>
      <c r="F551" s="23"/>
      <c r="G551" s="23"/>
      <c r="H551" s="1"/>
    </row>
    <row r="552" spans="2:8" x14ac:dyDescent="0.2">
      <c r="B552" s="32"/>
      <c r="C552" s="24"/>
      <c r="D552" s="23"/>
      <c r="E552" s="23"/>
      <c r="F552" s="23"/>
      <c r="G552" s="23"/>
      <c r="H552" s="1"/>
    </row>
    <row r="553" spans="2:8" x14ac:dyDescent="0.2">
      <c r="B553" s="32"/>
      <c r="C553" s="24"/>
      <c r="D553" s="23"/>
      <c r="E553" s="23"/>
      <c r="F553" s="23"/>
      <c r="G553" s="23"/>
      <c r="H553" s="1"/>
    </row>
    <row r="554" spans="2:8" x14ac:dyDescent="0.2">
      <c r="B554" s="32"/>
      <c r="C554" s="24"/>
      <c r="D554" s="23"/>
      <c r="E554" s="23"/>
      <c r="F554" s="23"/>
      <c r="G554" s="23"/>
      <c r="H554" s="1"/>
    </row>
    <row r="555" spans="2:8" x14ac:dyDescent="0.2">
      <c r="B555" s="32"/>
      <c r="C555" s="24"/>
      <c r="D555" s="23"/>
      <c r="E555" s="23"/>
      <c r="F555" s="23"/>
      <c r="G555" s="23"/>
      <c r="H555" s="1"/>
    </row>
    <row r="556" spans="2:8" x14ac:dyDescent="0.2">
      <c r="B556" s="32"/>
      <c r="C556" s="24"/>
      <c r="D556" s="23"/>
      <c r="E556" s="23"/>
      <c r="F556" s="23"/>
      <c r="G556" s="23"/>
      <c r="H556" s="1"/>
    </row>
    <row r="557" spans="2:8" x14ac:dyDescent="0.2">
      <c r="B557" s="32"/>
      <c r="C557" s="24"/>
      <c r="D557" s="23"/>
      <c r="E557" s="23"/>
      <c r="F557" s="23"/>
      <c r="G557" s="23"/>
      <c r="H557" s="1"/>
    </row>
    <row r="558" spans="2:8" x14ac:dyDescent="0.2">
      <c r="B558" s="32"/>
      <c r="C558" s="24"/>
      <c r="D558" s="23"/>
      <c r="E558" s="23"/>
      <c r="F558" s="23"/>
      <c r="G558" s="23"/>
      <c r="H558" s="1"/>
    </row>
    <row r="559" spans="2:8" x14ac:dyDescent="0.2">
      <c r="B559" s="32"/>
      <c r="C559" s="24"/>
      <c r="D559" s="23"/>
      <c r="E559" s="23"/>
      <c r="F559" s="23"/>
      <c r="G559" s="23"/>
      <c r="H559" s="1"/>
    </row>
    <row r="560" spans="2:8" x14ac:dyDescent="0.2">
      <c r="B560" s="32"/>
      <c r="C560" s="24"/>
      <c r="D560" s="23"/>
      <c r="E560" s="23"/>
      <c r="F560" s="23"/>
      <c r="G560" s="23"/>
      <c r="H560" s="1"/>
    </row>
    <row r="561" spans="2:8" x14ac:dyDescent="0.2">
      <c r="B561" s="32"/>
      <c r="C561" s="24"/>
      <c r="D561" s="23"/>
      <c r="E561" s="23"/>
      <c r="F561" s="23"/>
      <c r="G561" s="23"/>
      <c r="H561" s="1"/>
    </row>
    <row r="562" spans="2:8" x14ac:dyDescent="0.2">
      <c r="B562" s="32"/>
      <c r="C562" s="24"/>
      <c r="D562" s="23"/>
      <c r="E562" s="23"/>
      <c r="F562" s="23"/>
      <c r="G562" s="23"/>
      <c r="H562" s="1"/>
    </row>
    <row r="563" spans="2:8" x14ac:dyDescent="0.2">
      <c r="B563" s="32"/>
      <c r="C563" s="24"/>
      <c r="D563" s="23"/>
      <c r="E563" s="23"/>
      <c r="F563" s="23"/>
      <c r="G563" s="23"/>
      <c r="H563" s="1"/>
    </row>
    <row r="564" spans="2:8" x14ac:dyDescent="0.2">
      <c r="B564" s="32"/>
      <c r="C564" s="24"/>
      <c r="D564" s="23"/>
      <c r="E564" s="23"/>
      <c r="F564" s="23"/>
      <c r="G564" s="23"/>
      <c r="H564" s="1"/>
    </row>
    <row r="565" spans="2:8" x14ac:dyDescent="0.2">
      <c r="B565" s="32"/>
      <c r="C565" s="24"/>
      <c r="D565" s="23"/>
      <c r="E565" s="23"/>
      <c r="F565" s="23"/>
      <c r="G565" s="23"/>
      <c r="H565" s="1"/>
    </row>
    <row r="566" spans="2:8" x14ac:dyDescent="0.2">
      <c r="B566" s="32"/>
      <c r="C566" s="24"/>
      <c r="D566" s="23"/>
      <c r="E566" s="23"/>
      <c r="F566" s="23"/>
      <c r="G566" s="23"/>
      <c r="H566" s="1"/>
    </row>
    <row r="567" spans="2:8" x14ac:dyDescent="0.2">
      <c r="B567" s="32"/>
      <c r="C567" s="24"/>
      <c r="D567" s="23"/>
      <c r="E567" s="23"/>
      <c r="F567" s="23"/>
      <c r="G567" s="23"/>
      <c r="H567" s="1"/>
    </row>
    <row r="568" spans="2:8" x14ac:dyDescent="0.2">
      <c r="B568" s="32"/>
      <c r="C568" s="24"/>
      <c r="D568" s="23"/>
      <c r="E568" s="23"/>
      <c r="F568" s="23"/>
      <c r="G568" s="23"/>
      <c r="H568" s="1"/>
    </row>
    <row r="569" spans="2:8" x14ac:dyDescent="0.2">
      <c r="B569" s="32"/>
      <c r="C569" s="24"/>
      <c r="D569" s="23"/>
      <c r="E569" s="23"/>
      <c r="F569" s="23"/>
      <c r="G569" s="23"/>
      <c r="H569" s="1"/>
    </row>
    <row r="570" spans="2:8" x14ac:dyDescent="0.2">
      <c r="B570" s="32"/>
      <c r="C570" s="24"/>
      <c r="D570" s="23"/>
      <c r="E570" s="23"/>
      <c r="F570" s="23"/>
      <c r="G570" s="23"/>
      <c r="H570" s="1"/>
    </row>
    <row r="571" spans="2:8" x14ac:dyDescent="0.2">
      <c r="B571" s="32"/>
      <c r="C571" s="24"/>
      <c r="D571" s="23"/>
      <c r="E571" s="23"/>
      <c r="F571" s="23"/>
      <c r="G571" s="23"/>
      <c r="H571" s="1"/>
    </row>
    <row r="572" spans="2:8" x14ac:dyDescent="0.2">
      <c r="B572" s="32"/>
      <c r="C572" s="24"/>
      <c r="D572" s="23"/>
      <c r="E572" s="23"/>
      <c r="F572" s="23"/>
      <c r="G572" s="23"/>
      <c r="H572" s="1"/>
    </row>
    <row r="573" spans="2:8" x14ac:dyDescent="0.2">
      <c r="B573" s="32"/>
      <c r="C573" s="24"/>
      <c r="D573" s="23"/>
      <c r="E573" s="23"/>
      <c r="F573" s="23"/>
      <c r="G573" s="23"/>
      <c r="H573" s="1"/>
    </row>
    <row r="574" spans="2:8" x14ac:dyDescent="0.2">
      <c r="B574" s="32"/>
      <c r="C574" s="24"/>
      <c r="D574" s="23"/>
      <c r="E574" s="23"/>
      <c r="F574" s="23"/>
      <c r="G574" s="23"/>
      <c r="H574" s="1"/>
    </row>
    <row r="575" spans="2:8" x14ac:dyDescent="0.2">
      <c r="B575" s="32"/>
      <c r="C575" s="24"/>
      <c r="D575" s="23"/>
      <c r="E575" s="23"/>
      <c r="F575" s="23"/>
      <c r="G575" s="23"/>
      <c r="H575" s="1"/>
    </row>
    <row r="576" spans="2:8" x14ac:dyDescent="0.2">
      <c r="B576" s="32"/>
      <c r="C576" s="24"/>
      <c r="D576" s="23"/>
      <c r="E576" s="23"/>
      <c r="F576" s="23"/>
      <c r="G576" s="23"/>
      <c r="H576" s="1"/>
    </row>
    <row r="577" spans="2:8" x14ac:dyDescent="0.2">
      <c r="B577" s="32"/>
      <c r="C577" s="24"/>
      <c r="D577" s="23"/>
      <c r="E577" s="23"/>
      <c r="F577" s="23"/>
      <c r="G577" s="23"/>
      <c r="H577" s="1"/>
    </row>
    <row r="578" spans="2:8" x14ac:dyDescent="0.2">
      <c r="B578" s="32"/>
      <c r="C578" s="24"/>
      <c r="D578" s="23"/>
      <c r="E578" s="23"/>
      <c r="F578" s="23"/>
      <c r="G578" s="23"/>
      <c r="H578" s="1"/>
    </row>
    <row r="579" spans="2:8" x14ac:dyDescent="0.2">
      <c r="B579" s="32"/>
      <c r="C579" s="24"/>
      <c r="D579" s="23"/>
      <c r="E579" s="23"/>
      <c r="F579" s="23"/>
      <c r="G579" s="23"/>
      <c r="H579" s="1"/>
    </row>
    <row r="580" spans="2:8" x14ac:dyDescent="0.2">
      <c r="B580" s="32"/>
      <c r="C580" s="24"/>
      <c r="D580" s="23"/>
      <c r="E580" s="23"/>
      <c r="F580" s="23"/>
      <c r="G580" s="23"/>
      <c r="H580" s="1"/>
    </row>
    <row r="581" spans="2:8" x14ac:dyDescent="0.2">
      <c r="B581" s="32"/>
      <c r="C581" s="24"/>
      <c r="D581" s="23"/>
      <c r="E581" s="23"/>
      <c r="F581" s="23"/>
      <c r="G581" s="23"/>
      <c r="H581" s="1"/>
    </row>
    <row r="582" spans="2:8" x14ac:dyDescent="0.2">
      <c r="B582" s="32"/>
      <c r="C582" s="24"/>
      <c r="D582" s="23"/>
      <c r="E582" s="23"/>
      <c r="F582" s="23"/>
      <c r="G582" s="23"/>
      <c r="H582" s="1"/>
    </row>
    <row r="583" spans="2:8" x14ac:dyDescent="0.2">
      <c r="B583" s="32"/>
      <c r="C583" s="24"/>
      <c r="D583" s="23"/>
      <c r="E583" s="23"/>
      <c r="F583" s="23"/>
      <c r="G583" s="23"/>
      <c r="H583" s="1"/>
    </row>
    <row r="584" spans="2:8" x14ac:dyDescent="0.2">
      <c r="B584" s="32"/>
      <c r="C584" s="24"/>
      <c r="D584" s="23"/>
      <c r="E584" s="23"/>
      <c r="F584" s="23"/>
      <c r="G584" s="23"/>
      <c r="H584" s="1"/>
    </row>
    <row r="585" spans="2:8" x14ac:dyDescent="0.2">
      <c r="B585" s="32"/>
      <c r="C585" s="24"/>
      <c r="D585" s="23"/>
      <c r="E585" s="23"/>
      <c r="F585" s="23"/>
      <c r="G585" s="23"/>
      <c r="H585" s="1"/>
    </row>
    <row r="586" spans="2:8" x14ac:dyDescent="0.2">
      <c r="B586" s="32"/>
      <c r="C586" s="24"/>
      <c r="D586" s="23"/>
      <c r="E586" s="23"/>
      <c r="F586" s="23"/>
      <c r="G586" s="23"/>
      <c r="H586" s="1"/>
    </row>
    <row r="587" spans="2:8" x14ac:dyDescent="0.2">
      <c r="B587" s="32"/>
      <c r="C587" s="24"/>
      <c r="D587" s="23"/>
      <c r="E587" s="23"/>
      <c r="F587" s="23"/>
      <c r="G587" s="23"/>
      <c r="H587" s="1"/>
    </row>
    <row r="588" spans="2:8" x14ac:dyDescent="0.2">
      <c r="B588" s="32"/>
      <c r="C588" s="24"/>
      <c r="D588" s="23"/>
      <c r="E588" s="23"/>
      <c r="F588" s="23"/>
      <c r="G588" s="23"/>
      <c r="H588" s="1"/>
    </row>
    <row r="589" spans="2:8" x14ac:dyDescent="0.2">
      <c r="B589" s="32"/>
      <c r="C589" s="24"/>
      <c r="D589" s="23"/>
      <c r="E589" s="23"/>
      <c r="F589" s="23"/>
      <c r="G589" s="23"/>
      <c r="H589" s="1"/>
    </row>
    <row r="590" spans="2:8" x14ac:dyDescent="0.2">
      <c r="B590" s="32"/>
      <c r="C590" s="24"/>
      <c r="D590" s="23"/>
      <c r="E590" s="23"/>
      <c r="F590" s="23"/>
      <c r="G590" s="23"/>
      <c r="H590" s="1"/>
    </row>
    <row r="591" spans="2:8" x14ac:dyDescent="0.2">
      <c r="B591" s="32"/>
      <c r="C591" s="24"/>
      <c r="D591" s="23"/>
      <c r="E591" s="23"/>
      <c r="F591" s="23"/>
      <c r="G591" s="23"/>
      <c r="H591" s="1"/>
    </row>
    <row r="592" spans="2:8" x14ac:dyDescent="0.2">
      <c r="B592" s="32"/>
      <c r="C592" s="24"/>
      <c r="D592" s="23"/>
      <c r="E592" s="23"/>
      <c r="F592" s="23"/>
      <c r="G592" s="23"/>
      <c r="H592" s="1"/>
    </row>
    <row r="593" spans="2:8" x14ac:dyDescent="0.2">
      <c r="B593" s="32"/>
      <c r="C593" s="24"/>
      <c r="D593" s="23"/>
      <c r="E593" s="23"/>
      <c r="F593" s="23"/>
      <c r="G593" s="23"/>
      <c r="H593" s="1"/>
    </row>
    <row r="594" spans="2:8" x14ac:dyDescent="0.2">
      <c r="B594" s="32"/>
      <c r="C594" s="24"/>
      <c r="D594" s="23"/>
      <c r="E594" s="23"/>
      <c r="F594" s="23"/>
      <c r="G594" s="23"/>
      <c r="H594" s="1"/>
    </row>
    <row r="595" spans="2:8" x14ac:dyDescent="0.2">
      <c r="B595" s="32"/>
      <c r="C595" s="24"/>
      <c r="D595" s="23"/>
      <c r="E595" s="23"/>
      <c r="F595" s="23"/>
      <c r="G595" s="23"/>
      <c r="H595" s="1"/>
    </row>
    <row r="596" spans="2:8" x14ac:dyDescent="0.2">
      <c r="B596" s="32"/>
      <c r="C596" s="24"/>
      <c r="D596" s="23"/>
      <c r="E596" s="23"/>
      <c r="F596" s="23"/>
      <c r="G596" s="23"/>
      <c r="H596" s="1"/>
    </row>
    <row r="597" spans="2:8" x14ac:dyDescent="0.2">
      <c r="B597" s="32"/>
      <c r="C597" s="24"/>
      <c r="D597" s="23"/>
      <c r="E597" s="23"/>
      <c r="F597" s="23"/>
      <c r="G597" s="23"/>
      <c r="H597" s="1"/>
    </row>
    <row r="598" spans="2:8" x14ac:dyDescent="0.2">
      <c r="B598" s="32"/>
      <c r="C598" s="24"/>
      <c r="D598" s="23"/>
      <c r="E598" s="23"/>
      <c r="F598" s="23"/>
      <c r="G598" s="23"/>
      <c r="H598" s="1"/>
    </row>
    <row r="599" spans="2:8" x14ac:dyDescent="0.2">
      <c r="B599" s="32"/>
      <c r="C599" s="24"/>
      <c r="D599" s="23"/>
      <c r="E599" s="23"/>
      <c r="F599" s="23"/>
      <c r="G599" s="23"/>
      <c r="H599" s="1"/>
    </row>
    <row r="600" spans="2:8" x14ac:dyDescent="0.2">
      <c r="B600" s="32"/>
      <c r="C600" s="24"/>
      <c r="D600" s="23"/>
      <c r="E600" s="23"/>
      <c r="F600" s="23"/>
      <c r="G600" s="23"/>
      <c r="H600" s="1"/>
    </row>
    <row r="601" spans="2:8" x14ac:dyDescent="0.2">
      <c r="B601" s="32"/>
      <c r="C601" s="24"/>
      <c r="D601" s="23"/>
      <c r="E601" s="23"/>
      <c r="F601" s="23"/>
      <c r="G601" s="23"/>
      <c r="H601" s="1"/>
    </row>
    <row r="602" spans="2:8" x14ac:dyDescent="0.2">
      <c r="B602" s="32"/>
      <c r="C602" s="24"/>
      <c r="D602" s="23"/>
      <c r="E602" s="23"/>
      <c r="F602" s="23"/>
      <c r="G602" s="23"/>
      <c r="H602" s="1"/>
    </row>
    <row r="603" spans="2:8" x14ac:dyDescent="0.2">
      <c r="B603" s="32"/>
      <c r="C603" s="24"/>
      <c r="D603" s="23"/>
      <c r="E603" s="23"/>
      <c r="F603" s="23"/>
      <c r="G603" s="23"/>
      <c r="H603" s="1"/>
    </row>
    <row r="604" spans="2:8" x14ac:dyDescent="0.2">
      <c r="B604" s="32"/>
      <c r="C604" s="24"/>
      <c r="D604" s="23"/>
      <c r="E604" s="23"/>
      <c r="F604" s="23"/>
      <c r="G604" s="23"/>
      <c r="H604" s="1"/>
    </row>
    <row r="605" spans="2:8" x14ac:dyDescent="0.2">
      <c r="B605" s="32"/>
      <c r="C605" s="24"/>
      <c r="D605" s="23"/>
      <c r="E605" s="23"/>
      <c r="F605" s="23"/>
      <c r="G605" s="23"/>
      <c r="H605" s="1"/>
    </row>
    <row r="606" spans="2:8" x14ac:dyDescent="0.2">
      <c r="B606" s="32"/>
      <c r="C606" s="24"/>
      <c r="D606" s="23"/>
      <c r="E606" s="23"/>
      <c r="F606" s="23"/>
      <c r="G606" s="23"/>
      <c r="H606" s="1"/>
    </row>
    <row r="607" spans="2:8" x14ac:dyDescent="0.2">
      <c r="B607" s="32"/>
      <c r="C607" s="24"/>
      <c r="D607" s="23"/>
      <c r="E607" s="23"/>
      <c r="F607" s="23"/>
      <c r="G607" s="23"/>
      <c r="H607" s="1"/>
    </row>
    <row r="608" spans="2:8" x14ac:dyDescent="0.2">
      <c r="B608" s="32"/>
      <c r="C608" s="24"/>
      <c r="D608" s="23"/>
      <c r="E608" s="23"/>
      <c r="F608" s="23"/>
      <c r="G608" s="23"/>
      <c r="H608" s="1"/>
    </row>
    <row r="609" spans="2:8" x14ac:dyDescent="0.2">
      <c r="B609" s="32"/>
      <c r="C609" s="24"/>
      <c r="D609" s="23"/>
      <c r="E609" s="23"/>
      <c r="F609" s="23"/>
      <c r="G609" s="23"/>
      <c r="H609" s="1"/>
    </row>
    <row r="610" spans="2:8" x14ac:dyDescent="0.2">
      <c r="B610" s="32"/>
      <c r="C610" s="24"/>
      <c r="D610" s="23"/>
      <c r="E610" s="23"/>
      <c r="F610" s="23"/>
      <c r="G610" s="23"/>
      <c r="H610" s="1"/>
    </row>
    <row r="611" spans="2:8" x14ac:dyDescent="0.2">
      <c r="B611" s="32"/>
      <c r="C611" s="24"/>
      <c r="D611" s="23"/>
      <c r="E611" s="23"/>
      <c r="F611" s="23"/>
      <c r="G611" s="23"/>
      <c r="H611" s="1"/>
    </row>
    <row r="612" spans="2:8" x14ac:dyDescent="0.2">
      <c r="B612" s="32"/>
      <c r="C612" s="24"/>
      <c r="D612" s="23"/>
      <c r="E612" s="23"/>
      <c r="F612" s="23"/>
      <c r="G612" s="23"/>
      <c r="H612" s="1"/>
    </row>
    <row r="613" spans="2:8" x14ac:dyDescent="0.2">
      <c r="B613" s="32"/>
      <c r="C613" s="24"/>
      <c r="D613" s="23"/>
      <c r="E613" s="23"/>
      <c r="F613" s="23"/>
      <c r="G613" s="23"/>
      <c r="H613" s="1"/>
    </row>
    <row r="614" spans="2:8" x14ac:dyDescent="0.2">
      <c r="B614" s="32"/>
      <c r="C614" s="24"/>
      <c r="D614" s="23"/>
      <c r="E614" s="23"/>
      <c r="F614" s="23"/>
      <c r="G614" s="23"/>
      <c r="H614" s="1"/>
    </row>
    <row r="615" spans="2:8" x14ac:dyDescent="0.2">
      <c r="B615" s="32"/>
      <c r="C615" s="24"/>
      <c r="D615" s="23"/>
      <c r="E615" s="23"/>
      <c r="F615" s="23"/>
      <c r="G615" s="23"/>
      <c r="H615" s="1"/>
    </row>
    <row r="616" spans="2:8" x14ac:dyDescent="0.2">
      <c r="B616" s="32"/>
      <c r="C616" s="24"/>
      <c r="D616" s="23"/>
      <c r="E616" s="23"/>
      <c r="F616" s="23"/>
      <c r="G616" s="23"/>
      <c r="H616" s="1"/>
    </row>
    <row r="617" spans="2:8" x14ac:dyDescent="0.2">
      <c r="B617" s="32"/>
      <c r="C617" s="24"/>
      <c r="D617" s="23"/>
      <c r="E617" s="23"/>
      <c r="F617" s="23"/>
      <c r="G617" s="23"/>
      <c r="H617" s="1"/>
    </row>
    <row r="618" spans="2:8" x14ac:dyDescent="0.2">
      <c r="B618" s="32"/>
      <c r="C618" s="24"/>
      <c r="D618" s="23"/>
      <c r="E618" s="23"/>
      <c r="F618" s="23"/>
      <c r="G618" s="23"/>
      <c r="H618" s="1"/>
    </row>
    <row r="619" spans="2:8" x14ac:dyDescent="0.2">
      <c r="B619" s="32"/>
      <c r="C619" s="24"/>
      <c r="D619" s="23"/>
      <c r="E619" s="23"/>
      <c r="F619" s="23"/>
      <c r="G619" s="23"/>
      <c r="H619" s="1"/>
    </row>
    <row r="620" spans="2:8" x14ac:dyDescent="0.2">
      <c r="B620" s="32"/>
      <c r="C620" s="24"/>
      <c r="D620" s="23"/>
      <c r="E620" s="23"/>
      <c r="F620" s="23"/>
      <c r="G620" s="23"/>
      <c r="H620" s="1"/>
    </row>
    <row r="621" spans="2:8" x14ac:dyDescent="0.2">
      <c r="B621" s="32"/>
      <c r="C621" s="24"/>
      <c r="D621" s="23"/>
      <c r="E621" s="23"/>
      <c r="F621" s="23"/>
      <c r="G621" s="23"/>
      <c r="H621" s="1"/>
    </row>
    <row r="622" spans="2:8" x14ac:dyDescent="0.2">
      <c r="B622" s="32"/>
      <c r="C622" s="24"/>
      <c r="D622" s="23"/>
      <c r="E622" s="23"/>
      <c r="F622" s="23"/>
      <c r="G622" s="23"/>
      <c r="H622" s="1"/>
    </row>
    <row r="623" spans="2:8" x14ac:dyDescent="0.2">
      <c r="B623" s="32"/>
      <c r="C623" s="24"/>
      <c r="D623" s="23"/>
      <c r="E623" s="23"/>
      <c r="F623" s="23"/>
      <c r="G623" s="23"/>
      <c r="H623" s="1"/>
    </row>
    <row r="624" spans="2:8" x14ac:dyDescent="0.2">
      <c r="B624" s="32"/>
      <c r="C624" s="24"/>
      <c r="D624" s="23"/>
      <c r="E624" s="23"/>
      <c r="F624" s="23"/>
      <c r="G624" s="23"/>
      <c r="H624" s="1"/>
    </row>
    <row r="625" spans="2:8" x14ac:dyDescent="0.2">
      <c r="B625" s="32"/>
      <c r="C625" s="24"/>
      <c r="D625" s="23"/>
      <c r="E625" s="23"/>
      <c r="F625" s="23"/>
      <c r="G625" s="23"/>
      <c r="H625" s="1"/>
    </row>
    <row r="626" spans="2:8" x14ac:dyDescent="0.2">
      <c r="B626" s="32"/>
      <c r="C626" s="24"/>
      <c r="D626" s="23"/>
      <c r="E626" s="23"/>
      <c r="F626" s="23"/>
      <c r="G626" s="23"/>
      <c r="H626" s="1"/>
    </row>
    <row r="627" spans="2:8" x14ac:dyDescent="0.2">
      <c r="B627" s="32"/>
      <c r="C627" s="24"/>
      <c r="D627" s="23"/>
      <c r="E627" s="23"/>
      <c r="F627" s="23"/>
      <c r="G627" s="23"/>
      <c r="H627" s="1"/>
    </row>
    <row r="628" spans="2:8" x14ac:dyDescent="0.2">
      <c r="B628" s="32"/>
      <c r="C628" s="24"/>
      <c r="D628" s="23"/>
      <c r="E628" s="23"/>
      <c r="F628" s="23"/>
      <c r="G628" s="23"/>
      <c r="H628" s="1"/>
    </row>
    <row r="629" spans="2:8" x14ac:dyDescent="0.2">
      <c r="B629" s="32"/>
      <c r="C629" s="24"/>
      <c r="D629" s="23"/>
      <c r="E629" s="23"/>
      <c r="F629" s="23"/>
      <c r="G629" s="23"/>
      <c r="H629" s="1"/>
    </row>
    <row r="630" spans="2:8" x14ac:dyDescent="0.2">
      <c r="B630" s="32"/>
      <c r="C630" s="24"/>
      <c r="D630" s="23"/>
      <c r="E630" s="23"/>
      <c r="F630" s="23"/>
      <c r="G630" s="23"/>
      <c r="H630" s="1"/>
    </row>
    <row r="631" spans="2:8" x14ac:dyDescent="0.2">
      <c r="B631" s="32"/>
      <c r="C631" s="24"/>
      <c r="D631" s="23"/>
      <c r="E631" s="23"/>
      <c r="F631" s="23"/>
      <c r="G631" s="23"/>
      <c r="H631" s="1"/>
    </row>
    <row r="632" spans="2:8" x14ac:dyDescent="0.2">
      <c r="B632" s="32"/>
      <c r="C632" s="24"/>
      <c r="D632" s="23"/>
      <c r="E632" s="23"/>
      <c r="F632" s="23"/>
      <c r="G632" s="23"/>
      <c r="H632" s="1"/>
    </row>
    <row r="633" spans="2:8" x14ac:dyDescent="0.2">
      <c r="B633" s="32"/>
      <c r="C633" s="24"/>
      <c r="D633" s="23"/>
      <c r="E633" s="23"/>
      <c r="F633" s="23"/>
      <c r="G633" s="23"/>
      <c r="H633" s="1"/>
    </row>
    <row r="634" spans="2:8" x14ac:dyDescent="0.2">
      <c r="B634" s="32"/>
      <c r="C634" s="24"/>
      <c r="D634" s="23"/>
      <c r="E634" s="23"/>
      <c r="F634" s="23"/>
      <c r="G634" s="23"/>
      <c r="H634" s="1"/>
    </row>
    <row r="635" spans="2:8" x14ac:dyDescent="0.2">
      <c r="B635" s="32"/>
      <c r="C635" s="24"/>
      <c r="D635" s="23"/>
      <c r="E635" s="23"/>
      <c r="F635" s="23"/>
      <c r="G635" s="23"/>
      <c r="H635" s="1"/>
    </row>
    <row r="636" spans="2:8" x14ac:dyDescent="0.2">
      <c r="B636" s="32"/>
      <c r="C636" s="24"/>
      <c r="D636" s="23"/>
      <c r="E636" s="23"/>
      <c r="F636" s="23"/>
      <c r="G636" s="23"/>
      <c r="H636" s="1"/>
    </row>
    <row r="637" spans="2:8" x14ac:dyDescent="0.2">
      <c r="B637" s="32"/>
      <c r="C637" s="24"/>
      <c r="D637" s="23"/>
      <c r="E637" s="23"/>
      <c r="F637" s="23"/>
      <c r="G637" s="23"/>
      <c r="H637" s="1"/>
    </row>
    <row r="638" spans="2:8" x14ac:dyDescent="0.2">
      <c r="B638" s="32"/>
      <c r="C638" s="24"/>
      <c r="D638" s="23"/>
      <c r="E638" s="23"/>
      <c r="F638" s="23"/>
      <c r="G638" s="23"/>
      <c r="H638" s="1"/>
    </row>
    <row r="639" spans="2:8" x14ac:dyDescent="0.2">
      <c r="B639" s="32"/>
      <c r="C639" s="24"/>
      <c r="D639" s="23"/>
      <c r="E639" s="23"/>
      <c r="F639" s="23"/>
      <c r="G639" s="23"/>
      <c r="H639" s="1"/>
    </row>
    <row r="640" spans="2:8" x14ac:dyDescent="0.2">
      <c r="B640" s="32"/>
      <c r="C640" s="24"/>
      <c r="D640" s="23"/>
      <c r="E640" s="23"/>
      <c r="F640" s="23"/>
      <c r="G640" s="23"/>
      <c r="H640" s="1"/>
    </row>
    <row r="641" spans="2:8" x14ac:dyDescent="0.2">
      <c r="B641" s="32"/>
      <c r="C641" s="24"/>
      <c r="D641" s="23"/>
      <c r="E641" s="23"/>
      <c r="F641" s="23"/>
      <c r="G641" s="23"/>
      <c r="H641" s="1"/>
    </row>
    <row r="642" spans="2:8" x14ac:dyDescent="0.2">
      <c r="B642" s="32"/>
      <c r="C642" s="24"/>
      <c r="D642" s="23"/>
      <c r="E642" s="23"/>
      <c r="F642" s="23"/>
      <c r="G642" s="23"/>
      <c r="H642" s="1"/>
    </row>
    <row r="643" spans="2:8" x14ac:dyDescent="0.2">
      <c r="B643" s="32"/>
      <c r="C643" s="24"/>
      <c r="D643" s="23"/>
      <c r="E643" s="23"/>
      <c r="F643" s="23"/>
      <c r="G643" s="23"/>
      <c r="H643" s="1"/>
    </row>
    <row r="644" spans="2:8" x14ac:dyDescent="0.2">
      <c r="B644" s="32"/>
      <c r="C644" s="24"/>
      <c r="D644" s="23"/>
      <c r="E644" s="23"/>
      <c r="F644" s="23"/>
      <c r="G644" s="23"/>
      <c r="H644" s="1"/>
    </row>
    <row r="645" spans="2:8" x14ac:dyDescent="0.2">
      <c r="B645" s="32"/>
      <c r="C645" s="24"/>
      <c r="D645" s="23"/>
      <c r="E645" s="23"/>
      <c r="F645" s="23"/>
      <c r="G645" s="23"/>
      <c r="H645" s="1"/>
    </row>
    <row r="646" spans="2:8" x14ac:dyDescent="0.2">
      <c r="B646" s="32"/>
      <c r="C646" s="24"/>
      <c r="D646" s="23"/>
      <c r="E646" s="23"/>
      <c r="F646" s="23"/>
      <c r="G646" s="23"/>
      <c r="H646" s="1"/>
    </row>
    <row r="647" spans="2:8" x14ac:dyDescent="0.2">
      <c r="B647" s="32"/>
      <c r="C647" s="24"/>
      <c r="D647" s="23"/>
      <c r="E647" s="23"/>
      <c r="F647" s="23"/>
      <c r="G647" s="23"/>
      <c r="H647" s="1"/>
    </row>
    <row r="648" spans="2:8" x14ac:dyDescent="0.2">
      <c r="B648" s="32"/>
      <c r="C648" s="24"/>
      <c r="D648" s="23"/>
      <c r="E648" s="23"/>
      <c r="F648" s="23"/>
      <c r="G648" s="23"/>
      <c r="H648" s="1"/>
    </row>
    <row r="649" spans="2:8" x14ac:dyDescent="0.2">
      <c r="B649" s="32"/>
      <c r="C649" s="24"/>
      <c r="D649" s="23"/>
      <c r="E649" s="23"/>
      <c r="F649" s="23"/>
      <c r="G649" s="23"/>
      <c r="H649" s="1"/>
    </row>
    <row r="650" spans="2:8" x14ac:dyDescent="0.2">
      <c r="B650" s="32"/>
      <c r="C650" s="24"/>
      <c r="D650" s="23"/>
      <c r="E650" s="23"/>
      <c r="F650" s="23"/>
      <c r="G650" s="23"/>
      <c r="H650" s="1"/>
    </row>
    <row r="651" spans="2:8" x14ac:dyDescent="0.2">
      <c r="B651" s="32"/>
      <c r="C651" s="24"/>
      <c r="D651" s="23"/>
      <c r="E651" s="23"/>
      <c r="F651" s="23"/>
      <c r="G651" s="23"/>
      <c r="H651" s="1"/>
    </row>
    <row r="652" spans="2:8" x14ac:dyDescent="0.2">
      <c r="B652" s="32"/>
      <c r="C652" s="24"/>
      <c r="D652" s="23"/>
      <c r="E652" s="23"/>
      <c r="F652" s="23"/>
      <c r="G652" s="23"/>
      <c r="H652" s="1"/>
    </row>
    <row r="653" spans="2:8" x14ac:dyDescent="0.2">
      <c r="B653" s="32"/>
      <c r="C653" s="24"/>
      <c r="D653" s="23"/>
      <c r="E653" s="23"/>
      <c r="F653" s="23"/>
      <c r="G653" s="23"/>
      <c r="H653" s="1"/>
    </row>
    <row r="654" spans="2:8" x14ac:dyDescent="0.2">
      <c r="B654" s="32"/>
      <c r="C654" s="24"/>
      <c r="D654" s="23"/>
      <c r="E654" s="23"/>
      <c r="F654" s="23"/>
      <c r="G654" s="23"/>
      <c r="H654" s="1"/>
    </row>
    <row r="655" spans="2:8" x14ac:dyDescent="0.2">
      <c r="B655" s="32"/>
      <c r="C655" s="24"/>
      <c r="D655" s="23"/>
      <c r="E655" s="23"/>
      <c r="F655" s="23"/>
      <c r="G655" s="23"/>
      <c r="H655" s="1"/>
    </row>
    <row r="656" spans="2:8" x14ac:dyDescent="0.2">
      <c r="B656" s="32"/>
      <c r="C656" s="24"/>
      <c r="D656" s="23"/>
      <c r="E656" s="23"/>
      <c r="F656" s="23"/>
      <c r="G656" s="23"/>
      <c r="H656" s="1"/>
    </row>
    <row r="657" spans="2:8" x14ac:dyDescent="0.2">
      <c r="B657" s="32"/>
      <c r="C657" s="24"/>
      <c r="D657" s="23"/>
      <c r="E657" s="23"/>
      <c r="F657" s="23"/>
      <c r="G657" s="23"/>
      <c r="H657" s="1"/>
    </row>
    <row r="658" spans="2:8" x14ac:dyDescent="0.2">
      <c r="B658" s="32"/>
      <c r="C658" s="24"/>
      <c r="D658" s="23"/>
      <c r="E658" s="23"/>
      <c r="F658" s="23"/>
      <c r="G658" s="23"/>
      <c r="H658" s="1"/>
    </row>
    <row r="659" spans="2:8" x14ac:dyDescent="0.2">
      <c r="B659" s="32"/>
      <c r="C659" s="24"/>
      <c r="D659" s="23"/>
      <c r="E659" s="23"/>
      <c r="F659" s="23"/>
      <c r="G659" s="23"/>
      <c r="H659" s="1"/>
    </row>
    <row r="660" spans="2:8" x14ac:dyDescent="0.2">
      <c r="B660" s="32"/>
      <c r="C660" s="24"/>
      <c r="D660" s="23"/>
      <c r="E660" s="23"/>
      <c r="F660" s="23"/>
      <c r="G660" s="23"/>
      <c r="H660" s="1"/>
    </row>
    <row r="661" spans="2:8" x14ac:dyDescent="0.2">
      <c r="B661" s="32"/>
      <c r="C661" s="24"/>
      <c r="D661" s="23"/>
      <c r="E661" s="23"/>
      <c r="F661" s="23"/>
      <c r="G661" s="23"/>
      <c r="H661" s="1"/>
    </row>
    <row r="662" spans="2:8" x14ac:dyDescent="0.2">
      <c r="B662" s="32"/>
      <c r="C662" s="24"/>
      <c r="D662" s="23"/>
      <c r="E662" s="23"/>
      <c r="F662" s="23"/>
      <c r="G662" s="23"/>
      <c r="H662" s="1"/>
    </row>
    <row r="663" spans="2:8" x14ac:dyDescent="0.2">
      <c r="B663" s="32"/>
      <c r="C663" s="24"/>
      <c r="D663" s="23"/>
      <c r="E663" s="23"/>
      <c r="F663" s="23"/>
      <c r="G663" s="23"/>
      <c r="H663" s="1"/>
    </row>
    <row r="664" spans="2:8" x14ac:dyDescent="0.2">
      <c r="B664" s="32"/>
      <c r="C664" s="24"/>
      <c r="D664" s="23"/>
      <c r="E664" s="23"/>
      <c r="F664" s="23"/>
      <c r="G664" s="23"/>
      <c r="H664" s="1"/>
    </row>
    <row r="665" spans="2:8" x14ac:dyDescent="0.2">
      <c r="B665" s="32"/>
      <c r="C665" s="24"/>
      <c r="D665" s="23"/>
      <c r="E665" s="23"/>
      <c r="F665" s="23"/>
      <c r="G665" s="23"/>
      <c r="H665" s="1"/>
    </row>
    <row r="666" spans="2:8" x14ac:dyDescent="0.2">
      <c r="B666" s="32"/>
      <c r="C666" s="24"/>
      <c r="D666" s="23"/>
      <c r="E666" s="23"/>
      <c r="F666" s="23"/>
      <c r="G666" s="23"/>
      <c r="H666" s="1"/>
    </row>
    <row r="667" spans="2:8" x14ac:dyDescent="0.2">
      <c r="B667" s="32"/>
      <c r="C667" s="24"/>
      <c r="D667" s="23"/>
      <c r="E667" s="23"/>
      <c r="F667" s="23"/>
      <c r="G667" s="23"/>
      <c r="H667" s="1"/>
    </row>
    <row r="668" spans="2:8" x14ac:dyDescent="0.2">
      <c r="B668" s="32"/>
      <c r="C668" s="24"/>
      <c r="D668" s="23"/>
      <c r="E668" s="23"/>
      <c r="F668" s="23"/>
      <c r="G668" s="23"/>
      <c r="H668" s="1"/>
    </row>
    <row r="669" spans="2:8" x14ac:dyDescent="0.2">
      <c r="B669" s="32"/>
      <c r="C669" s="24"/>
      <c r="D669" s="23"/>
      <c r="E669" s="23"/>
      <c r="F669" s="23"/>
      <c r="G669" s="23"/>
      <c r="H669" s="1"/>
    </row>
    <row r="670" spans="2:8" x14ac:dyDescent="0.2">
      <c r="B670" s="32"/>
      <c r="C670" s="24"/>
      <c r="D670" s="23"/>
      <c r="E670" s="23"/>
      <c r="F670" s="23"/>
      <c r="G670" s="23"/>
      <c r="H670" s="1"/>
    </row>
    <row r="671" spans="2:8" x14ac:dyDescent="0.2">
      <c r="B671" s="32"/>
      <c r="C671" s="24"/>
      <c r="D671" s="23"/>
      <c r="E671" s="23"/>
      <c r="F671" s="23"/>
      <c r="G671" s="23"/>
      <c r="H671" s="1"/>
    </row>
    <row r="672" spans="2:8" x14ac:dyDescent="0.2">
      <c r="B672" s="32"/>
      <c r="C672" s="24"/>
      <c r="D672" s="23"/>
      <c r="E672" s="23"/>
      <c r="F672" s="23"/>
      <c r="G672" s="23"/>
      <c r="H672" s="1"/>
    </row>
    <row r="673" spans="2:8" x14ac:dyDescent="0.2">
      <c r="B673" s="32"/>
      <c r="C673" s="24"/>
      <c r="D673" s="23"/>
      <c r="E673" s="23"/>
      <c r="F673" s="23"/>
      <c r="G673" s="23"/>
      <c r="H673" s="1"/>
    </row>
    <row r="674" spans="2:8" x14ac:dyDescent="0.2">
      <c r="B674" s="32"/>
      <c r="C674" s="24"/>
      <c r="D674" s="23"/>
      <c r="E674" s="23"/>
      <c r="F674" s="23"/>
      <c r="G674" s="23"/>
      <c r="H674" s="1"/>
    </row>
    <row r="675" spans="2:8" x14ac:dyDescent="0.2">
      <c r="B675" s="32"/>
      <c r="C675" s="24"/>
      <c r="D675" s="23"/>
      <c r="E675" s="23"/>
      <c r="F675" s="23"/>
      <c r="G675" s="23"/>
      <c r="H675" s="1"/>
    </row>
    <row r="676" spans="2:8" x14ac:dyDescent="0.2">
      <c r="B676" s="32"/>
      <c r="C676" s="24"/>
      <c r="D676" s="23"/>
      <c r="E676" s="23"/>
      <c r="F676" s="23"/>
      <c r="G676" s="23"/>
      <c r="H676" s="1"/>
    </row>
    <row r="677" spans="2:8" x14ac:dyDescent="0.2">
      <c r="B677" s="32"/>
      <c r="C677" s="24"/>
      <c r="D677" s="23"/>
      <c r="E677" s="23"/>
      <c r="F677" s="23"/>
      <c r="G677" s="23"/>
      <c r="H677" s="1"/>
    </row>
    <row r="678" spans="2:8" x14ac:dyDescent="0.2">
      <c r="B678" s="32"/>
      <c r="C678" s="24"/>
      <c r="D678" s="23"/>
      <c r="E678" s="23"/>
      <c r="F678" s="23"/>
      <c r="G678" s="23"/>
      <c r="H678" s="1"/>
    </row>
    <row r="679" spans="2:8" x14ac:dyDescent="0.2">
      <c r="B679" s="32"/>
      <c r="C679" s="24"/>
      <c r="D679" s="23"/>
      <c r="E679" s="23"/>
      <c r="F679" s="23"/>
      <c r="G679" s="23"/>
      <c r="H679" s="1"/>
    </row>
    <row r="680" spans="2:8" x14ac:dyDescent="0.2">
      <c r="B680" s="32"/>
      <c r="C680" s="24"/>
      <c r="D680" s="23"/>
      <c r="E680" s="23"/>
      <c r="F680" s="23"/>
      <c r="G680" s="23"/>
      <c r="H680" s="1"/>
    </row>
    <row r="681" spans="2:8" x14ac:dyDescent="0.2">
      <c r="B681" s="32"/>
      <c r="C681" s="24"/>
      <c r="D681" s="23"/>
      <c r="E681" s="23"/>
      <c r="F681" s="23"/>
      <c r="G681" s="23"/>
      <c r="H681" s="1"/>
    </row>
    <row r="682" spans="2:8" x14ac:dyDescent="0.2">
      <c r="B682" s="32"/>
      <c r="C682" s="24"/>
      <c r="D682" s="23"/>
      <c r="E682" s="23"/>
      <c r="F682" s="23"/>
      <c r="G682" s="23"/>
      <c r="H682" s="1"/>
    </row>
    <row r="683" spans="2:8" x14ac:dyDescent="0.2">
      <c r="B683" s="32"/>
      <c r="C683" s="24"/>
      <c r="D683" s="23"/>
      <c r="E683" s="23"/>
      <c r="F683" s="23"/>
      <c r="G683" s="23"/>
      <c r="H683" s="1"/>
    </row>
    <row r="684" spans="2:8" x14ac:dyDescent="0.2">
      <c r="B684" s="32"/>
      <c r="C684" s="24"/>
      <c r="D684" s="23"/>
      <c r="E684" s="23"/>
      <c r="F684" s="23"/>
      <c r="G684" s="23"/>
      <c r="H684" s="1"/>
    </row>
    <row r="685" spans="2:8" x14ac:dyDescent="0.2">
      <c r="B685" s="32"/>
      <c r="C685" s="24"/>
      <c r="D685" s="23"/>
      <c r="E685" s="23"/>
      <c r="F685" s="23"/>
      <c r="G685" s="23"/>
      <c r="H685" s="1"/>
    </row>
    <row r="686" spans="2:8" x14ac:dyDescent="0.2">
      <c r="B686" s="32"/>
      <c r="C686" s="24"/>
      <c r="D686" s="23"/>
      <c r="E686" s="23"/>
      <c r="F686" s="23"/>
      <c r="G686" s="23"/>
      <c r="H686" s="1"/>
    </row>
    <row r="687" spans="2:8" x14ac:dyDescent="0.2">
      <c r="B687" s="32"/>
      <c r="C687" s="24"/>
      <c r="D687" s="23"/>
      <c r="E687" s="23"/>
      <c r="F687" s="23"/>
      <c r="G687" s="23"/>
      <c r="H687" s="1"/>
    </row>
    <row r="688" spans="2:8" x14ac:dyDescent="0.2">
      <c r="B688" s="32"/>
      <c r="C688" s="24"/>
      <c r="D688" s="23"/>
      <c r="E688" s="23"/>
      <c r="F688" s="23"/>
      <c r="G688" s="23"/>
      <c r="H688" s="1"/>
    </row>
    <row r="689" spans="2:8" x14ac:dyDescent="0.2">
      <c r="B689" s="32"/>
      <c r="C689" s="24"/>
      <c r="D689" s="23"/>
      <c r="E689" s="23"/>
      <c r="F689" s="23"/>
      <c r="G689" s="23"/>
      <c r="H689" s="1"/>
    </row>
    <row r="690" spans="2:8" x14ac:dyDescent="0.2">
      <c r="B690" s="32"/>
      <c r="C690" s="24"/>
      <c r="D690" s="23"/>
      <c r="E690" s="23"/>
      <c r="F690" s="23"/>
      <c r="G690" s="23"/>
      <c r="H690" s="1"/>
    </row>
    <row r="691" spans="2:8" x14ac:dyDescent="0.2">
      <c r="B691" s="32"/>
      <c r="C691" s="24"/>
      <c r="D691" s="23"/>
      <c r="E691" s="23"/>
      <c r="F691" s="23"/>
      <c r="G691" s="23"/>
      <c r="H691" s="1"/>
    </row>
    <row r="692" spans="2:8" x14ac:dyDescent="0.2">
      <c r="B692" s="32"/>
      <c r="C692" s="24"/>
      <c r="D692" s="23"/>
      <c r="E692" s="23"/>
      <c r="F692" s="23"/>
      <c r="G692" s="23"/>
      <c r="H692" s="1"/>
    </row>
    <row r="693" spans="2:8" x14ac:dyDescent="0.2">
      <c r="B693" s="32"/>
      <c r="C693" s="24"/>
      <c r="D693" s="23"/>
      <c r="E693" s="23"/>
      <c r="F693" s="23"/>
      <c r="G693" s="23"/>
      <c r="H693" s="1"/>
    </row>
    <row r="694" spans="2:8" x14ac:dyDescent="0.2">
      <c r="B694" s="32"/>
      <c r="C694" s="24"/>
      <c r="D694" s="23"/>
      <c r="E694" s="23"/>
      <c r="F694" s="23"/>
      <c r="G694" s="23"/>
      <c r="H694" s="1"/>
    </row>
    <row r="695" spans="2:8" x14ac:dyDescent="0.2">
      <c r="B695" s="32"/>
      <c r="C695" s="24"/>
      <c r="D695" s="23"/>
      <c r="E695" s="23"/>
      <c r="F695" s="23"/>
      <c r="G695" s="23"/>
      <c r="H695" s="1"/>
    </row>
    <row r="696" spans="2:8" x14ac:dyDescent="0.2">
      <c r="B696" s="32"/>
      <c r="C696" s="24"/>
      <c r="D696" s="23"/>
      <c r="E696" s="23"/>
      <c r="F696" s="23"/>
      <c r="G696" s="23"/>
      <c r="H696" s="1"/>
    </row>
    <row r="697" spans="2:8" x14ac:dyDescent="0.2">
      <c r="B697" s="32"/>
      <c r="C697" s="24"/>
      <c r="D697" s="23"/>
      <c r="E697" s="23"/>
      <c r="F697" s="23"/>
      <c r="G697" s="23"/>
      <c r="H697" s="1"/>
    </row>
    <row r="698" spans="2:8" x14ac:dyDescent="0.2">
      <c r="B698" s="32"/>
      <c r="C698" s="24"/>
      <c r="D698" s="23"/>
      <c r="E698" s="23"/>
      <c r="F698" s="23"/>
      <c r="G698" s="23"/>
      <c r="H698" s="1"/>
    </row>
    <row r="699" spans="2:8" x14ac:dyDescent="0.2">
      <c r="B699" s="32"/>
      <c r="C699" s="24"/>
      <c r="D699" s="23"/>
      <c r="E699" s="23"/>
      <c r="F699" s="23"/>
      <c r="G699" s="23"/>
      <c r="H699" s="1"/>
    </row>
    <row r="700" spans="2:8" x14ac:dyDescent="0.2">
      <c r="B700" s="32"/>
      <c r="C700" s="24"/>
      <c r="D700" s="23"/>
      <c r="E700" s="23"/>
      <c r="F700" s="23"/>
      <c r="G700" s="23"/>
      <c r="H700" s="1"/>
    </row>
    <row r="701" spans="2:8" x14ac:dyDescent="0.2">
      <c r="B701" s="32"/>
      <c r="C701" s="24"/>
      <c r="D701" s="23"/>
      <c r="E701" s="23"/>
      <c r="F701" s="23"/>
      <c r="G701" s="23"/>
      <c r="H701" s="1"/>
    </row>
    <row r="702" spans="2:8" x14ac:dyDescent="0.2">
      <c r="B702" s="32"/>
      <c r="C702" s="24"/>
      <c r="D702" s="23"/>
      <c r="E702" s="23"/>
      <c r="F702" s="23"/>
      <c r="G702" s="23"/>
      <c r="H702" s="1"/>
    </row>
    <row r="703" spans="2:8" x14ac:dyDescent="0.2">
      <c r="B703" s="32"/>
      <c r="C703" s="24"/>
      <c r="D703" s="23"/>
      <c r="E703" s="23"/>
      <c r="F703" s="23"/>
      <c r="G703" s="23"/>
      <c r="H703" s="1"/>
    </row>
    <row r="704" spans="2:8" x14ac:dyDescent="0.2">
      <c r="B704" s="32"/>
      <c r="C704" s="24"/>
      <c r="D704" s="23"/>
      <c r="E704" s="23"/>
      <c r="F704" s="23"/>
      <c r="G704" s="23"/>
      <c r="H704" s="1"/>
    </row>
    <row r="705" spans="2:8" x14ac:dyDescent="0.2">
      <c r="B705" s="32"/>
      <c r="C705" s="24"/>
      <c r="D705" s="23"/>
      <c r="E705" s="23"/>
      <c r="F705" s="23"/>
      <c r="G705" s="23"/>
      <c r="H705" s="1"/>
    </row>
    <row r="706" spans="2:8" x14ac:dyDescent="0.2">
      <c r="B706" s="32"/>
      <c r="C706" s="24"/>
      <c r="D706" s="23"/>
      <c r="E706" s="23"/>
      <c r="F706" s="23"/>
      <c r="G706" s="23"/>
      <c r="H706" s="1"/>
    </row>
    <row r="707" spans="2:8" x14ac:dyDescent="0.2">
      <c r="B707" s="32"/>
      <c r="C707" s="24"/>
      <c r="D707" s="23"/>
      <c r="E707" s="23"/>
      <c r="F707" s="23"/>
      <c r="G707" s="23"/>
      <c r="H707" s="1"/>
    </row>
    <row r="708" spans="2:8" x14ac:dyDescent="0.2">
      <c r="B708" s="32"/>
      <c r="C708" s="24"/>
      <c r="D708" s="23"/>
      <c r="E708" s="23"/>
      <c r="F708" s="23"/>
      <c r="G708" s="23"/>
      <c r="H708" s="1"/>
    </row>
    <row r="709" spans="2:8" x14ac:dyDescent="0.2">
      <c r="B709" s="32"/>
      <c r="C709" s="24"/>
      <c r="D709" s="23"/>
      <c r="E709" s="23"/>
      <c r="F709" s="23"/>
      <c r="G709" s="23"/>
      <c r="H709" s="1"/>
    </row>
    <row r="710" spans="2:8" x14ac:dyDescent="0.2">
      <c r="B710" s="32"/>
      <c r="C710" s="24"/>
      <c r="D710" s="23"/>
      <c r="E710" s="23"/>
      <c r="F710" s="23"/>
      <c r="G710" s="23"/>
      <c r="H710" s="1"/>
    </row>
    <row r="711" spans="2:8" x14ac:dyDescent="0.2">
      <c r="B711" s="32"/>
      <c r="C711" s="24"/>
      <c r="D711" s="23"/>
      <c r="E711" s="23"/>
      <c r="F711" s="23"/>
      <c r="G711" s="23"/>
      <c r="H711" s="1"/>
    </row>
    <row r="712" spans="2:8" x14ac:dyDescent="0.2">
      <c r="B712" s="32"/>
      <c r="C712" s="24"/>
      <c r="D712" s="23"/>
      <c r="E712" s="23"/>
      <c r="F712" s="23"/>
      <c r="G712" s="23"/>
      <c r="H712" s="1"/>
    </row>
    <row r="713" spans="2:8" x14ac:dyDescent="0.2">
      <c r="B713" s="32"/>
      <c r="C713" s="24"/>
      <c r="D713" s="23"/>
      <c r="E713" s="23"/>
      <c r="F713" s="23"/>
      <c r="G713" s="23"/>
      <c r="H713" s="1"/>
    </row>
    <row r="714" spans="2:8" x14ac:dyDescent="0.2">
      <c r="B714" s="32"/>
      <c r="C714" s="24"/>
      <c r="D714" s="23"/>
      <c r="E714" s="23"/>
      <c r="F714" s="23"/>
      <c r="G714" s="23"/>
      <c r="H714" s="1"/>
    </row>
    <row r="715" spans="2:8" x14ac:dyDescent="0.2">
      <c r="B715" s="32"/>
      <c r="C715" s="24"/>
      <c r="D715" s="23"/>
      <c r="E715" s="23"/>
      <c r="F715" s="23"/>
      <c r="G715" s="23"/>
      <c r="H715" s="1"/>
    </row>
    <row r="716" spans="2:8" x14ac:dyDescent="0.2">
      <c r="B716" s="32"/>
      <c r="C716" s="24"/>
      <c r="D716" s="23"/>
      <c r="E716" s="23"/>
      <c r="F716" s="23"/>
      <c r="G716" s="23"/>
      <c r="H716" s="1"/>
    </row>
    <row r="717" spans="2:8" x14ac:dyDescent="0.2">
      <c r="B717" s="32"/>
      <c r="C717" s="24"/>
      <c r="D717" s="23"/>
      <c r="E717" s="23"/>
      <c r="F717" s="23"/>
      <c r="G717" s="23"/>
      <c r="H717" s="1"/>
    </row>
    <row r="718" spans="2:8" x14ac:dyDescent="0.2">
      <c r="B718" s="32"/>
      <c r="C718" s="24"/>
      <c r="D718" s="23"/>
      <c r="E718" s="23"/>
      <c r="F718" s="23"/>
      <c r="G718" s="23"/>
      <c r="H718" s="1"/>
    </row>
    <row r="719" spans="2:8" x14ac:dyDescent="0.2">
      <c r="B719" s="32"/>
      <c r="C719" s="24"/>
      <c r="D719" s="23"/>
      <c r="E719" s="23"/>
      <c r="F719" s="23"/>
      <c r="G719" s="23"/>
      <c r="H719" s="1"/>
    </row>
    <row r="720" spans="2:8" x14ac:dyDescent="0.2">
      <c r="B720" s="32"/>
      <c r="C720" s="24"/>
      <c r="D720" s="23"/>
      <c r="E720" s="23"/>
      <c r="F720" s="23"/>
      <c r="G720" s="23"/>
      <c r="H720" s="1"/>
    </row>
    <row r="721" spans="2:8" x14ac:dyDescent="0.2">
      <c r="B721" s="32"/>
      <c r="C721" s="24"/>
      <c r="D721" s="23"/>
      <c r="E721" s="23"/>
      <c r="F721" s="23"/>
      <c r="G721" s="23"/>
      <c r="H721" s="1"/>
    </row>
    <row r="722" spans="2:8" x14ac:dyDescent="0.2">
      <c r="B722" s="32"/>
      <c r="C722" s="24"/>
      <c r="D722" s="23"/>
      <c r="E722" s="23"/>
      <c r="F722" s="23"/>
      <c r="G722" s="23"/>
      <c r="H722" s="1"/>
    </row>
    <row r="723" spans="2:8" x14ac:dyDescent="0.2">
      <c r="B723" s="32"/>
      <c r="C723" s="24"/>
      <c r="D723" s="23"/>
      <c r="E723" s="23"/>
      <c r="F723" s="23"/>
      <c r="G723" s="23"/>
      <c r="H723" s="1"/>
    </row>
    <row r="724" spans="2:8" x14ac:dyDescent="0.2">
      <c r="B724" s="32"/>
      <c r="C724" s="24"/>
      <c r="D724" s="23"/>
      <c r="E724" s="23"/>
      <c r="F724" s="23"/>
      <c r="G724" s="23"/>
      <c r="H724" s="1"/>
    </row>
    <row r="725" spans="2:8" x14ac:dyDescent="0.2">
      <c r="B725" s="32"/>
      <c r="C725" s="24"/>
      <c r="D725" s="23"/>
      <c r="E725" s="23"/>
      <c r="F725" s="23"/>
      <c r="G725" s="23"/>
      <c r="H725" s="1"/>
    </row>
    <row r="726" spans="2:8" x14ac:dyDescent="0.2">
      <c r="B726" s="32"/>
      <c r="C726" s="24"/>
      <c r="D726" s="23"/>
      <c r="E726" s="23"/>
      <c r="F726" s="23"/>
      <c r="G726" s="23"/>
      <c r="H726" s="1"/>
    </row>
    <row r="727" spans="2:8" x14ac:dyDescent="0.2">
      <c r="B727" s="32"/>
      <c r="C727" s="24"/>
      <c r="D727" s="23"/>
      <c r="E727" s="23"/>
      <c r="F727" s="23"/>
      <c r="G727" s="23"/>
      <c r="H727" s="1"/>
    </row>
    <row r="728" spans="2:8" x14ac:dyDescent="0.2">
      <c r="B728" s="32"/>
      <c r="C728" s="24"/>
      <c r="D728" s="23"/>
      <c r="E728" s="23"/>
      <c r="F728" s="23"/>
      <c r="G728" s="23"/>
      <c r="H728" s="1"/>
    </row>
    <row r="729" spans="2:8" x14ac:dyDescent="0.2">
      <c r="B729" s="32"/>
      <c r="C729" s="24"/>
      <c r="D729" s="23"/>
      <c r="E729" s="23"/>
      <c r="F729" s="23"/>
      <c r="G729" s="23"/>
      <c r="H729" s="1"/>
    </row>
    <row r="730" spans="2:8" x14ac:dyDescent="0.2">
      <c r="B730" s="32"/>
      <c r="C730" s="24"/>
      <c r="D730" s="23"/>
      <c r="E730" s="23"/>
      <c r="F730" s="23"/>
      <c r="G730" s="23"/>
      <c r="H730" s="1"/>
    </row>
    <row r="731" spans="2:8" x14ac:dyDescent="0.2">
      <c r="B731" s="32"/>
      <c r="C731" s="24"/>
      <c r="D731" s="23"/>
      <c r="E731" s="23"/>
      <c r="F731" s="23"/>
      <c r="G731" s="23"/>
      <c r="H731" s="1"/>
    </row>
    <row r="732" spans="2:8" x14ac:dyDescent="0.2">
      <c r="B732" s="32"/>
      <c r="C732" s="24"/>
      <c r="D732" s="23"/>
      <c r="E732" s="23"/>
      <c r="F732" s="23"/>
      <c r="G732" s="23"/>
      <c r="H732" s="1"/>
    </row>
    <row r="733" spans="2:8" x14ac:dyDescent="0.2">
      <c r="B733" s="32"/>
      <c r="C733" s="24"/>
      <c r="D733" s="23"/>
      <c r="E733" s="23"/>
      <c r="F733" s="23"/>
      <c r="G733" s="23"/>
      <c r="H733" s="1"/>
    </row>
    <row r="734" spans="2:8" x14ac:dyDescent="0.2">
      <c r="B734" s="32"/>
      <c r="C734" s="24"/>
      <c r="D734" s="23"/>
      <c r="E734" s="23"/>
      <c r="F734" s="23"/>
      <c r="G734" s="23"/>
      <c r="H734" s="1"/>
    </row>
    <row r="735" spans="2:8" x14ac:dyDescent="0.2">
      <c r="B735" s="32"/>
      <c r="C735" s="24"/>
      <c r="D735" s="23"/>
      <c r="E735" s="23"/>
      <c r="F735" s="23"/>
      <c r="G735" s="23"/>
      <c r="H735" s="1"/>
    </row>
    <row r="736" spans="2:8" x14ac:dyDescent="0.2">
      <c r="B736" s="32"/>
      <c r="C736" s="24"/>
      <c r="D736" s="23"/>
      <c r="E736" s="23"/>
      <c r="F736" s="23"/>
      <c r="G736" s="23"/>
      <c r="H736" s="1"/>
    </row>
    <row r="737" spans="2:8" x14ac:dyDescent="0.2">
      <c r="B737" s="32"/>
      <c r="C737" s="24"/>
      <c r="D737" s="23"/>
      <c r="E737" s="23"/>
      <c r="F737" s="23"/>
      <c r="G737" s="23"/>
      <c r="H737" s="1"/>
    </row>
    <row r="738" spans="2:8" x14ac:dyDescent="0.2">
      <c r="B738" s="32"/>
      <c r="C738" s="24"/>
      <c r="D738" s="23"/>
      <c r="E738" s="23"/>
      <c r="F738" s="23"/>
      <c r="G738" s="23"/>
      <c r="H738" s="1"/>
    </row>
    <row r="739" spans="2:8" x14ac:dyDescent="0.2">
      <c r="B739" s="32"/>
      <c r="C739" s="24"/>
      <c r="D739" s="23"/>
      <c r="E739" s="23"/>
      <c r="F739" s="23"/>
      <c r="G739" s="23"/>
      <c r="H739" s="1"/>
    </row>
    <row r="740" spans="2:8" x14ac:dyDescent="0.2">
      <c r="B740" s="32"/>
      <c r="C740" s="24"/>
      <c r="D740" s="23"/>
      <c r="E740" s="23"/>
      <c r="F740" s="23"/>
      <c r="G740" s="23"/>
      <c r="H740" s="1"/>
    </row>
    <row r="741" spans="2:8" x14ac:dyDescent="0.2">
      <c r="B741" s="32"/>
      <c r="C741" s="24"/>
      <c r="D741" s="23"/>
      <c r="E741" s="23"/>
      <c r="F741" s="23"/>
      <c r="G741" s="23"/>
      <c r="H741" s="1"/>
    </row>
    <row r="742" spans="2:8" x14ac:dyDescent="0.2">
      <c r="B742" s="32"/>
      <c r="C742" s="24"/>
      <c r="D742" s="23"/>
      <c r="E742" s="23"/>
      <c r="F742" s="23"/>
      <c r="G742" s="23"/>
      <c r="H742" s="1"/>
    </row>
    <row r="743" spans="2:8" x14ac:dyDescent="0.2">
      <c r="B743" s="32"/>
      <c r="C743" s="24"/>
      <c r="D743" s="23"/>
      <c r="E743" s="23"/>
      <c r="F743" s="23"/>
      <c r="G743" s="23"/>
      <c r="H743" s="1"/>
    </row>
    <row r="744" spans="2:8" x14ac:dyDescent="0.2">
      <c r="B744" s="32"/>
      <c r="C744" s="24"/>
      <c r="D744" s="23"/>
      <c r="E744" s="23"/>
      <c r="F744" s="23"/>
      <c r="G744" s="23"/>
      <c r="H744" s="1"/>
    </row>
    <row r="745" spans="2:8" x14ac:dyDescent="0.2">
      <c r="B745" s="32"/>
      <c r="C745" s="24"/>
      <c r="D745" s="23"/>
      <c r="E745" s="23"/>
      <c r="F745" s="23"/>
      <c r="G745" s="23"/>
      <c r="H745" s="1"/>
    </row>
    <row r="746" spans="2:8" x14ac:dyDescent="0.2">
      <c r="B746" s="32"/>
      <c r="C746" s="24"/>
      <c r="D746" s="23"/>
      <c r="E746" s="23"/>
      <c r="F746" s="23"/>
      <c r="G746" s="23"/>
      <c r="H746" s="1"/>
    </row>
    <row r="747" spans="2:8" x14ac:dyDescent="0.2">
      <c r="B747" s="32"/>
      <c r="C747" s="24"/>
      <c r="D747" s="23"/>
      <c r="E747" s="23"/>
      <c r="F747" s="23"/>
      <c r="G747" s="23"/>
      <c r="H747" s="1"/>
    </row>
    <row r="748" spans="2:8" x14ac:dyDescent="0.2">
      <c r="B748" s="32"/>
      <c r="C748" s="24"/>
      <c r="D748" s="23"/>
      <c r="E748" s="23"/>
      <c r="F748" s="23"/>
      <c r="G748" s="23"/>
      <c r="H748" s="1"/>
    </row>
    <row r="749" spans="2:8" x14ac:dyDescent="0.2">
      <c r="B749" s="32"/>
      <c r="C749" s="24"/>
      <c r="D749" s="23"/>
      <c r="E749" s="23"/>
      <c r="F749" s="23"/>
      <c r="G749" s="23"/>
      <c r="H749" s="1"/>
    </row>
    <row r="750" spans="2:8" x14ac:dyDescent="0.2">
      <c r="B750" s="32"/>
      <c r="C750" s="24"/>
      <c r="D750" s="23"/>
      <c r="E750" s="23"/>
      <c r="F750" s="23"/>
      <c r="G750" s="23"/>
      <c r="H750" s="1"/>
    </row>
    <row r="751" spans="2:8" x14ac:dyDescent="0.2">
      <c r="B751" s="32"/>
      <c r="C751" s="24"/>
      <c r="D751" s="23"/>
      <c r="E751" s="23"/>
      <c r="F751" s="23"/>
      <c r="G751" s="23"/>
      <c r="H751" s="1"/>
    </row>
    <row r="752" spans="2:8" x14ac:dyDescent="0.2">
      <c r="B752" s="32"/>
      <c r="C752" s="24"/>
      <c r="D752" s="23"/>
      <c r="E752" s="23"/>
      <c r="F752" s="23"/>
      <c r="G752" s="23"/>
      <c r="H752" s="1"/>
    </row>
    <row r="753" spans="2:8" x14ac:dyDescent="0.2">
      <c r="B753" s="32"/>
      <c r="C753" s="24"/>
      <c r="D753" s="23"/>
      <c r="E753" s="23"/>
      <c r="F753" s="23"/>
      <c r="G753" s="23"/>
      <c r="H753" s="1"/>
    </row>
    <row r="754" spans="2:8" x14ac:dyDescent="0.2">
      <c r="B754" s="32"/>
      <c r="C754" s="24"/>
      <c r="D754" s="23"/>
      <c r="E754" s="23"/>
      <c r="F754" s="23"/>
      <c r="G754" s="23"/>
      <c r="H754" s="1"/>
    </row>
    <row r="755" spans="2:8" x14ac:dyDescent="0.2">
      <c r="B755" s="32"/>
      <c r="C755" s="24"/>
      <c r="D755" s="23"/>
      <c r="E755" s="23"/>
      <c r="F755" s="23"/>
      <c r="G755" s="23"/>
      <c r="H755" s="1"/>
    </row>
    <row r="756" spans="2:8" x14ac:dyDescent="0.2">
      <c r="B756" s="32"/>
      <c r="C756" s="24"/>
      <c r="D756" s="23"/>
      <c r="E756" s="23"/>
      <c r="F756" s="23"/>
      <c r="G756" s="23"/>
      <c r="H756" s="1"/>
    </row>
    <row r="757" spans="2:8" x14ac:dyDescent="0.2">
      <c r="B757" s="32"/>
      <c r="C757" s="24"/>
      <c r="D757" s="23"/>
      <c r="E757" s="23"/>
      <c r="F757" s="23"/>
      <c r="G757" s="23"/>
      <c r="H757" s="1"/>
    </row>
    <row r="758" spans="2:8" x14ac:dyDescent="0.2">
      <c r="B758" s="32"/>
      <c r="C758" s="24"/>
      <c r="D758" s="23"/>
      <c r="E758" s="23"/>
      <c r="F758" s="23"/>
      <c r="G758" s="23"/>
      <c r="H758" s="1"/>
    </row>
    <row r="759" spans="2:8" x14ac:dyDescent="0.2">
      <c r="B759" s="32"/>
      <c r="C759" s="24"/>
      <c r="D759" s="23"/>
      <c r="E759" s="23"/>
      <c r="F759" s="23"/>
      <c r="G759" s="23"/>
      <c r="H759" s="1"/>
    </row>
    <row r="760" spans="2:8" x14ac:dyDescent="0.2">
      <c r="B760" s="32"/>
      <c r="C760" s="24"/>
      <c r="D760" s="23"/>
      <c r="E760" s="23"/>
      <c r="F760" s="23"/>
      <c r="G760" s="23"/>
      <c r="H760" s="1"/>
    </row>
    <row r="761" spans="2:8" x14ac:dyDescent="0.2">
      <c r="B761" s="32"/>
      <c r="C761" s="24"/>
      <c r="D761" s="23"/>
      <c r="E761" s="23"/>
      <c r="F761" s="23"/>
      <c r="G761" s="23"/>
      <c r="H761" s="1"/>
    </row>
    <row r="762" spans="2:8" x14ac:dyDescent="0.2">
      <c r="B762" s="32"/>
      <c r="C762" s="24"/>
      <c r="D762" s="23"/>
      <c r="E762" s="23"/>
      <c r="F762" s="23"/>
      <c r="G762" s="23"/>
      <c r="H762" s="1"/>
    </row>
    <row r="763" spans="2:8" x14ac:dyDescent="0.2">
      <c r="B763" s="32"/>
      <c r="C763" s="24"/>
      <c r="D763" s="23"/>
      <c r="E763" s="23"/>
      <c r="F763" s="23"/>
      <c r="G763" s="23"/>
      <c r="H763" s="1"/>
    </row>
    <row r="764" spans="2:8" x14ac:dyDescent="0.2">
      <c r="B764" s="32"/>
      <c r="C764" s="24"/>
      <c r="D764" s="23"/>
      <c r="E764" s="23"/>
      <c r="F764" s="23"/>
      <c r="G764" s="23"/>
      <c r="H764" s="1"/>
    </row>
    <row r="765" spans="2:8" x14ac:dyDescent="0.2">
      <c r="B765" s="32"/>
      <c r="C765" s="24"/>
      <c r="D765" s="23"/>
      <c r="E765" s="23"/>
      <c r="F765" s="23"/>
      <c r="G765" s="23"/>
      <c r="H765" s="1"/>
    </row>
    <row r="766" spans="2:8" x14ac:dyDescent="0.2">
      <c r="B766" s="32"/>
      <c r="C766" s="24"/>
      <c r="D766" s="23"/>
      <c r="E766" s="23"/>
      <c r="F766" s="23"/>
      <c r="G766" s="23"/>
      <c r="H766" s="1"/>
    </row>
    <row r="767" spans="2:8" x14ac:dyDescent="0.2">
      <c r="B767" s="32"/>
      <c r="C767" s="24"/>
      <c r="D767" s="23"/>
      <c r="E767" s="23"/>
      <c r="F767" s="23"/>
      <c r="G767" s="23"/>
      <c r="H767" s="1"/>
    </row>
    <row r="768" spans="2:8" x14ac:dyDescent="0.2">
      <c r="B768" s="32"/>
      <c r="C768" s="24"/>
      <c r="D768" s="23"/>
      <c r="E768" s="23"/>
      <c r="F768" s="23"/>
      <c r="G768" s="23"/>
      <c r="H768" s="1"/>
    </row>
    <row r="769" spans="2:8" x14ac:dyDescent="0.2">
      <c r="B769" s="32"/>
      <c r="C769" s="24"/>
      <c r="D769" s="23"/>
      <c r="E769" s="23"/>
      <c r="F769" s="23"/>
      <c r="G769" s="23"/>
      <c r="H769" s="1"/>
    </row>
    <row r="770" spans="2:8" x14ac:dyDescent="0.2">
      <c r="B770" s="32"/>
      <c r="C770" s="24"/>
      <c r="D770" s="23"/>
      <c r="E770" s="23"/>
      <c r="F770" s="23"/>
      <c r="G770" s="23"/>
      <c r="H770" s="1"/>
    </row>
    <row r="771" spans="2:8" x14ac:dyDescent="0.2">
      <c r="B771" s="32"/>
      <c r="C771" s="24"/>
      <c r="D771" s="23"/>
      <c r="E771" s="23"/>
      <c r="F771" s="23"/>
      <c r="G771" s="23"/>
      <c r="H771" s="1"/>
    </row>
    <row r="772" spans="2:8" x14ac:dyDescent="0.2">
      <c r="B772" s="32"/>
      <c r="C772" s="24"/>
      <c r="D772" s="23"/>
      <c r="E772" s="23"/>
      <c r="F772" s="23"/>
      <c r="G772" s="23"/>
      <c r="H772" s="1"/>
    </row>
    <row r="773" spans="2:8" x14ac:dyDescent="0.2">
      <c r="B773" s="32"/>
      <c r="C773" s="24"/>
      <c r="D773" s="23"/>
      <c r="E773" s="23"/>
      <c r="F773" s="23"/>
      <c r="G773" s="23"/>
      <c r="H773" s="1"/>
    </row>
    <row r="774" spans="2:8" x14ac:dyDescent="0.2">
      <c r="B774" s="32"/>
      <c r="C774" s="24"/>
      <c r="D774" s="23"/>
      <c r="E774" s="23"/>
      <c r="F774" s="23"/>
      <c r="G774" s="23"/>
      <c r="H774" s="1"/>
    </row>
    <row r="775" spans="2:8" x14ac:dyDescent="0.2">
      <c r="B775" s="32"/>
      <c r="C775" s="24"/>
      <c r="D775" s="23"/>
      <c r="E775" s="23"/>
      <c r="F775" s="23"/>
      <c r="G775" s="23"/>
      <c r="H775" s="1"/>
    </row>
    <row r="776" spans="2:8" x14ac:dyDescent="0.2">
      <c r="B776" s="32"/>
      <c r="C776" s="24"/>
      <c r="D776" s="23"/>
      <c r="E776" s="23"/>
      <c r="F776" s="23"/>
      <c r="G776" s="23"/>
      <c r="H776" s="1"/>
    </row>
    <row r="777" spans="2:8" x14ac:dyDescent="0.2">
      <c r="B777" s="32"/>
      <c r="C777" s="24"/>
      <c r="D777" s="23"/>
      <c r="E777" s="23"/>
      <c r="F777" s="23"/>
      <c r="G777" s="23"/>
      <c r="H777" s="1"/>
    </row>
    <row r="778" spans="2:8" x14ac:dyDescent="0.2">
      <c r="B778" s="32"/>
      <c r="C778" s="24"/>
      <c r="D778" s="23"/>
      <c r="E778" s="23"/>
      <c r="F778" s="23"/>
      <c r="G778" s="23"/>
      <c r="H778" s="1"/>
    </row>
    <row r="779" spans="2:8" x14ac:dyDescent="0.2">
      <c r="B779" s="32"/>
      <c r="C779" s="24"/>
      <c r="D779" s="23"/>
      <c r="E779" s="23"/>
      <c r="F779" s="23"/>
      <c r="G779" s="23"/>
      <c r="H779" s="1"/>
    </row>
    <row r="780" spans="2:8" x14ac:dyDescent="0.2">
      <c r="B780" s="32"/>
      <c r="C780" s="24"/>
      <c r="D780" s="23"/>
      <c r="E780" s="23"/>
      <c r="F780" s="23"/>
      <c r="G780" s="23"/>
      <c r="H780" s="1"/>
    </row>
    <row r="781" spans="2:8" x14ac:dyDescent="0.2">
      <c r="B781" s="32"/>
      <c r="C781" s="24"/>
      <c r="D781" s="23"/>
      <c r="E781" s="23"/>
      <c r="F781" s="23"/>
      <c r="G781" s="23"/>
      <c r="H781" s="1"/>
    </row>
    <row r="782" spans="2:8" x14ac:dyDescent="0.2">
      <c r="B782" s="32"/>
      <c r="C782" s="24"/>
      <c r="D782" s="23"/>
      <c r="E782" s="23"/>
      <c r="F782" s="23"/>
      <c r="G782" s="23"/>
      <c r="H782" s="1"/>
    </row>
    <row r="783" spans="2:8" x14ac:dyDescent="0.2">
      <c r="B783" s="32"/>
      <c r="C783" s="24"/>
      <c r="D783" s="23"/>
      <c r="E783" s="23"/>
      <c r="F783" s="23"/>
      <c r="G783" s="23"/>
      <c r="H783" s="1"/>
    </row>
    <row r="784" spans="2:8" x14ac:dyDescent="0.2">
      <c r="B784" s="32"/>
      <c r="C784" s="24"/>
      <c r="D784" s="23"/>
      <c r="E784" s="23"/>
      <c r="F784" s="23"/>
      <c r="G784" s="23"/>
      <c r="H784" s="1"/>
    </row>
    <row r="785" spans="2:8" x14ac:dyDescent="0.2">
      <c r="B785" s="32"/>
      <c r="C785" s="24"/>
      <c r="D785" s="23"/>
      <c r="E785" s="23"/>
      <c r="F785" s="23"/>
      <c r="G785" s="23"/>
      <c r="H785" s="1"/>
    </row>
    <row r="786" spans="2:8" x14ac:dyDescent="0.2">
      <c r="B786" s="32"/>
      <c r="C786" s="24"/>
      <c r="D786" s="23"/>
      <c r="E786" s="23"/>
      <c r="F786" s="23"/>
      <c r="G786" s="23"/>
      <c r="H786" s="1"/>
    </row>
    <row r="787" spans="2:8" x14ac:dyDescent="0.2">
      <c r="B787" s="32"/>
      <c r="C787" s="24"/>
      <c r="D787" s="23"/>
      <c r="E787" s="23"/>
      <c r="F787" s="23"/>
      <c r="G787" s="23"/>
      <c r="H787" s="1"/>
    </row>
    <row r="788" spans="2:8" x14ac:dyDescent="0.2">
      <c r="B788" s="32"/>
      <c r="C788" s="24"/>
      <c r="D788" s="23"/>
      <c r="E788" s="23"/>
      <c r="F788" s="23"/>
      <c r="G788" s="23"/>
      <c r="H788" s="1"/>
    </row>
    <row r="789" spans="2:8" x14ac:dyDescent="0.2">
      <c r="B789" s="32"/>
      <c r="C789" s="24"/>
      <c r="D789" s="23"/>
      <c r="E789" s="23"/>
      <c r="F789" s="23"/>
      <c r="G789" s="23"/>
      <c r="H789" s="1"/>
    </row>
    <row r="790" spans="2:8" x14ac:dyDescent="0.2">
      <c r="B790" s="32"/>
      <c r="C790" s="24"/>
      <c r="D790" s="23"/>
      <c r="E790" s="23"/>
      <c r="F790" s="23"/>
      <c r="G790" s="23"/>
      <c r="H790" s="1"/>
    </row>
    <row r="791" spans="2:8" x14ac:dyDescent="0.2">
      <c r="B791" s="32"/>
      <c r="C791" s="24"/>
      <c r="D791" s="23"/>
      <c r="E791" s="23"/>
      <c r="F791" s="23"/>
      <c r="G791" s="23"/>
      <c r="H791" s="1"/>
    </row>
    <row r="792" spans="2:8" x14ac:dyDescent="0.2">
      <c r="B792" s="32"/>
      <c r="C792" s="24"/>
      <c r="D792" s="23"/>
      <c r="E792" s="23"/>
      <c r="F792" s="23"/>
      <c r="G792" s="23"/>
      <c r="H792" s="1"/>
    </row>
    <row r="793" spans="2:8" x14ac:dyDescent="0.2">
      <c r="B793" s="32"/>
      <c r="C793" s="24"/>
      <c r="D793" s="23"/>
      <c r="E793" s="23"/>
      <c r="F793" s="23"/>
      <c r="G793" s="23"/>
      <c r="H793" s="1"/>
    </row>
    <row r="794" spans="2:8" x14ac:dyDescent="0.2">
      <c r="B794" s="32"/>
      <c r="C794" s="24"/>
      <c r="D794" s="23"/>
      <c r="E794" s="23"/>
      <c r="F794" s="23"/>
      <c r="G794" s="23"/>
      <c r="H794" s="1"/>
    </row>
    <row r="795" spans="2:8" x14ac:dyDescent="0.2">
      <c r="B795" s="32"/>
      <c r="C795" s="24"/>
      <c r="D795" s="23"/>
      <c r="E795" s="23"/>
      <c r="F795" s="23"/>
      <c r="G795" s="23"/>
      <c r="H795" s="1"/>
    </row>
    <row r="796" spans="2:8" x14ac:dyDescent="0.2">
      <c r="B796" s="32"/>
      <c r="C796" s="24"/>
      <c r="D796" s="23"/>
      <c r="E796" s="23"/>
      <c r="F796" s="23"/>
      <c r="G796" s="23"/>
      <c r="H796" s="1"/>
    </row>
    <row r="797" spans="2:8" x14ac:dyDescent="0.2">
      <c r="B797" s="32"/>
      <c r="C797" s="24"/>
      <c r="D797" s="23"/>
      <c r="E797" s="23"/>
      <c r="F797" s="23"/>
      <c r="G797" s="23"/>
      <c r="H797" s="1"/>
    </row>
    <row r="798" spans="2:8" x14ac:dyDescent="0.2">
      <c r="B798" s="32"/>
      <c r="C798" s="24"/>
      <c r="D798" s="23"/>
      <c r="E798" s="23"/>
      <c r="F798" s="23"/>
      <c r="G798" s="23"/>
      <c r="H798" s="1"/>
    </row>
    <row r="799" spans="2:8" x14ac:dyDescent="0.2">
      <c r="B799" s="32"/>
      <c r="C799" s="24"/>
      <c r="D799" s="23"/>
      <c r="E799" s="23"/>
      <c r="F799" s="23"/>
      <c r="G799" s="23"/>
      <c r="H799" s="1"/>
    </row>
    <row r="800" spans="2:8" x14ac:dyDescent="0.2">
      <c r="B800" s="32"/>
      <c r="C800" s="24"/>
      <c r="D800" s="23"/>
      <c r="E800" s="23"/>
      <c r="F800" s="23"/>
      <c r="G800" s="23"/>
      <c r="H800" s="1"/>
    </row>
    <row r="801" spans="2:8" x14ac:dyDescent="0.2">
      <c r="B801" s="32"/>
      <c r="C801" s="24"/>
      <c r="D801" s="23"/>
      <c r="E801" s="23"/>
      <c r="F801" s="23"/>
      <c r="G801" s="23"/>
      <c r="H801" s="1"/>
    </row>
    <row r="802" spans="2:8" x14ac:dyDescent="0.2">
      <c r="B802" s="32"/>
      <c r="C802" s="24"/>
      <c r="D802" s="23"/>
      <c r="E802" s="23"/>
      <c r="F802" s="23"/>
      <c r="G802" s="23"/>
      <c r="H802" s="1"/>
    </row>
    <row r="803" spans="2:8" x14ac:dyDescent="0.2">
      <c r="B803" s="32"/>
      <c r="C803" s="24"/>
      <c r="D803" s="23"/>
      <c r="E803" s="23"/>
      <c r="F803" s="23"/>
      <c r="G803" s="23"/>
      <c r="H803" s="1"/>
    </row>
    <row r="804" spans="2:8" x14ac:dyDescent="0.2">
      <c r="B804" s="32"/>
      <c r="C804" s="24"/>
      <c r="D804" s="23"/>
      <c r="E804" s="23"/>
      <c r="F804" s="23"/>
      <c r="G804" s="23"/>
      <c r="H804" s="1"/>
    </row>
    <row r="805" spans="2:8" x14ac:dyDescent="0.2">
      <c r="B805" s="32"/>
      <c r="C805" s="24"/>
      <c r="D805" s="23"/>
      <c r="E805" s="23"/>
      <c r="F805" s="23"/>
      <c r="G805" s="23"/>
      <c r="H805" s="1"/>
    </row>
    <row r="806" spans="2:8" x14ac:dyDescent="0.2">
      <c r="B806" s="32"/>
      <c r="C806" s="24"/>
      <c r="D806" s="23"/>
      <c r="E806" s="23"/>
      <c r="F806" s="23"/>
      <c r="G806" s="23"/>
      <c r="H806" s="1"/>
    </row>
    <row r="807" spans="2:8" x14ac:dyDescent="0.2">
      <c r="B807" s="32"/>
      <c r="C807" s="24"/>
      <c r="D807" s="23"/>
      <c r="E807" s="23"/>
      <c r="F807" s="23"/>
      <c r="G807" s="23"/>
      <c r="H807" s="1"/>
    </row>
    <row r="808" spans="2:8" x14ac:dyDescent="0.2">
      <c r="B808" s="32"/>
      <c r="C808" s="24"/>
      <c r="D808" s="23"/>
      <c r="E808" s="23"/>
      <c r="F808" s="23"/>
      <c r="G808" s="23"/>
      <c r="H808" s="1"/>
    </row>
    <row r="809" spans="2:8" x14ac:dyDescent="0.2">
      <c r="B809" s="32"/>
      <c r="C809" s="24"/>
      <c r="D809" s="23"/>
      <c r="E809" s="23"/>
      <c r="F809" s="23"/>
      <c r="G809" s="23"/>
      <c r="H809" s="1"/>
    </row>
    <row r="810" spans="2:8" x14ac:dyDescent="0.2">
      <c r="B810" s="32"/>
      <c r="C810" s="24"/>
      <c r="D810" s="23"/>
      <c r="E810" s="23"/>
      <c r="F810" s="23"/>
      <c r="G810" s="23"/>
      <c r="H810" s="1"/>
    </row>
    <row r="811" spans="2:8" x14ac:dyDescent="0.2">
      <c r="B811" s="32"/>
      <c r="C811" s="24"/>
      <c r="D811" s="23"/>
      <c r="E811" s="23"/>
      <c r="F811" s="23"/>
      <c r="G811" s="23"/>
      <c r="H811" s="1"/>
    </row>
    <row r="812" spans="2:8" x14ac:dyDescent="0.2">
      <c r="B812" s="32"/>
      <c r="C812" s="24"/>
      <c r="D812" s="23"/>
      <c r="E812" s="23"/>
      <c r="F812" s="23"/>
      <c r="G812" s="23"/>
      <c r="H812" s="1"/>
    </row>
    <row r="813" spans="2:8" x14ac:dyDescent="0.2">
      <c r="B813" s="32"/>
      <c r="C813" s="24"/>
      <c r="D813" s="23"/>
      <c r="E813" s="23"/>
      <c r="F813" s="23"/>
      <c r="G813" s="23"/>
      <c r="H813" s="1"/>
    </row>
    <row r="814" spans="2:8" x14ac:dyDescent="0.2">
      <c r="B814" s="32"/>
      <c r="C814" s="24"/>
      <c r="D814" s="23"/>
      <c r="E814" s="23"/>
      <c r="F814" s="23"/>
      <c r="G814" s="23"/>
      <c r="H814" s="1"/>
    </row>
    <row r="815" spans="2:8" x14ac:dyDescent="0.2">
      <c r="B815" s="32"/>
      <c r="C815" s="24"/>
      <c r="D815" s="23"/>
      <c r="E815" s="23"/>
      <c r="F815" s="23"/>
      <c r="G815" s="23"/>
      <c r="H815" s="1"/>
    </row>
    <row r="816" spans="2:8" x14ac:dyDescent="0.2">
      <c r="B816" s="32"/>
      <c r="C816" s="24"/>
      <c r="D816" s="23"/>
      <c r="E816" s="23"/>
      <c r="F816" s="23"/>
      <c r="G816" s="23"/>
      <c r="H816" s="1"/>
    </row>
    <row r="817" spans="2:8" x14ac:dyDescent="0.2">
      <c r="B817" s="32"/>
      <c r="C817" s="24"/>
      <c r="D817" s="23"/>
      <c r="E817" s="23"/>
      <c r="F817" s="23"/>
      <c r="G817" s="23"/>
      <c r="H817" s="1"/>
    </row>
    <row r="818" spans="2:8" x14ac:dyDescent="0.2">
      <c r="B818" s="32"/>
      <c r="C818" s="24"/>
      <c r="D818" s="23"/>
      <c r="E818" s="23"/>
      <c r="F818" s="23"/>
      <c r="G818" s="23"/>
      <c r="H818" s="1"/>
    </row>
    <row r="819" spans="2:8" x14ac:dyDescent="0.2">
      <c r="B819" s="32"/>
      <c r="C819" s="24"/>
      <c r="D819" s="23"/>
      <c r="E819" s="23"/>
      <c r="F819" s="23"/>
      <c r="G819" s="23"/>
      <c r="H819" s="1"/>
    </row>
    <row r="820" spans="2:8" x14ac:dyDescent="0.2">
      <c r="B820" s="32"/>
      <c r="C820" s="24"/>
      <c r="D820" s="23"/>
      <c r="E820" s="23"/>
      <c r="F820" s="23"/>
      <c r="G820" s="23"/>
      <c r="H820" s="1"/>
    </row>
    <row r="821" spans="2:8" x14ac:dyDescent="0.2">
      <c r="B821" s="32"/>
      <c r="C821" s="24"/>
      <c r="D821" s="23"/>
      <c r="E821" s="23"/>
      <c r="F821" s="23"/>
      <c r="G821" s="23"/>
      <c r="H821" s="1"/>
    </row>
    <row r="822" spans="2:8" x14ac:dyDescent="0.2">
      <c r="B822" s="32"/>
      <c r="C822" s="24"/>
      <c r="D822" s="23"/>
      <c r="E822" s="23"/>
      <c r="F822" s="23"/>
      <c r="G822" s="23"/>
      <c r="H822" s="1"/>
    </row>
    <row r="823" spans="2:8" x14ac:dyDescent="0.2">
      <c r="B823" s="32"/>
      <c r="C823" s="24"/>
      <c r="D823" s="23"/>
      <c r="E823" s="23"/>
      <c r="F823" s="23"/>
      <c r="G823" s="23"/>
      <c r="H823" s="1"/>
    </row>
    <row r="824" spans="2:8" x14ac:dyDescent="0.2">
      <c r="B824" s="32"/>
      <c r="C824" s="24"/>
      <c r="D824" s="23"/>
      <c r="E824" s="23"/>
      <c r="F824" s="23"/>
      <c r="G824" s="23"/>
      <c r="H824" s="1"/>
    </row>
    <row r="825" spans="2:8" x14ac:dyDescent="0.2">
      <c r="B825" s="32"/>
      <c r="C825" s="24"/>
      <c r="D825" s="23"/>
      <c r="E825" s="23"/>
      <c r="F825" s="23"/>
      <c r="G825" s="23"/>
      <c r="H825" s="1"/>
    </row>
    <row r="826" spans="2:8" x14ac:dyDescent="0.2">
      <c r="B826" s="32"/>
      <c r="C826" s="24"/>
      <c r="D826" s="23"/>
      <c r="E826" s="23"/>
      <c r="F826" s="23"/>
      <c r="G826" s="23"/>
      <c r="H826" s="1"/>
    </row>
    <row r="827" spans="2:8" x14ac:dyDescent="0.2">
      <c r="B827" s="32"/>
      <c r="C827" s="24"/>
      <c r="D827" s="23"/>
      <c r="E827" s="23"/>
      <c r="F827" s="23"/>
      <c r="G827" s="23"/>
      <c r="H827" s="1"/>
    </row>
    <row r="828" spans="2:8" x14ac:dyDescent="0.2">
      <c r="B828" s="32"/>
      <c r="C828" s="24"/>
      <c r="D828" s="23"/>
      <c r="E828" s="23"/>
      <c r="F828" s="23"/>
      <c r="G828" s="23"/>
      <c r="H828" s="1"/>
    </row>
    <row r="829" spans="2:8" x14ac:dyDescent="0.2">
      <c r="B829" s="32"/>
      <c r="C829" s="24"/>
      <c r="D829" s="23"/>
      <c r="E829" s="23"/>
      <c r="F829" s="23"/>
      <c r="G829" s="23"/>
      <c r="H829" s="1"/>
    </row>
    <row r="830" spans="2:8" x14ac:dyDescent="0.2">
      <c r="B830" s="32"/>
      <c r="C830" s="24"/>
      <c r="D830" s="23"/>
      <c r="E830" s="23"/>
      <c r="F830" s="23"/>
      <c r="G830" s="23"/>
      <c r="H830" s="1"/>
    </row>
    <row r="831" spans="2:8" x14ac:dyDescent="0.2">
      <c r="B831" s="32"/>
      <c r="C831" s="24"/>
      <c r="D831" s="23"/>
      <c r="E831" s="23"/>
      <c r="F831" s="23"/>
      <c r="G831" s="23"/>
      <c r="H831" s="1"/>
    </row>
    <row r="832" spans="2:8" x14ac:dyDescent="0.2">
      <c r="B832" s="32"/>
      <c r="C832" s="24"/>
      <c r="D832" s="23"/>
      <c r="E832" s="23"/>
      <c r="F832" s="23"/>
      <c r="G832" s="23"/>
      <c r="H832" s="1"/>
    </row>
    <row r="833" spans="2:8" x14ac:dyDescent="0.2">
      <c r="B833" s="32"/>
      <c r="C833" s="24"/>
      <c r="D833" s="23"/>
      <c r="E833" s="23"/>
      <c r="F833" s="23"/>
      <c r="G833" s="23"/>
      <c r="H833" s="1"/>
    </row>
    <row r="834" spans="2:8" x14ac:dyDescent="0.2">
      <c r="B834" s="32"/>
      <c r="C834" s="24"/>
      <c r="D834" s="23"/>
      <c r="E834" s="23"/>
      <c r="F834" s="23"/>
      <c r="G834" s="23"/>
      <c r="H834" s="1"/>
    </row>
    <row r="835" spans="2:8" x14ac:dyDescent="0.2">
      <c r="B835" s="32"/>
      <c r="C835" s="24"/>
      <c r="D835" s="23"/>
      <c r="E835" s="23"/>
      <c r="F835" s="23"/>
      <c r="G835" s="23"/>
      <c r="H835" s="1"/>
    </row>
    <row r="836" spans="2:8" x14ac:dyDescent="0.2">
      <c r="B836" s="32"/>
      <c r="C836" s="24"/>
      <c r="D836" s="23"/>
      <c r="E836" s="23"/>
      <c r="F836" s="23"/>
      <c r="G836" s="23"/>
      <c r="H836" s="1"/>
    </row>
    <row r="837" spans="2:8" x14ac:dyDescent="0.2">
      <c r="B837" s="32"/>
      <c r="C837" s="24"/>
      <c r="D837" s="23"/>
      <c r="E837" s="23"/>
      <c r="F837" s="23"/>
      <c r="G837" s="23"/>
      <c r="H837" s="1"/>
    </row>
    <row r="838" spans="2:8" x14ac:dyDescent="0.2">
      <c r="B838" s="32"/>
      <c r="C838" s="24"/>
      <c r="D838" s="23"/>
      <c r="E838" s="23"/>
      <c r="F838" s="23"/>
      <c r="G838" s="23"/>
      <c r="H838" s="1"/>
    </row>
    <row r="839" spans="2:8" x14ac:dyDescent="0.2">
      <c r="B839" s="32"/>
      <c r="C839" s="24"/>
      <c r="D839" s="23"/>
      <c r="E839" s="23"/>
      <c r="F839" s="23"/>
      <c r="G839" s="23"/>
      <c r="H839" s="1"/>
    </row>
    <row r="840" spans="2:8" x14ac:dyDescent="0.2">
      <c r="B840" s="32"/>
      <c r="C840" s="24"/>
      <c r="D840" s="23"/>
      <c r="E840" s="23"/>
      <c r="F840" s="23"/>
      <c r="G840" s="23"/>
      <c r="H840" s="1"/>
    </row>
    <row r="841" spans="2:8" x14ac:dyDescent="0.2">
      <c r="B841" s="32"/>
      <c r="C841" s="24"/>
      <c r="D841" s="23"/>
      <c r="E841" s="23"/>
      <c r="F841" s="23"/>
      <c r="G841" s="23"/>
      <c r="H841" s="1"/>
    </row>
    <row r="842" spans="2:8" x14ac:dyDescent="0.2">
      <c r="B842" s="32"/>
      <c r="C842" s="24"/>
      <c r="D842" s="23"/>
      <c r="E842" s="23"/>
      <c r="F842" s="23"/>
      <c r="G842" s="23"/>
      <c r="H842" s="1"/>
    </row>
    <row r="843" spans="2:8" x14ac:dyDescent="0.2">
      <c r="B843" s="32"/>
      <c r="C843" s="24"/>
      <c r="D843" s="23"/>
      <c r="E843" s="23"/>
      <c r="F843" s="23"/>
      <c r="G843" s="23"/>
      <c r="H843" s="1"/>
    </row>
    <row r="844" spans="2:8" x14ac:dyDescent="0.2">
      <c r="B844" s="32"/>
      <c r="C844" s="24"/>
      <c r="D844" s="23"/>
      <c r="E844" s="23"/>
      <c r="F844" s="23"/>
      <c r="G844" s="23"/>
      <c r="H844" s="1"/>
    </row>
    <row r="845" spans="2:8" x14ac:dyDescent="0.2">
      <c r="B845" s="32"/>
      <c r="C845" s="24"/>
      <c r="D845" s="23"/>
      <c r="E845" s="23"/>
      <c r="F845" s="23"/>
      <c r="G845" s="23"/>
      <c r="H845" s="1"/>
    </row>
    <row r="846" spans="2:8" x14ac:dyDescent="0.2">
      <c r="B846" s="32"/>
      <c r="C846" s="24"/>
      <c r="D846" s="23"/>
      <c r="E846" s="23"/>
      <c r="F846" s="23"/>
      <c r="G846" s="23"/>
      <c r="H846" s="1"/>
    </row>
    <row r="847" spans="2:8" x14ac:dyDescent="0.2">
      <c r="B847" s="32"/>
      <c r="C847" s="24"/>
      <c r="D847" s="23"/>
      <c r="E847" s="23"/>
      <c r="F847" s="23"/>
      <c r="G847" s="23"/>
      <c r="H847" s="1"/>
    </row>
    <row r="848" spans="2:8" x14ac:dyDescent="0.2">
      <c r="B848" s="32"/>
      <c r="C848" s="24"/>
      <c r="D848" s="23"/>
      <c r="E848" s="23"/>
      <c r="F848" s="23"/>
      <c r="G848" s="23"/>
      <c r="H848" s="1"/>
    </row>
    <row r="849" spans="2:8" x14ac:dyDescent="0.2">
      <c r="B849" s="32"/>
      <c r="C849" s="24"/>
      <c r="D849" s="23"/>
      <c r="E849" s="23"/>
      <c r="F849" s="23"/>
      <c r="G849" s="23"/>
      <c r="H849" s="1"/>
    </row>
    <row r="850" spans="2:8" x14ac:dyDescent="0.2">
      <c r="B850" s="32"/>
      <c r="C850" s="24"/>
      <c r="D850" s="23"/>
      <c r="E850" s="23"/>
      <c r="F850" s="23"/>
      <c r="G850" s="23"/>
      <c r="H850" s="1"/>
    </row>
    <row r="851" spans="2:8" x14ac:dyDescent="0.2">
      <c r="B851" s="32"/>
      <c r="C851" s="24"/>
      <c r="D851" s="23"/>
      <c r="E851" s="23"/>
      <c r="F851" s="23"/>
      <c r="G851" s="23"/>
      <c r="H851" s="1"/>
    </row>
    <row r="852" spans="2:8" x14ac:dyDescent="0.2">
      <c r="B852" s="32"/>
      <c r="C852" s="24"/>
      <c r="D852" s="23"/>
      <c r="E852" s="23"/>
      <c r="F852" s="23"/>
      <c r="G852" s="23"/>
      <c r="H852" s="1"/>
    </row>
    <row r="853" spans="2:8" x14ac:dyDescent="0.2">
      <c r="B853" s="32"/>
      <c r="C853" s="24"/>
      <c r="D853" s="23"/>
      <c r="E853" s="23"/>
      <c r="F853" s="23"/>
      <c r="G853" s="23"/>
      <c r="H853" s="1"/>
    </row>
    <row r="854" spans="2:8" x14ac:dyDescent="0.2">
      <c r="B854" s="32"/>
      <c r="C854" s="24"/>
      <c r="D854" s="23"/>
      <c r="E854" s="23"/>
      <c r="F854" s="23"/>
      <c r="G854" s="23"/>
      <c r="H854" s="1"/>
    </row>
    <row r="855" spans="2:8" x14ac:dyDescent="0.2">
      <c r="B855" s="32"/>
      <c r="C855" s="24"/>
      <c r="D855" s="23"/>
      <c r="E855" s="23"/>
      <c r="F855" s="23"/>
      <c r="G855" s="23"/>
      <c r="H855" s="1"/>
    </row>
    <row r="856" spans="2:8" x14ac:dyDescent="0.2">
      <c r="B856" s="32"/>
      <c r="C856" s="24"/>
      <c r="D856" s="23"/>
      <c r="E856" s="23"/>
      <c r="F856" s="23"/>
      <c r="G856" s="23"/>
      <c r="H856" s="1"/>
    </row>
    <row r="857" spans="2:8" x14ac:dyDescent="0.2">
      <c r="B857" s="32"/>
      <c r="C857" s="24"/>
      <c r="D857" s="23"/>
      <c r="E857" s="23"/>
      <c r="F857" s="23"/>
      <c r="G857" s="23"/>
      <c r="H857" s="1"/>
    </row>
    <row r="858" spans="2:8" x14ac:dyDescent="0.2">
      <c r="B858" s="32"/>
      <c r="C858" s="24"/>
      <c r="D858" s="23"/>
      <c r="E858" s="23"/>
      <c r="F858" s="23"/>
      <c r="G858" s="23"/>
      <c r="H858" s="1"/>
    </row>
    <row r="859" spans="2:8" x14ac:dyDescent="0.2">
      <c r="B859" s="32"/>
      <c r="C859" s="24"/>
      <c r="D859" s="23"/>
      <c r="E859" s="23"/>
      <c r="F859" s="23"/>
      <c r="G859" s="23"/>
      <c r="H859" s="1"/>
    </row>
    <row r="860" spans="2:8" x14ac:dyDescent="0.2">
      <c r="B860" s="32"/>
      <c r="C860" s="24"/>
      <c r="D860" s="23"/>
      <c r="E860" s="23"/>
      <c r="F860" s="23"/>
      <c r="G860" s="23"/>
      <c r="H860" s="1"/>
    </row>
    <row r="861" spans="2:8" x14ac:dyDescent="0.2">
      <c r="B861" s="32"/>
      <c r="C861" s="24"/>
      <c r="D861" s="23"/>
      <c r="E861" s="23"/>
      <c r="F861" s="23"/>
      <c r="G861" s="23"/>
      <c r="H861" s="1"/>
    </row>
    <row r="862" spans="2:8" x14ac:dyDescent="0.2">
      <c r="B862" s="32"/>
      <c r="C862" s="24"/>
      <c r="D862" s="23"/>
      <c r="E862" s="23"/>
      <c r="F862" s="23"/>
      <c r="G862" s="23"/>
      <c r="H862" s="1"/>
    </row>
    <row r="863" spans="2:8" x14ac:dyDescent="0.2">
      <c r="B863" s="32"/>
      <c r="C863" s="24"/>
      <c r="D863" s="23"/>
      <c r="E863" s="23"/>
      <c r="F863" s="23"/>
      <c r="G863" s="23"/>
      <c r="H863" s="1"/>
    </row>
    <row r="864" spans="2:8" x14ac:dyDescent="0.2">
      <c r="B864" s="32"/>
      <c r="C864" s="24"/>
      <c r="D864" s="23"/>
      <c r="E864" s="23"/>
      <c r="F864" s="23"/>
      <c r="G864" s="23"/>
      <c r="H864" s="1"/>
    </row>
    <row r="865" spans="2:8" x14ac:dyDescent="0.2">
      <c r="B865" s="32"/>
      <c r="C865" s="24"/>
      <c r="D865" s="23"/>
      <c r="E865" s="23"/>
      <c r="F865" s="23"/>
      <c r="G865" s="23"/>
      <c r="H865" s="1"/>
    </row>
    <row r="866" spans="2:8" x14ac:dyDescent="0.2">
      <c r="B866" s="32"/>
      <c r="C866" s="24"/>
      <c r="D866" s="23"/>
      <c r="E866" s="23"/>
      <c r="F866" s="23"/>
      <c r="G866" s="23"/>
      <c r="H866" s="1"/>
    </row>
    <row r="867" spans="2:8" x14ac:dyDescent="0.2">
      <c r="B867" s="32"/>
      <c r="C867" s="24"/>
      <c r="D867" s="23"/>
      <c r="E867" s="23"/>
      <c r="F867" s="23"/>
      <c r="G867" s="23"/>
      <c r="H867" s="1"/>
    </row>
    <row r="868" spans="2:8" x14ac:dyDescent="0.2">
      <c r="B868" s="32"/>
      <c r="C868" s="24"/>
      <c r="D868" s="23"/>
      <c r="E868" s="23"/>
      <c r="F868" s="23"/>
      <c r="G868" s="23"/>
      <c r="H868" s="1"/>
    </row>
    <row r="869" spans="2:8" x14ac:dyDescent="0.2">
      <c r="B869" s="32"/>
      <c r="C869" s="24"/>
      <c r="D869" s="23"/>
      <c r="E869" s="23"/>
      <c r="F869" s="23"/>
      <c r="G869" s="23"/>
      <c r="H869" s="1"/>
    </row>
    <row r="870" spans="2:8" x14ac:dyDescent="0.2">
      <c r="B870" s="32"/>
      <c r="C870" s="24"/>
      <c r="D870" s="23"/>
      <c r="E870" s="23"/>
      <c r="F870" s="23"/>
      <c r="G870" s="23"/>
      <c r="H870" s="1"/>
    </row>
    <row r="871" spans="2:8" x14ac:dyDescent="0.2">
      <c r="B871" s="32"/>
      <c r="C871" s="24"/>
      <c r="D871" s="23"/>
      <c r="E871" s="23"/>
      <c r="F871" s="23"/>
      <c r="G871" s="23"/>
      <c r="H871" s="1"/>
    </row>
    <row r="872" spans="2:8" x14ac:dyDescent="0.2">
      <c r="B872" s="32"/>
      <c r="C872" s="24"/>
      <c r="D872" s="23"/>
      <c r="E872" s="23"/>
      <c r="F872" s="23"/>
      <c r="G872" s="23"/>
      <c r="H872" s="1"/>
    </row>
    <row r="873" spans="2:8" x14ac:dyDescent="0.2">
      <c r="B873" s="32"/>
      <c r="C873" s="24"/>
      <c r="D873" s="23"/>
      <c r="E873" s="23"/>
      <c r="F873" s="23"/>
      <c r="G873" s="23"/>
      <c r="H873" s="1"/>
    </row>
    <row r="874" spans="2:8" x14ac:dyDescent="0.2">
      <c r="B874" s="32"/>
      <c r="C874" s="24"/>
      <c r="D874" s="23"/>
      <c r="E874" s="23"/>
      <c r="F874" s="23"/>
      <c r="G874" s="23"/>
      <c r="H874" s="1"/>
    </row>
    <row r="875" spans="2:8" x14ac:dyDescent="0.2">
      <c r="B875" s="32"/>
      <c r="C875" s="24"/>
      <c r="D875" s="23"/>
      <c r="E875" s="23"/>
      <c r="F875" s="23"/>
      <c r="G875" s="23"/>
      <c r="H875" s="1"/>
    </row>
    <row r="876" spans="2:8" x14ac:dyDescent="0.2">
      <c r="B876" s="32"/>
      <c r="C876" s="24"/>
      <c r="D876" s="23"/>
      <c r="E876" s="23"/>
      <c r="F876" s="23"/>
      <c r="G876" s="23"/>
      <c r="H876" s="1"/>
    </row>
    <row r="877" spans="2:8" x14ac:dyDescent="0.2">
      <c r="B877" s="32"/>
      <c r="C877" s="24"/>
      <c r="D877" s="23"/>
      <c r="E877" s="23"/>
      <c r="F877" s="23"/>
      <c r="G877" s="23"/>
      <c r="H877" s="1"/>
    </row>
    <row r="878" spans="2:8" x14ac:dyDescent="0.2">
      <c r="B878" s="32"/>
      <c r="C878" s="24"/>
      <c r="D878" s="23"/>
      <c r="E878" s="23"/>
      <c r="F878" s="23"/>
      <c r="G878" s="23"/>
      <c r="H878" s="1"/>
    </row>
    <row r="879" spans="2:8" x14ac:dyDescent="0.2">
      <c r="B879" s="32"/>
      <c r="C879" s="24"/>
      <c r="D879" s="23"/>
      <c r="E879" s="23"/>
      <c r="F879" s="23"/>
      <c r="G879" s="23"/>
      <c r="H879" s="1"/>
    </row>
    <row r="880" spans="2:8" x14ac:dyDescent="0.2">
      <c r="B880" s="32"/>
      <c r="C880" s="24"/>
      <c r="D880" s="23"/>
      <c r="E880" s="23"/>
      <c r="F880" s="23"/>
      <c r="G880" s="23"/>
      <c r="H880" s="1"/>
    </row>
    <row r="881" spans="2:8" x14ac:dyDescent="0.2">
      <c r="B881" s="32"/>
      <c r="C881" s="24"/>
      <c r="D881" s="23"/>
      <c r="E881" s="23"/>
      <c r="F881" s="23"/>
      <c r="G881" s="23"/>
      <c r="H881" s="1"/>
    </row>
    <row r="882" spans="2:8" x14ac:dyDescent="0.2">
      <c r="B882" s="32"/>
      <c r="C882" s="24"/>
      <c r="D882" s="23"/>
      <c r="E882" s="23"/>
      <c r="F882" s="23"/>
      <c r="G882" s="23"/>
      <c r="H882" s="1"/>
    </row>
    <row r="883" spans="2:8" x14ac:dyDescent="0.2">
      <c r="B883" s="32"/>
      <c r="C883" s="24"/>
      <c r="D883" s="23"/>
      <c r="E883" s="23"/>
      <c r="F883" s="23"/>
      <c r="G883" s="23"/>
      <c r="H883" s="1"/>
    </row>
    <row r="884" spans="2:8" x14ac:dyDescent="0.2">
      <c r="B884" s="32"/>
      <c r="C884" s="24"/>
      <c r="D884" s="23"/>
      <c r="E884" s="23"/>
      <c r="F884" s="23"/>
      <c r="G884" s="23"/>
      <c r="H884" s="1"/>
    </row>
    <row r="885" spans="2:8" x14ac:dyDescent="0.2">
      <c r="B885" s="32"/>
      <c r="C885" s="24"/>
      <c r="D885" s="23"/>
      <c r="E885" s="23"/>
      <c r="F885" s="23"/>
      <c r="G885" s="23"/>
      <c r="H885" s="1"/>
    </row>
    <row r="886" spans="2:8" x14ac:dyDescent="0.2">
      <c r="B886" s="32"/>
      <c r="C886" s="24"/>
      <c r="D886" s="23"/>
      <c r="E886" s="23"/>
      <c r="F886" s="23"/>
      <c r="G886" s="23"/>
      <c r="H886" s="1"/>
    </row>
    <row r="887" spans="2:8" x14ac:dyDescent="0.2">
      <c r="B887" s="32"/>
      <c r="C887" s="24"/>
      <c r="D887" s="23"/>
      <c r="E887" s="23"/>
      <c r="F887" s="23"/>
      <c r="G887" s="23"/>
      <c r="H887" s="1"/>
    </row>
    <row r="888" spans="2:8" x14ac:dyDescent="0.2">
      <c r="B888" s="32"/>
      <c r="C888" s="24"/>
      <c r="D888" s="23"/>
      <c r="E888" s="23"/>
      <c r="F888" s="23"/>
      <c r="G888" s="23"/>
      <c r="H888" s="1"/>
    </row>
    <row r="889" spans="2:8" x14ac:dyDescent="0.2">
      <c r="B889" s="32"/>
      <c r="C889" s="24"/>
      <c r="D889" s="23"/>
      <c r="E889" s="23"/>
      <c r="F889" s="23"/>
      <c r="G889" s="23"/>
      <c r="H889" s="1"/>
    </row>
    <row r="890" spans="2:8" x14ac:dyDescent="0.2">
      <c r="B890" s="32"/>
      <c r="C890" s="24"/>
      <c r="D890" s="23"/>
      <c r="E890" s="23"/>
      <c r="F890" s="23"/>
      <c r="G890" s="23"/>
      <c r="H890" s="1"/>
    </row>
    <row r="891" spans="2:8" x14ac:dyDescent="0.2">
      <c r="B891" s="32"/>
      <c r="C891" s="24"/>
      <c r="D891" s="23"/>
      <c r="E891" s="23"/>
      <c r="F891" s="23"/>
      <c r="G891" s="23"/>
      <c r="H891" s="1"/>
    </row>
    <row r="892" spans="2:8" x14ac:dyDescent="0.2">
      <c r="B892" s="32"/>
      <c r="C892" s="24"/>
      <c r="D892" s="23"/>
      <c r="E892" s="23"/>
      <c r="F892" s="23"/>
      <c r="G892" s="23"/>
      <c r="H892" s="1"/>
    </row>
    <row r="893" spans="2:8" x14ac:dyDescent="0.2">
      <c r="B893" s="32"/>
      <c r="C893" s="24"/>
      <c r="D893" s="23"/>
      <c r="E893" s="23"/>
      <c r="F893" s="23"/>
      <c r="G893" s="23"/>
      <c r="H893" s="1"/>
    </row>
    <row r="894" spans="2:8" x14ac:dyDescent="0.2">
      <c r="B894" s="32"/>
      <c r="C894" s="24"/>
      <c r="D894" s="23"/>
      <c r="E894" s="23"/>
      <c r="F894" s="23"/>
      <c r="G894" s="23"/>
      <c r="H894" s="1"/>
    </row>
    <row r="895" spans="2:8" x14ac:dyDescent="0.2">
      <c r="B895" s="32"/>
      <c r="C895" s="24"/>
      <c r="D895" s="23"/>
      <c r="E895" s="23"/>
      <c r="F895" s="23"/>
      <c r="G895" s="23"/>
      <c r="H895" s="1"/>
    </row>
    <row r="896" spans="2:8" x14ac:dyDescent="0.2">
      <c r="B896" s="32"/>
      <c r="C896" s="24"/>
      <c r="D896" s="23"/>
      <c r="E896" s="23"/>
      <c r="F896" s="23"/>
      <c r="G896" s="23"/>
      <c r="H896" s="1"/>
    </row>
    <row r="897" spans="2:8" x14ac:dyDescent="0.2">
      <c r="B897" s="32"/>
      <c r="C897" s="24"/>
      <c r="D897" s="23"/>
      <c r="E897" s="23"/>
      <c r="F897" s="23"/>
      <c r="G897" s="23"/>
      <c r="H897" s="1"/>
    </row>
    <row r="898" spans="2:8" x14ac:dyDescent="0.2">
      <c r="B898" s="32"/>
      <c r="C898" s="24"/>
      <c r="D898" s="23"/>
      <c r="E898" s="23"/>
      <c r="F898" s="23"/>
      <c r="G898" s="23"/>
      <c r="H898" s="1"/>
    </row>
    <row r="899" spans="2:8" x14ac:dyDescent="0.2">
      <c r="B899" s="32"/>
      <c r="C899" s="24"/>
      <c r="D899" s="23"/>
      <c r="E899" s="23"/>
      <c r="F899" s="23"/>
      <c r="G899" s="23"/>
      <c r="H899" s="1"/>
    </row>
    <row r="900" spans="2:8" x14ac:dyDescent="0.2">
      <c r="B900" s="32"/>
      <c r="C900" s="24"/>
      <c r="D900" s="23"/>
      <c r="E900" s="23"/>
      <c r="F900" s="23"/>
      <c r="G900" s="23"/>
      <c r="H900" s="1"/>
    </row>
    <row r="901" spans="2:8" x14ac:dyDescent="0.2">
      <c r="B901" s="32"/>
      <c r="C901" s="24"/>
      <c r="D901" s="23"/>
      <c r="E901" s="23"/>
      <c r="F901" s="23"/>
      <c r="G901" s="23"/>
      <c r="H901" s="1"/>
    </row>
    <row r="902" spans="2:8" x14ac:dyDescent="0.2">
      <c r="B902" s="32"/>
      <c r="C902" s="24"/>
      <c r="D902" s="23"/>
      <c r="E902" s="23"/>
      <c r="F902" s="23"/>
      <c r="G902" s="23"/>
      <c r="H902" s="1"/>
    </row>
    <row r="903" spans="2:8" x14ac:dyDescent="0.2">
      <c r="B903" s="32"/>
      <c r="C903" s="24"/>
      <c r="D903" s="23"/>
      <c r="E903" s="23"/>
      <c r="F903" s="23"/>
      <c r="G903" s="23"/>
      <c r="H903" s="1"/>
    </row>
    <row r="904" spans="2:8" x14ac:dyDescent="0.2">
      <c r="B904" s="32"/>
      <c r="C904" s="24"/>
      <c r="D904" s="23"/>
      <c r="E904" s="23"/>
      <c r="F904" s="23"/>
      <c r="G904" s="23"/>
      <c r="H904" s="1"/>
    </row>
    <row r="905" spans="2:8" x14ac:dyDescent="0.2">
      <c r="B905" s="32"/>
      <c r="C905" s="24"/>
      <c r="D905" s="23"/>
      <c r="E905" s="23"/>
      <c r="F905" s="23"/>
      <c r="G905" s="23"/>
      <c r="H905" s="1"/>
    </row>
    <row r="906" spans="2:8" x14ac:dyDescent="0.2">
      <c r="B906" s="32"/>
      <c r="C906" s="24"/>
      <c r="D906" s="23"/>
      <c r="E906" s="23"/>
      <c r="F906" s="23"/>
      <c r="G906" s="23"/>
      <c r="H906" s="1"/>
    </row>
    <row r="907" spans="2:8" x14ac:dyDescent="0.2">
      <c r="B907" s="32"/>
      <c r="C907" s="24"/>
      <c r="D907" s="23"/>
      <c r="E907" s="23"/>
      <c r="F907" s="23"/>
      <c r="G907" s="23"/>
      <c r="H907" s="1"/>
    </row>
    <row r="908" spans="2:8" x14ac:dyDescent="0.2">
      <c r="B908" s="32"/>
      <c r="C908" s="24"/>
      <c r="D908" s="23"/>
      <c r="E908" s="23"/>
      <c r="F908" s="23"/>
      <c r="G908" s="23"/>
      <c r="H908" s="1"/>
    </row>
    <row r="909" spans="2:8" x14ac:dyDescent="0.2">
      <c r="B909" s="32"/>
      <c r="C909" s="24"/>
      <c r="D909" s="23"/>
      <c r="E909" s="23"/>
      <c r="F909" s="23"/>
      <c r="G909" s="23"/>
      <c r="H909" s="1"/>
    </row>
    <row r="910" spans="2:8" x14ac:dyDescent="0.2">
      <c r="B910" s="32"/>
      <c r="C910" s="24"/>
      <c r="D910" s="23"/>
      <c r="E910" s="23"/>
      <c r="F910" s="23"/>
      <c r="G910" s="23"/>
      <c r="H910" s="1"/>
    </row>
    <row r="911" spans="2:8" x14ac:dyDescent="0.2">
      <c r="B911" s="32"/>
      <c r="C911" s="24"/>
      <c r="D911" s="23"/>
      <c r="E911" s="23"/>
      <c r="F911" s="23"/>
      <c r="G911" s="23"/>
      <c r="H911" s="1"/>
    </row>
    <row r="912" spans="2:8" x14ac:dyDescent="0.2">
      <c r="B912" s="32"/>
      <c r="C912" s="24"/>
      <c r="D912" s="23"/>
      <c r="E912" s="23"/>
      <c r="F912" s="23"/>
      <c r="G912" s="23"/>
      <c r="H912" s="1"/>
    </row>
    <row r="913" spans="2:8" x14ac:dyDescent="0.2">
      <c r="B913" s="32"/>
      <c r="C913" s="24"/>
      <c r="D913" s="23"/>
      <c r="E913" s="23"/>
      <c r="F913" s="23"/>
      <c r="G913" s="23"/>
      <c r="H913" s="1"/>
    </row>
    <row r="914" spans="2:8" x14ac:dyDescent="0.2">
      <c r="B914" s="32"/>
      <c r="C914" s="24"/>
      <c r="D914" s="23"/>
      <c r="E914" s="23"/>
      <c r="F914" s="23"/>
      <c r="G914" s="23"/>
      <c r="H914" s="1"/>
    </row>
    <row r="915" spans="2:8" x14ac:dyDescent="0.2">
      <c r="B915" s="32"/>
      <c r="C915" s="24"/>
      <c r="D915" s="23"/>
      <c r="E915" s="23"/>
      <c r="F915" s="23"/>
      <c r="G915" s="23"/>
      <c r="H915" s="1"/>
    </row>
    <row r="916" spans="2:8" x14ac:dyDescent="0.2">
      <c r="B916" s="32"/>
      <c r="C916" s="24"/>
      <c r="D916" s="23"/>
      <c r="E916" s="23"/>
      <c r="F916" s="23"/>
      <c r="G916" s="23"/>
      <c r="H916" s="1"/>
    </row>
    <row r="917" spans="2:8" x14ac:dyDescent="0.2">
      <c r="B917" s="32"/>
      <c r="C917" s="24"/>
      <c r="D917" s="23"/>
      <c r="E917" s="23"/>
      <c r="F917" s="23"/>
      <c r="G917" s="23"/>
      <c r="H917" s="1"/>
    </row>
    <row r="918" spans="2:8" x14ac:dyDescent="0.2">
      <c r="B918" s="32"/>
      <c r="C918" s="24"/>
      <c r="D918" s="23"/>
      <c r="E918" s="23"/>
      <c r="F918" s="23"/>
      <c r="G918" s="23"/>
      <c r="H918" s="1"/>
    </row>
    <row r="919" spans="2:8" x14ac:dyDescent="0.2">
      <c r="B919" s="32"/>
      <c r="C919" s="24"/>
      <c r="D919" s="23"/>
      <c r="E919" s="23"/>
      <c r="F919" s="23"/>
      <c r="G919" s="23"/>
      <c r="H919" s="1"/>
    </row>
    <row r="920" spans="2:8" x14ac:dyDescent="0.2">
      <c r="B920" s="32"/>
      <c r="C920" s="24"/>
      <c r="D920" s="23"/>
      <c r="E920" s="23"/>
      <c r="F920" s="23"/>
      <c r="G920" s="23"/>
      <c r="H920" s="1"/>
    </row>
    <row r="921" spans="2:8" x14ac:dyDescent="0.2">
      <c r="B921" s="32"/>
      <c r="C921" s="24"/>
      <c r="D921" s="23"/>
      <c r="E921" s="23"/>
      <c r="F921" s="23"/>
      <c r="G921" s="23"/>
      <c r="H921" s="1"/>
    </row>
    <row r="922" spans="2:8" x14ac:dyDescent="0.2">
      <c r="B922" s="32"/>
      <c r="C922" s="24"/>
      <c r="D922" s="23"/>
      <c r="E922" s="23"/>
      <c r="F922" s="23"/>
      <c r="G922" s="23"/>
      <c r="H922" s="1"/>
    </row>
    <row r="923" spans="2:8" x14ac:dyDescent="0.2">
      <c r="B923" s="32"/>
      <c r="C923" s="24"/>
      <c r="D923" s="23"/>
      <c r="E923" s="23"/>
      <c r="F923" s="23"/>
      <c r="G923" s="23"/>
      <c r="H923" s="1"/>
    </row>
    <row r="924" spans="2:8" x14ac:dyDescent="0.2">
      <c r="B924" s="32"/>
      <c r="C924" s="24"/>
      <c r="D924" s="23"/>
      <c r="E924" s="23"/>
      <c r="F924" s="23"/>
      <c r="G924" s="23"/>
      <c r="H924" s="1"/>
    </row>
    <row r="925" spans="2:8" x14ac:dyDescent="0.2">
      <c r="B925" s="32"/>
      <c r="C925" s="24"/>
      <c r="D925" s="23"/>
      <c r="E925" s="23"/>
      <c r="F925" s="23"/>
      <c r="G925" s="23"/>
      <c r="H925" s="1"/>
    </row>
    <row r="926" spans="2:8" x14ac:dyDescent="0.2">
      <c r="B926" s="32"/>
      <c r="C926" s="24"/>
      <c r="D926" s="23"/>
      <c r="E926" s="23"/>
      <c r="F926" s="23"/>
      <c r="G926" s="23"/>
      <c r="H926" s="1"/>
    </row>
    <row r="927" spans="2:8" x14ac:dyDescent="0.2">
      <c r="B927" s="32"/>
      <c r="C927" s="24"/>
      <c r="D927" s="23"/>
      <c r="E927" s="23"/>
      <c r="F927" s="23"/>
      <c r="G927" s="23"/>
      <c r="H927" s="1"/>
    </row>
    <row r="928" spans="2:8" x14ac:dyDescent="0.2">
      <c r="B928" s="32"/>
      <c r="C928" s="24"/>
      <c r="D928" s="23"/>
      <c r="E928" s="23"/>
      <c r="F928" s="23"/>
      <c r="G928" s="23"/>
      <c r="H928" s="1"/>
    </row>
    <row r="929" spans="2:8" x14ac:dyDescent="0.2">
      <c r="B929" s="32"/>
      <c r="C929" s="24"/>
      <c r="D929" s="23"/>
      <c r="E929" s="23"/>
      <c r="F929" s="23"/>
      <c r="G929" s="23"/>
      <c r="H929" s="1"/>
    </row>
    <row r="930" spans="2:8" x14ac:dyDescent="0.2">
      <c r="B930" s="32"/>
      <c r="C930" s="24"/>
      <c r="D930" s="23"/>
      <c r="E930" s="23"/>
      <c r="F930" s="23"/>
      <c r="G930" s="23"/>
      <c r="H930" s="1"/>
    </row>
    <row r="931" spans="2:8" x14ac:dyDescent="0.2">
      <c r="B931" s="32"/>
      <c r="C931" s="24"/>
      <c r="D931" s="23"/>
      <c r="E931" s="23"/>
      <c r="F931" s="23"/>
      <c r="G931" s="23"/>
      <c r="H931" s="1"/>
    </row>
    <row r="932" spans="2:8" x14ac:dyDescent="0.2">
      <c r="B932" s="32"/>
      <c r="C932" s="24"/>
      <c r="D932" s="23"/>
      <c r="E932" s="23"/>
      <c r="F932" s="23"/>
      <c r="G932" s="23"/>
      <c r="H932" s="1"/>
    </row>
    <row r="933" spans="2:8" x14ac:dyDescent="0.2">
      <c r="B933" s="32"/>
      <c r="C933" s="24"/>
      <c r="D933" s="23"/>
      <c r="E933" s="23"/>
      <c r="F933" s="23"/>
      <c r="G933" s="23"/>
      <c r="H933" s="1"/>
    </row>
    <row r="934" spans="2:8" x14ac:dyDescent="0.2">
      <c r="B934" s="32"/>
      <c r="C934" s="24"/>
      <c r="D934" s="23"/>
      <c r="E934" s="23"/>
      <c r="F934" s="23"/>
      <c r="G934" s="23"/>
      <c r="H934" s="1"/>
    </row>
    <row r="935" spans="2:8" x14ac:dyDescent="0.2">
      <c r="B935" s="32"/>
      <c r="C935" s="24"/>
      <c r="D935" s="23"/>
      <c r="E935" s="23"/>
      <c r="F935" s="23"/>
      <c r="G935" s="23"/>
      <c r="H935" s="1"/>
    </row>
    <row r="936" spans="2:8" x14ac:dyDescent="0.2">
      <c r="B936" s="32"/>
      <c r="C936" s="24"/>
      <c r="D936" s="23"/>
      <c r="E936" s="23"/>
      <c r="F936" s="23"/>
      <c r="G936" s="23"/>
      <c r="H936" s="1"/>
    </row>
    <row r="937" spans="2:8" x14ac:dyDescent="0.2">
      <c r="B937" s="32"/>
      <c r="C937" s="24"/>
      <c r="D937" s="23"/>
      <c r="E937" s="23"/>
      <c r="F937" s="23"/>
      <c r="G937" s="23"/>
      <c r="H937" s="1"/>
    </row>
    <row r="938" spans="2:8" x14ac:dyDescent="0.2">
      <c r="B938" s="32"/>
      <c r="C938" s="24"/>
      <c r="D938" s="23"/>
      <c r="E938" s="23"/>
      <c r="F938" s="23"/>
      <c r="G938" s="23"/>
      <c r="H938" s="1"/>
    </row>
    <row r="939" spans="2:8" x14ac:dyDescent="0.2">
      <c r="B939" s="32"/>
      <c r="C939" s="24"/>
      <c r="D939" s="23"/>
      <c r="E939" s="23"/>
      <c r="F939" s="23"/>
      <c r="G939" s="23"/>
      <c r="H939" s="1"/>
    </row>
    <row r="940" spans="2:8" x14ac:dyDescent="0.2">
      <c r="B940" s="32"/>
      <c r="C940" s="24"/>
      <c r="D940" s="23"/>
      <c r="E940" s="23"/>
      <c r="F940" s="23"/>
      <c r="G940" s="23"/>
      <c r="H940" s="1"/>
    </row>
    <row r="941" spans="2:8" x14ac:dyDescent="0.2">
      <c r="B941" s="32"/>
      <c r="C941" s="24"/>
      <c r="D941" s="23"/>
      <c r="E941" s="23"/>
      <c r="F941" s="23"/>
      <c r="G941" s="23"/>
      <c r="H941" s="1"/>
    </row>
    <row r="942" spans="2:8" x14ac:dyDescent="0.2">
      <c r="B942" s="32"/>
      <c r="C942" s="24"/>
      <c r="D942" s="23"/>
      <c r="E942" s="23"/>
      <c r="F942" s="23"/>
      <c r="G942" s="23"/>
      <c r="H942" s="1"/>
    </row>
    <row r="943" spans="2:8" x14ac:dyDescent="0.2">
      <c r="B943" s="32"/>
      <c r="C943" s="24"/>
      <c r="D943" s="23"/>
      <c r="E943" s="23"/>
      <c r="F943" s="23"/>
      <c r="G943" s="23"/>
      <c r="H943" s="1"/>
    </row>
    <row r="944" spans="2:8" x14ac:dyDescent="0.2">
      <c r="B944" s="32"/>
      <c r="C944" s="24"/>
      <c r="D944" s="23"/>
      <c r="E944" s="23"/>
      <c r="F944" s="23"/>
      <c r="G944" s="23"/>
      <c r="H944" s="1"/>
    </row>
    <row r="945" spans="2:8" x14ac:dyDescent="0.2">
      <c r="B945" s="32"/>
      <c r="C945" s="24"/>
      <c r="D945" s="23"/>
      <c r="E945" s="23"/>
      <c r="F945" s="23"/>
      <c r="G945" s="23"/>
      <c r="H945" s="1"/>
    </row>
    <row r="946" spans="2:8" x14ac:dyDescent="0.2">
      <c r="B946" s="32"/>
      <c r="C946" s="24"/>
      <c r="D946" s="23"/>
      <c r="E946" s="23"/>
      <c r="F946" s="23"/>
      <c r="G946" s="23"/>
      <c r="H946" s="1"/>
    </row>
    <row r="947" spans="2:8" x14ac:dyDescent="0.2">
      <c r="B947" s="32"/>
      <c r="C947" s="24"/>
      <c r="D947" s="23"/>
      <c r="E947" s="23"/>
      <c r="F947" s="23"/>
      <c r="G947" s="23"/>
      <c r="H947" s="1"/>
    </row>
    <row r="948" spans="2:8" x14ac:dyDescent="0.2">
      <c r="B948" s="32"/>
      <c r="C948" s="24"/>
      <c r="D948" s="23"/>
      <c r="E948" s="23"/>
      <c r="F948" s="23"/>
      <c r="G948" s="23"/>
      <c r="H948" s="1"/>
    </row>
    <row r="949" spans="2:8" x14ac:dyDescent="0.2">
      <c r="B949" s="32"/>
      <c r="C949" s="24"/>
      <c r="D949" s="23"/>
      <c r="E949" s="23"/>
      <c r="F949" s="23"/>
      <c r="G949" s="23"/>
      <c r="H949" s="1"/>
    </row>
    <row r="950" spans="2:8" x14ac:dyDescent="0.2">
      <c r="B950" s="32"/>
      <c r="C950" s="24"/>
      <c r="D950" s="23"/>
      <c r="E950" s="23"/>
      <c r="F950" s="23"/>
      <c r="G950" s="23"/>
      <c r="H950" s="1"/>
    </row>
    <row r="951" spans="2:8" x14ac:dyDescent="0.2">
      <c r="B951" s="32"/>
      <c r="C951" s="24"/>
      <c r="D951" s="23"/>
      <c r="E951" s="23"/>
      <c r="F951" s="23"/>
      <c r="G951" s="23"/>
      <c r="H951" s="1"/>
    </row>
    <row r="952" spans="2:8" x14ac:dyDescent="0.2">
      <c r="B952" s="32"/>
      <c r="C952" s="24"/>
      <c r="D952" s="23"/>
      <c r="E952" s="23"/>
      <c r="F952" s="23"/>
      <c r="G952" s="23"/>
      <c r="H952" s="1"/>
    </row>
    <row r="953" spans="2:8" x14ac:dyDescent="0.2">
      <c r="B953" s="32"/>
      <c r="C953" s="24"/>
      <c r="D953" s="23"/>
      <c r="E953" s="23"/>
      <c r="F953" s="23"/>
      <c r="G953" s="23"/>
      <c r="H953" s="1"/>
    </row>
    <row r="954" spans="2:8" x14ac:dyDescent="0.2">
      <c r="B954" s="32"/>
      <c r="C954" s="24"/>
      <c r="D954" s="23"/>
      <c r="E954" s="23"/>
      <c r="F954" s="23"/>
      <c r="G954" s="23"/>
      <c r="H954" s="1"/>
    </row>
    <row r="955" spans="2:8" x14ac:dyDescent="0.2">
      <c r="B955" s="32"/>
      <c r="C955" s="24"/>
      <c r="D955" s="23"/>
      <c r="E955" s="23"/>
      <c r="F955" s="23"/>
      <c r="G955" s="23"/>
      <c r="H955" s="1"/>
    </row>
    <row r="956" spans="2:8" x14ac:dyDescent="0.2">
      <c r="B956" s="32"/>
      <c r="C956" s="24"/>
      <c r="D956" s="23"/>
      <c r="E956" s="23"/>
      <c r="F956" s="23"/>
      <c r="G956" s="23"/>
      <c r="H956" s="1"/>
    </row>
    <row r="957" spans="2:8" x14ac:dyDescent="0.2">
      <c r="B957" s="32"/>
      <c r="C957" s="24"/>
      <c r="D957" s="23"/>
      <c r="E957" s="23"/>
      <c r="F957" s="23"/>
      <c r="G957" s="23"/>
      <c r="H957" s="1"/>
    </row>
    <row r="958" spans="2:8" x14ac:dyDescent="0.2">
      <c r="B958" s="32"/>
      <c r="C958" s="24"/>
      <c r="D958" s="23"/>
      <c r="E958" s="23"/>
      <c r="F958" s="23"/>
      <c r="G958" s="23"/>
      <c r="H958" s="1"/>
    </row>
    <row r="959" spans="2:8" x14ac:dyDescent="0.2">
      <c r="B959" s="32"/>
      <c r="C959" s="24"/>
      <c r="D959" s="23"/>
      <c r="E959" s="23"/>
      <c r="F959" s="23"/>
      <c r="G959" s="23"/>
      <c r="H959" s="1"/>
    </row>
    <row r="960" spans="2:8" x14ac:dyDescent="0.2">
      <c r="B960" s="32"/>
      <c r="C960" s="24"/>
      <c r="D960" s="23"/>
      <c r="E960" s="23"/>
      <c r="F960" s="23"/>
      <c r="G960" s="23"/>
      <c r="H960" s="1"/>
    </row>
    <row r="961" spans="2:8" x14ac:dyDescent="0.2">
      <c r="B961" s="32"/>
      <c r="C961" s="24"/>
      <c r="D961" s="23"/>
      <c r="E961" s="23"/>
      <c r="F961" s="23"/>
      <c r="G961" s="23"/>
      <c r="H961" s="1"/>
    </row>
    <row r="962" spans="2:8" x14ac:dyDescent="0.2">
      <c r="B962" s="32"/>
      <c r="C962" s="24"/>
      <c r="D962" s="23"/>
      <c r="E962" s="23"/>
      <c r="F962" s="23"/>
      <c r="G962" s="23"/>
      <c r="H962" s="1"/>
    </row>
    <row r="963" spans="2:8" x14ac:dyDescent="0.2">
      <c r="B963" s="32"/>
      <c r="C963" s="24"/>
      <c r="D963" s="23"/>
      <c r="E963" s="23"/>
      <c r="F963" s="23"/>
      <c r="G963" s="23"/>
      <c r="H963" s="1"/>
    </row>
    <row r="964" spans="2:8" x14ac:dyDescent="0.2">
      <c r="B964" s="32"/>
      <c r="C964" s="24"/>
      <c r="D964" s="23"/>
      <c r="E964" s="23"/>
      <c r="F964" s="23"/>
      <c r="G964" s="23"/>
      <c r="H964" s="1"/>
    </row>
    <row r="965" spans="2:8" x14ac:dyDescent="0.2">
      <c r="B965" s="32"/>
      <c r="C965" s="24"/>
      <c r="D965" s="23"/>
      <c r="E965" s="23"/>
      <c r="F965" s="23"/>
      <c r="G965" s="23"/>
      <c r="H965" s="1"/>
    </row>
    <row r="966" spans="2:8" x14ac:dyDescent="0.2">
      <c r="B966" s="32"/>
      <c r="C966" s="24"/>
      <c r="D966" s="23"/>
      <c r="E966" s="23"/>
      <c r="F966" s="23"/>
      <c r="G966" s="23"/>
      <c r="H966" s="1"/>
    </row>
    <row r="967" spans="2:8" x14ac:dyDescent="0.2">
      <c r="B967" s="32"/>
      <c r="C967" s="24"/>
      <c r="D967" s="23"/>
      <c r="E967" s="23"/>
      <c r="F967" s="23"/>
      <c r="G967" s="23"/>
      <c r="H967" s="1"/>
    </row>
    <row r="968" spans="2:8" x14ac:dyDescent="0.2">
      <c r="B968" s="32"/>
      <c r="C968" s="24"/>
      <c r="D968" s="23"/>
      <c r="E968" s="23"/>
      <c r="F968" s="23"/>
      <c r="G968" s="23"/>
      <c r="H968" s="1"/>
    </row>
    <row r="969" spans="2:8" x14ac:dyDescent="0.2">
      <c r="B969" s="32"/>
      <c r="C969" s="24"/>
      <c r="D969" s="23"/>
      <c r="E969" s="23"/>
      <c r="F969" s="23"/>
      <c r="G969" s="23"/>
      <c r="H969" s="1"/>
    </row>
    <row r="970" spans="2:8" x14ac:dyDescent="0.2">
      <c r="B970" s="32"/>
      <c r="C970" s="24"/>
      <c r="D970" s="23"/>
      <c r="E970" s="23"/>
      <c r="F970" s="23"/>
      <c r="G970" s="23"/>
      <c r="H970" s="1"/>
    </row>
    <row r="971" spans="2:8" x14ac:dyDescent="0.2">
      <c r="B971" s="32"/>
      <c r="C971" s="24"/>
      <c r="D971" s="23"/>
      <c r="E971" s="23"/>
      <c r="F971" s="23"/>
      <c r="G971" s="23"/>
      <c r="H971" s="1"/>
    </row>
    <row r="972" spans="2:8" x14ac:dyDescent="0.2">
      <c r="B972" s="32"/>
      <c r="C972" s="24"/>
      <c r="D972" s="23"/>
      <c r="E972" s="23"/>
      <c r="F972" s="23"/>
      <c r="G972" s="23"/>
      <c r="H972" s="1"/>
    </row>
    <row r="973" spans="2:8" x14ac:dyDescent="0.2">
      <c r="B973" s="32"/>
      <c r="C973" s="24"/>
      <c r="D973" s="23"/>
      <c r="E973" s="23"/>
      <c r="F973" s="23"/>
      <c r="G973" s="23"/>
      <c r="H973" s="1"/>
    </row>
    <row r="974" spans="2:8" x14ac:dyDescent="0.2">
      <c r="B974" s="32"/>
      <c r="C974" s="24"/>
      <c r="D974" s="23"/>
      <c r="E974" s="23"/>
      <c r="F974" s="23"/>
      <c r="G974" s="23"/>
      <c r="H974" s="1"/>
    </row>
    <row r="975" spans="2:8" x14ac:dyDescent="0.2">
      <c r="B975" s="32"/>
      <c r="C975" s="24"/>
      <c r="D975" s="23"/>
      <c r="E975" s="23"/>
      <c r="F975" s="23"/>
      <c r="G975" s="23"/>
      <c r="H975" s="1"/>
    </row>
    <row r="976" spans="2:8" x14ac:dyDescent="0.2">
      <c r="B976" s="32"/>
      <c r="C976" s="24"/>
      <c r="D976" s="23"/>
      <c r="E976" s="23"/>
      <c r="F976" s="23"/>
      <c r="G976" s="23"/>
      <c r="H976" s="1"/>
    </row>
    <row r="977" spans="2:8" x14ac:dyDescent="0.2">
      <c r="B977" s="32"/>
      <c r="C977" s="24"/>
      <c r="D977" s="23"/>
      <c r="E977" s="23"/>
      <c r="F977" s="23"/>
      <c r="G977" s="23"/>
      <c r="H977" s="1"/>
    </row>
    <row r="978" spans="2:8" x14ac:dyDescent="0.2">
      <c r="B978" s="32"/>
      <c r="C978" s="24"/>
      <c r="D978" s="23"/>
      <c r="E978" s="23"/>
      <c r="F978" s="23"/>
      <c r="G978" s="23"/>
      <c r="H978" s="1"/>
    </row>
    <row r="979" spans="2:8" x14ac:dyDescent="0.2">
      <c r="B979" s="32"/>
      <c r="C979" s="24"/>
      <c r="D979" s="23"/>
      <c r="E979" s="23"/>
      <c r="F979" s="23"/>
      <c r="G979" s="23"/>
      <c r="H979" s="1"/>
    </row>
    <row r="980" spans="2:8" x14ac:dyDescent="0.2">
      <c r="B980" s="32"/>
      <c r="C980" s="24"/>
      <c r="D980" s="23"/>
      <c r="E980" s="23"/>
      <c r="F980" s="23"/>
      <c r="G980" s="23"/>
      <c r="H980" s="1"/>
    </row>
    <row r="981" spans="2:8" x14ac:dyDescent="0.2">
      <c r="B981" s="32"/>
      <c r="C981" s="24"/>
      <c r="D981" s="23"/>
      <c r="E981" s="23"/>
      <c r="F981" s="23"/>
      <c r="G981" s="23"/>
      <c r="H981" s="1"/>
    </row>
    <row r="982" spans="2:8" x14ac:dyDescent="0.2">
      <c r="B982" s="32"/>
      <c r="C982" s="24"/>
      <c r="D982" s="23"/>
      <c r="E982" s="23"/>
      <c r="F982" s="23"/>
      <c r="G982" s="23"/>
      <c r="H982" s="1"/>
    </row>
    <row r="983" spans="2:8" x14ac:dyDescent="0.2">
      <c r="B983" s="32"/>
      <c r="C983" s="24"/>
      <c r="D983" s="23"/>
      <c r="E983" s="23"/>
      <c r="F983" s="23"/>
      <c r="G983" s="23"/>
      <c r="H983" s="1"/>
    </row>
    <row r="984" spans="2:8" x14ac:dyDescent="0.2">
      <c r="B984" s="32"/>
      <c r="C984" s="24"/>
      <c r="D984" s="23"/>
      <c r="E984" s="23"/>
      <c r="F984" s="23"/>
      <c r="G984" s="23"/>
      <c r="H984" s="1"/>
    </row>
    <row r="985" spans="2:8" x14ac:dyDescent="0.2">
      <c r="B985" s="32"/>
      <c r="C985" s="24"/>
      <c r="D985" s="23"/>
      <c r="E985" s="23"/>
      <c r="F985" s="23"/>
      <c r="G985" s="23"/>
      <c r="H985" s="1"/>
    </row>
    <row r="986" spans="2:8" x14ac:dyDescent="0.2">
      <c r="B986" s="32"/>
      <c r="C986" s="24"/>
      <c r="D986" s="23"/>
      <c r="E986" s="23"/>
      <c r="F986" s="23"/>
      <c r="G986" s="23"/>
      <c r="H986" s="1"/>
    </row>
    <row r="987" spans="2:8" x14ac:dyDescent="0.2">
      <c r="B987" s="32"/>
      <c r="C987" s="24"/>
      <c r="D987" s="23"/>
      <c r="E987" s="23"/>
      <c r="F987" s="23"/>
      <c r="G987" s="23"/>
      <c r="H987" s="1"/>
    </row>
    <row r="988" spans="2:8" x14ac:dyDescent="0.2">
      <c r="B988" s="32"/>
      <c r="C988" s="24"/>
      <c r="D988" s="23"/>
      <c r="E988" s="23"/>
      <c r="F988" s="23"/>
      <c r="G988" s="23"/>
      <c r="H988" s="1"/>
    </row>
    <row r="989" spans="2:8" x14ac:dyDescent="0.2">
      <c r="B989" s="32"/>
      <c r="C989" s="24"/>
      <c r="D989" s="23"/>
      <c r="E989" s="23"/>
      <c r="F989" s="23"/>
      <c r="G989" s="23"/>
      <c r="H989" s="1"/>
    </row>
    <row r="990" spans="2:8" x14ac:dyDescent="0.2">
      <c r="B990" s="32"/>
      <c r="C990" s="24"/>
      <c r="D990" s="23"/>
      <c r="E990" s="23"/>
      <c r="F990" s="23"/>
      <c r="G990" s="23"/>
      <c r="H990" s="1"/>
    </row>
    <row r="991" spans="2:8" x14ac:dyDescent="0.2">
      <c r="B991" s="32"/>
      <c r="C991" s="24"/>
      <c r="D991" s="23"/>
      <c r="E991" s="23"/>
      <c r="F991" s="23"/>
      <c r="G991" s="23"/>
      <c r="H991" s="1"/>
    </row>
    <row r="992" spans="2:8" x14ac:dyDescent="0.2">
      <c r="B992" s="32"/>
      <c r="C992" s="24"/>
      <c r="D992" s="23"/>
      <c r="E992" s="23"/>
      <c r="F992" s="23"/>
      <c r="G992" s="23"/>
      <c r="H992" s="1"/>
    </row>
    <row r="993" spans="2:8" x14ac:dyDescent="0.2">
      <c r="B993" s="32"/>
      <c r="C993" s="24"/>
      <c r="D993" s="23"/>
      <c r="E993" s="23"/>
      <c r="F993" s="23"/>
      <c r="G993" s="23"/>
      <c r="H993" s="1"/>
    </row>
    <row r="994" spans="2:8" x14ac:dyDescent="0.2">
      <c r="B994" s="32"/>
      <c r="C994" s="24"/>
      <c r="D994" s="23"/>
      <c r="E994" s="23"/>
      <c r="F994" s="23"/>
      <c r="G994" s="23"/>
      <c r="H994" s="1"/>
    </row>
    <row r="995" spans="2:8" x14ac:dyDescent="0.2">
      <c r="B995" s="32"/>
      <c r="C995" s="24"/>
      <c r="D995" s="23"/>
      <c r="E995" s="23"/>
      <c r="F995" s="23"/>
      <c r="G995" s="23"/>
      <c r="H995" s="1"/>
    </row>
    <row r="996" spans="2:8" x14ac:dyDescent="0.2">
      <c r="B996" s="32"/>
      <c r="C996" s="24"/>
      <c r="D996" s="23"/>
      <c r="E996" s="23"/>
      <c r="F996" s="23"/>
      <c r="G996" s="23"/>
      <c r="H996" s="1"/>
    </row>
    <row r="997" spans="2:8" x14ac:dyDescent="0.2">
      <c r="B997" s="32"/>
      <c r="C997" s="24"/>
      <c r="D997" s="23"/>
      <c r="E997" s="23"/>
      <c r="F997" s="23"/>
      <c r="G997" s="23"/>
      <c r="H997" s="1"/>
    </row>
    <row r="998" spans="2:8" x14ac:dyDescent="0.2">
      <c r="B998" s="32"/>
      <c r="C998" s="24"/>
      <c r="D998" s="23"/>
      <c r="E998" s="23"/>
      <c r="F998" s="23"/>
      <c r="G998" s="23"/>
      <c r="H998" s="1"/>
    </row>
    <row r="999" spans="2:8" x14ac:dyDescent="0.2">
      <c r="B999" s="32"/>
      <c r="C999" s="24"/>
      <c r="D999" s="23"/>
      <c r="E999" s="23"/>
      <c r="F999" s="23"/>
      <c r="G999" s="23"/>
      <c r="H999" s="1"/>
    </row>
    <row r="1000" spans="2:8" x14ac:dyDescent="0.2">
      <c r="B1000" s="32"/>
      <c r="C1000" s="24"/>
      <c r="D1000" s="23"/>
      <c r="E1000" s="23"/>
      <c r="F1000" s="23"/>
      <c r="G1000" s="23"/>
      <c r="H1000" s="1"/>
    </row>
    <row r="1001" spans="2:8" x14ac:dyDescent="0.2">
      <c r="B1001" s="32"/>
      <c r="C1001" s="24"/>
      <c r="D1001" s="23"/>
      <c r="E1001" s="23"/>
      <c r="F1001" s="23"/>
      <c r="G1001" s="23"/>
      <c r="H1001" s="1"/>
    </row>
    <row r="1002" spans="2:8" x14ac:dyDescent="0.2">
      <c r="B1002" s="32"/>
      <c r="C1002" s="24"/>
      <c r="D1002" s="23"/>
      <c r="E1002" s="23"/>
      <c r="F1002" s="23"/>
      <c r="G1002" s="23"/>
      <c r="H1002" s="1"/>
    </row>
    <row r="1003" spans="2:8" x14ac:dyDescent="0.2">
      <c r="B1003" s="32"/>
      <c r="C1003" s="24"/>
      <c r="D1003" s="23"/>
      <c r="E1003" s="23"/>
      <c r="F1003" s="23"/>
      <c r="G1003" s="23"/>
      <c r="H1003" s="1"/>
    </row>
    <row r="1004" spans="2:8" x14ac:dyDescent="0.2">
      <c r="B1004" s="32"/>
      <c r="C1004" s="24"/>
      <c r="D1004" s="23"/>
      <c r="E1004" s="23"/>
      <c r="F1004" s="23"/>
      <c r="G1004" s="23"/>
      <c r="H1004" s="1"/>
    </row>
    <row r="1005" spans="2:8" x14ac:dyDescent="0.2">
      <c r="B1005" s="32"/>
      <c r="C1005" s="24"/>
      <c r="D1005" s="23"/>
      <c r="E1005" s="23"/>
      <c r="F1005" s="23"/>
      <c r="G1005" s="23"/>
      <c r="H1005" s="1"/>
    </row>
    <row r="1006" spans="2:8" x14ac:dyDescent="0.2">
      <c r="B1006" s="32"/>
      <c r="C1006" s="24"/>
      <c r="D1006" s="23"/>
      <c r="E1006" s="23"/>
      <c r="F1006" s="23"/>
      <c r="G1006" s="23"/>
      <c r="H1006" s="1"/>
    </row>
    <row r="1007" spans="2:8" x14ac:dyDescent="0.2">
      <c r="B1007" s="32"/>
      <c r="C1007" s="24"/>
      <c r="D1007" s="23"/>
      <c r="E1007" s="23"/>
      <c r="F1007" s="23"/>
      <c r="G1007" s="23"/>
      <c r="H1007" s="1"/>
    </row>
    <row r="1008" spans="2:8" x14ac:dyDescent="0.2">
      <c r="B1008" s="32"/>
      <c r="C1008" s="24"/>
      <c r="D1008" s="23"/>
      <c r="E1008" s="23"/>
      <c r="F1008" s="23"/>
      <c r="G1008" s="23"/>
      <c r="H1008" s="1"/>
    </row>
    <row r="1009" spans="2:8" x14ac:dyDescent="0.2">
      <c r="B1009" s="32"/>
      <c r="C1009" s="24"/>
      <c r="D1009" s="23"/>
      <c r="E1009" s="23"/>
      <c r="F1009" s="23"/>
      <c r="G1009" s="23"/>
      <c r="H1009" s="1"/>
    </row>
    <row r="1010" spans="2:8" x14ac:dyDescent="0.2">
      <c r="B1010" s="32"/>
      <c r="C1010" s="24"/>
      <c r="D1010" s="23"/>
      <c r="E1010" s="23"/>
      <c r="F1010" s="23"/>
      <c r="G1010" s="23"/>
      <c r="H1010" s="1"/>
    </row>
    <row r="1011" spans="2:8" x14ac:dyDescent="0.2">
      <c r="B1011" s="32"/>
      <c r="C1011" s="24"/>
      <c r="D1011" s="23"/>
      <c r="E1011" s="23"/>
      <c r="F1011" s="23"/>
      <c r="G1011" s="23"/>
      <c r="H1011" s="1"/>
    </row>
    <row r="1012" spans="2:8" x14ac:dyDescent="0.2">
      <c r="B1012" s="32"/>
      <c r="C1012" s="24"/>
      <c r="D1012" s="23"/>
      <c r="E1012" s="23"/>
      <c r="F1012" s="23"/>
      <c r="G1012" s="23"/>
      <c r="H1012" s="1"/>
    </row>
    <row r="1013" spans="2:8" x14ac:dyDescent="0.2">
      <c r="B1013" s="32"/>
      <c r="C1013" s="24"/>
      <c r="D1013" s="23"/>
      <c r="E1013" s="23"/>
      <c r="F1013" s="23"/>
      <c r="G1013" s="23"/>
      <c r="H1013" s="1"/>
    </row>
    <row r="1014" spans="2:8" x14ac:dyDescent="0.2">
      <c r="B1014" s="32"/>
      <c r="C1014" s="24"/>
      <c r="D1014" s="23"/>
      <c r="E1014" s="23"/>
      <c r="F1014" s="23"/>
      <c r="G1014" s="23"/>
      <c r="H1014" s="1"/>
    </row>
    <row r="1015" spans="2:8" x14ac:dyDescent="0.2">
      <c r="B1015" s="32"/>
      <c r="C1015" s="24"/>
      <c r="D1015" s="23"/>
      <c r="E1015" s="23"/>
      <c r="F1015" s="23"/>
      <c r="G1015" s="23"/>
      <c r="H1015" s="1"/>
    </row>
    <row r="1016" spans="2:8" x14ac:dyDescent="0.2">
      <c r="B1016" s="32"/>
      <c r="C1016" s="24"/>
      <c r="D1016" s="23"/>
      <c r="E1016" s="23"/>
      <c r="F1016" s="23"/>
      <c r="G1016" s="23"/>
      <c r="H1016" s="1"/>
    </row>
    <row r="1017" spans="2:8" x14ac:dyDescent="0.2">
      <c r="B1017" s="32"/>
      <c r="C1017" s="24"/>
      <c r="D1017" s="23"/>
      <c r="E1017" s="23"/>
      <c r="F1017" s="23"/>
      <c r="G1017" s="23"/>
      <c r="H1017" s="1"/>
    </row>
    <row r="1018" spans="2:8" x14ac:dyDescent="0.2">
      <c r="B1018" s="32"/>
      <c r="C1018" s="24"/>
      <c r="D1018" s="23"/>
      <c r="E1018" s="23"/>
      <c r="F1018" s="23"/>
      <c r="G1018" s="23"/>
      <c r="H1018" s="1"/>
    </row>
  </sheetData>
  <autoFilter ref="A1:H132" xr:uid="{00000000-0001-0000-0200-000000000000}">
    <sortState xmlns:xlrd2="http://schemas.microsoft.com/office/spreadsheetml/2017/richdata2" ref="A2:H136">
      <sortCondition ref="A1:A136"/>
    </sortState>
  </autoFilter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6"/>
  <sheetViews>
    <sheetView zoomScaleNormal="100" workbookViewId="0">
      <pane ySplit="1" topLeftCell="A122" activePane="bottomLeft" state="frozen"/>
      <selection pane="bottomLeft" activeCell="C98" sqref="C98"/>
    </sheetView>
  </sheetViews>
  <sheetFormatPr baseColWidth="10" defaultColWidth="8.6640625" defaultRowHeight="15" x14ac:dyDescent="0.2"/>
  <cols>
    <col min="1" max="1" width="8" customWidth="1"/>
    <col min="2" max="2" width="13" customWidth="1"/>
    <col min="3" max="3" width="46" customWidth="1"/>
    <col min="4" max="5" width="40" customWidth="1"/>
    <col min="6" max="6" width="46" customWidth="1"/>
  </cols>
  <sheetData>
    <row r="1" spans="1:6" ht="31.5" customHeight="1" x14ac:dyDescent="0.2">
      <c r="A1" s="2" t="s">
        <v>50</v>
      </c>
      <c r="B1" s="2" t="s">
        <v>0</v>
      </c>
      <c r="C1" s="2" t="s">
        <v>51</v>
      </c>
      <c r="D1" s="2" t="s">
        <v>52</v>
      </c>
      <c r="E1" s="2" t="s">
        <v>53</v>
      </c>
      <c r="F1" s="2" t="s">
        <v>54</v>
      </c>
    </row>
    <row r="2" spans="1:6" x14ac:dyDescent="0.2">
      <c r="A2" s="3" t="s">
        <v>55</v>
      </c>
      <c r="B2" s="3" t="s">
        <v>53</v>
      </c>
      <c r="C2" s="3" t="s">
        <v>56</v>
      </c>
      <c r="D2" s="3"/>
      <c r="E2" s="3"/>
      <c r="F2" s="3"/>
    </row>
    <row r="3" spans="1:6" x14ac:dyDescent="0.2">
      <c r="A3" s="3" t="s">
        <v>57</v>
      </c>
      <c r="B3" s="3" t="s">
        <v>53</v>
      </c>
      <c r="C3" s="3" t="s">
        <v>58</v>
      </c>
      <c r="D3" s="3"/>
      <c r="E3" s="3"/>
      <c r="F3" s="3"/>
    </row>
    <row r="4" spans="1:6" x14ac:dyDescent="0.2">
      <c r="A4" s="3" t="s">
        <v>59</v>
      </c>
      <c r="B4" s="3" t="s">
        <v>53</v>
      </c>
      <c r="C4" s="3" t="s">
        <v>60</v>
      </c>
      <c r="D4" s="3"/>
      <c r="E4" s="3"/>
      <c r="F4" s="3"/>
    </row>
    <row r="5" spans="1:6" x14ac:dyDescent="0.2">
      <c r="A5" s="3" t="s">
        <v>61</v>
      </c>
      <c r="B5" s="3" t="s">
        <v>53</v>
      </c>
      <c r="C5" s="3" t="s">
        <v>62</v>
      </c>
      <c r="D5" s="3"/>
      <c r="E5" s="3"/>
      <c r="F5" s="3"/>
    </row>
    <row r="6" spans="1:6" x14ac:dyDescent="0.2">
      <c r="A6" s="3" t="s">
        <v>63</v>
      </c>
      <c r="B6" s="3" t="s">
        <v>53</v>
      </c>
      <c r="C6" s="3" t="s">
        <v>64</v>
      </c>
      <c r="D6" s="3"/>
      <c r="E6" s="3"/>
      <c r="F6" s="3"/>
    </row>
    <row r="7" spans="1:6" x14ac:dyDescent="0.2">
      <c r="A7" s="3" t="s">
        <v>65</v>
      </c>
      <c r="B7" s="3" t="s">
        <v>53</v>
      </c>
      <c r="C7" s="3" t="s">
        <v>66</v>
      </c>
      <c r="D7" s="3"/>
      <c r="E7" s="3"/>
      <c r="F7" s="3"/>
    </row>
    <row r="8" spans="1:6" x14ac:dyDescent="0.2">
      <c r="A8" s="3" t="s">
        <v>67</v>
      </c>
      <c r="B8" s="3" t="s">
        <v>26</v>
      </c>
      <c r="C8" s="3" t="s">
        <v>68</v>
      </c>
      <c r="D8" s="3"/>
      <c r="E8" s="3" t="s">
        <v>56</v>
      </c>
      <c r="F8" s="3"/>
    </row>
    <row r="9" spans="1:6" x14ac:dyDescent="0.2">
      <c r="A9" s="3" t="s">
        <v>69</v>
      </c>
      <c r="B9" s="3" t="s">
        <v>26</v>
      </c>
      <c r="C9" s="3" t="s">
        <v>70</v>
      </c>
      <c r="D9" s="3"/>
      <c r="E9" s="3" t="s">
        <v>56</v>
      </c>
      <c r="F9" s="3"/>
    </row>
    <row r="10" spans="1:6" x14ac:dyDescent="0.2">
      <c r="A10" s="3" t="s">
        <v>71</v>
      </c>
      <c r="B10" s="3" t="s">
        <v>26</v>
      </c>
      <c r="C10" s="3" t="s">
        <v>72</v>
      </c>
      <c r="D10" s="3"/>
      <c r="E10" s="3" t="s">
        <v>56</v>
      </c>
      <c r="F10" s="3"/>
    </row>
    <row r="11" spans="1:6" x14ac:dyDescent="0.2">
      <c r="A11" s="3" t="s">
        <v>73</v>
      </c>
      <c r="B11" s="3" t="s">
        <v>26</v>
      </c>
      <c r="C11" s="3" t="s">
        <v>74</v>
      </c>
      <c r="D11" s="3"/>
      <c r="E11" s="3" t="s">
        <v>58</v>
      </c>
      <c r="F11" s="3"/>
    </row>
    <row r="12" spans="1:6" x14ac:dyDescent="0.2">
      <c r="A12" s="3" t="s">
        <v>27</v>
      </c>
      <c r="B12" s="3" t="s">
        <v>26</v>
      </c>
      <c r="C12" s="3" t="s">
        <v>75</v>
      </c>
      <c r="D12" s="3"/>
      <c r="E12" s="3" t="s">
        <v>58</v>
      </c>
      <c r="F12" s="3"/>
    </row>
    <row r="13" spans="1:6" x14ac:dyDescent="0.2">
      <c r="A13" s="3" t="s">
        <v>76</v>
      </c>
      <c r="B13" s="3" t="s">
        <v>26</v>
      </c>
      <c r="C13" s="3" t="s">
        <v>77</v>
      </c>
      <c r="D13" s="3"/>
      <c r="E13" s="3" t="s">
        <v>58</v>
      </c>
      <c r="F13" s="3"/>
    </row>
    <row r="14" spans="1:6" x14ac:dyDescent="0.2">
      <c r="A14" s="3" t="s">
        <v>78</v>
      </c>
      <c r="B14" s="3" t="s">
        <v>26</v>
      </c>
      <c r="C14" s="3" t="s">
        <v>79</v>
      </c>
      <c r="D14" s="3"/>
      <c r="E14" s="3" t="s">
        <v>58</v>
      </c>
      <c r="F14" s="3"/>
    </row>
    <row r="15" spans="1:6" x14ac:dyDescent="0.2">
      <c r="A15" s="3" t="s">
        <v>80</v>
      </c>
      <c r="B15" s="3" t="s">
        <v>26</v>
      </c>
      <c r="C15" s="3" t="s">
        <v>81</v>
      </c>
      <c r="D15" s="3"/>
      <c r="E15" s="3" t="s">
        <v>60</v>
      </c>
      <c r="F15" s="3"/>
    </row>
    <row r="16" spans="1:6" x14ac:dyDescent="0.2">
      <c r="A16" s="3" t="s">
        <v>82</v>
      </c>
      <c r="B16" s="3" t="s">
        <v>26</v>
      </c>
      <c r="C16" s="3" t="s">
        <v>83</v>
      </c>
      <c r="D16" s="3"/>
      <c r="E16" s="3" t="s">
        <v>60</v>
      </c>
      <c r="F16" s="3"/>
    </row>
    <row r="17" spans="1:6" x14ac:dyDescent="0.2">
      <c r="A17" s="3" t="s">
        <v>84</v>
      </c>
      <c r="B17" s="3" t="s">
        <v>26</v>
      </c>
      <c r="C17" s="3" t="s">
        <v>85</v>
      </c>
      <c r="D17" s="3"/>
      <c r="E17" s="3" t="s">
        <v>60</v>
      </c>
      <c r="F17" s="3"/>
    </row>
    <row r="18" spans="1:6" x14ac:dyDescent="0.2">
      <c r="A18" s="3" t="s">
        <v>86</v>
      </c>
      <c r="B18" s="3" t="s">
        <v>26</v>
      </c>
      <c r="C18" s="3" t="s">
        <v>87</v>
      </c>
      <c r="D18" s="3"/>
      <c r="E18" s="3" t="s">
        <v>62</v>
      </c>
      <c r="F18" s="3"/>
    </row>
    <row r="19" spans="1:6" x14ac:dyDescent="0.2">
      <c r="A19" s="3" t="s">
        <v>88</v>
      </c>
      <c r="B19" s="3" t="s">
        <v>26</v>
      </c>
      <c r="C19" s="3" t="s">
        <v>89</v>
      </c>
      <c r="D19" s="3"/>
      <c r="E19" s="3" t="s">
        <v>62</v>
      </c>
      <c r="F19" s="3"/>
    </row>
    <row r="20" spans="1:6" x14ac:dyDescent="0.2">
      <c r="A20" s="3" t="s">
        <v>90</v>
      </c>
      <c r="B20" s="3" t="s">
        <v>26</v>
      </c>
      <c r="C20" s="3" t="s">
        <v>91</v>
      </c>
      <c r="D20" s="3"/>
      <c r="E20" s="3" t="s">
        <v>64</v>
      </c>
      <c r="F20" s="3"/>
    </row>
    <row r="21" spans="1:6" x14ac:dyDescent="0.2">
      <c r="A21" s="3" t="s">
        <v>92</v>
      </c>
      <c r="B21" s="3" t="s">
        <v>26</v>
      </c>
      <c r="C21" s="3" t="s">
        <v>93</v>
      </c>
      <c r="D21" s="3"/>
      <c r="E21" s="3" t="s">
        <v>64</v>
      </c>
      <c r="F21" s="3"/>
    </row>
    <row r="22" spans="1:6" x14ac:dyDescent="0.2">
      <c r="A22" s="3" t="s">
        <v>94</v>
      </c>
      <c r="B22" s="3" t="s">
        <v>26</v>
      </c>
      <c r="C22" s="3" t="s">
        <v>95</v>
      </c>
      <c r="D22" s="3"/>
      <c r="E22" s="3" t="s">
        <v>64</v>
      </c>
      <c r="F22" s="3"/>
    </row>
    <row r="23" spans="1:6" x14ac:dyDescent="0.2">
      <c r="A23" s="3" t="s">
        <v>96</v>
      </c>
      <c r="B23" s="3" t="s">
        <v>26</v>
      </c>
      <c r="C23" s="3" t="s">
        <v>97</v>
      </c>
      <c r="D23" s="3"/>
      <c r="E23" s="3" t="s">
        <v>64</v>
      </c>
      <c r="F23" s="3"/>
    </row>
    <row r="24" spans="1:6" x14ac:dyDescent="0.2">
      <c r="A24" s="3" t="s">
        <v>98</v>
      </c>
      <c r="B24" s="3" t="s">
        <v>26</v>
      </c>
      <c r="C24" s="3" t="s">
        <v>99</v>
      </c>
      <c r="D24" s="3"/>
      <c r="E24" s="3" t="s">
        <v>66</v>
      </c>
      <c r="F24" s="3"/>
    </row>
    <row r="25" spans="1:6" x14ac:dyDescent="0.2">
      <c r="A25" s="3" t="s">
        <v>100</v>
      </c>
      <c r="B25" s="3" t="s">
        <v>26</v>
      </c>
      <c r="C25" s="3" t="s">
        <v>101</v>
      </c>
      <c r="D25" s="3"/>
      <c r="E25" s="3" t="s">
        <v>66</v>
      </c>
      <c r="F25" s="3"/>
    </row>
    <row r="26" spans="1:6" x14ac:dyDescent="0.2">
      <c r="A26" s="3" t="s">
        <v>102</v>
      </c>
      <c r="B26" s="3" t="s">
        <v>26</v>
      </c>
      <c r="C26" s="3" t="s">
        <v>103</v>
      </c>
      <c r="D26" s="3"/>
      <c r="E26" s="3" t="s">
        <v>66</v>
      </c>
      <c r="F26" s="3"/>
    </row>
    <row r="27" spans="1:6" x14ac:dyDescent="0.2">
      <c r="A27" s="3" t="s">
        <v>104</v>
      </c>
      <c r="B27" s="3" t="s">
        <v>36</v>
      </c>
      <c r="C27" s="3" t="s">
        <v>105</v>
      </c>
      <c r="D27" s="3" t="s">
        <v>68</v>
      </c>
      <c r="E27" s="3" t="s">
        <v>56</v>
      </c>
      <c r="F27" s="3"/>
    </row>
    <row r="28" spans="1:6" x14ac:dyDescent="0.2">
      <c r="A28" s="3" t="s">
        <v>106</v>
      </c>
      <c r="B28" s="3" t="s">
        <v>36</v>
      </c>
      <c r="C28" s="3" t="s">
        <v>107</v>
      </c>
      <c r="D28" s="3" t="s">
        <v>68</v>
      </c>
      <c r="E28" s="3" t="s">
        <v>56</v>
      </c>
      <c r="F28" s="3"/>
    </row>
    <row r="29" spans="1:6" x14ac:dyDescent="0.2">
      <c r="A29" s="3" t="s">
        <v>108</v>
      </c>
      <c r="B29" s="3" t="s">
        <v>36</v>
      </c>
      <c r="C29" s="3" t="s">
        <v>109</v>
      </c>
      <c r="D29" s="3" t="s">
        <v>68</v>
      </c>
      <c r="E29" s="3" t="s">
        <v>56</v>
      </c>
      <c r="F29" s="3"/>
    </row>
    <row r="30" spans="1:6" x14ac:dyDescent="0.2">
      <c r="A30" s="3" t="s">
        <v>110</v>
      </c>
      <c r="B30" s="3" t="s">
        <v>36</v>
      </c>
      <c r="C30" s="3" t="s">
        <v>111</v>
      </c>
      <c r="D30" s="3" t="s">
        <v>68</v>
      </c>
      <c r="E30" s="3" t="s">
        <v>56</v>
      </c>
      <c r="F30" s="3"/>
    </row>
    <row r="31" spans="1:6" x14ac:dyDescent="0.2">
      <c r="A31" s="3" t="s">
        <v>112</v>
      </c>
      <c r="B31" s="3" t="s">
        <v>36</v>
      </c>
      <c r="C31" s="3" t="s">
        <v>113</v>
      </c>
      <c r="D31" s="3" t="s">
        <v>68</v>
      </c>
      <c r="E31" s="3" t="s">
        <v>56</v>
      </c>
      <c r="F31" s="3"/>
    </row>
    <row r="32" spans="1:6" x14ac:dyDescent="0.2">
      <c r="A32" s="3" t="s">
        <v>114</v>
      </c>
      <c r="B32" s="3" t="s">
        <v>36</v>
      </c>
      <c r="C32" s="3" t="s">
        <v>115</v>
      </c>
      <c r="D32" s="3" t="s">
        <v>70</v>
      </c>
      <c r="E32" s="3" t="s">
        <v>56</v>
      </c>
      <c r="F32" s="3"/>
    </row>
    <row r="33" spans="1:6" x14ac:dyDescent="0.2">
      <c r="A33" s="3" t="s">
        <v>116</v>
      </c>
      <c r="B33" s="3" t="s">
        <v>36</v>
      </c>
      <c r="C33" s="3" t="s">
        <v>117</v>
      </c>
      <c r="D33" s="3" t="s">
        <v>70</v>
      </c>
      <c r="E33" s="3" t="s">
        <v>56</v>
      </c>
      <c r="F33" s="3"/>
    </row>
    <row r="34" spans="1:6" x14ac:dyDescent="0.2">
      <c r="A34" s="3" t="s">
        <v>118</v>
      </c>
      <c r="B34" s="3" t="s">
        <v>36</v>
      </c>
      <c r="C34" s="3" t="s">
        <v>119</v>
      </c>
      <c r="D34" s="3" t="s">
        <v>70</v>
      </c>
      <c r="E34" s="3" t="s">
        <v>56</v>
      </c>
      <c r="F34" s="3"/>
    </row>
    <row r="35" spans="1:6" x14ac:dyDescent="0.2">
      <c r="A35" s="3" t="s">
        <v>120</v>
      </c>
      <c r="B35" s="3" t="s">
        <v>36</v>
      </c>
      <c r="C35" s="3" t="s">
        <v>121</v>
      </c>
      <c r="D35" s="3" t="s">
        <v>70</v>
      </c>
      <c r="E35" s="3" t="s">
        <v>56</v>
      </c>
      <c r="F35" s="3"/>
    </row>
    <row r="36" spans="1:6" x14ac:dyDescent="0.2">
      <c r="A36" s="3" t="s">
        <v>122</v>
      </c>
      <c r="B36" s="3" t="s">
        <v>36</v>
      </c>
      <c r="C36" s="3" t="s">
        <v>123</v>
      </c>
      <c r="D36" s="3" t="s">
        <v>72</v>
      </c>
      <c r="E36" s="3" t="s">
        <v>56</v>
      </c>
      <c r="F36" s="3"/>
    </row>
    <row r="37" spans="1:6" x14ac:dyDescent="0.2">
      <c r="A37" s="3" t="s">
        <v>124</v>
      </c>
      <c r="B37" s="3" t="s">
        <v>36</v>
      </c>
      <c r="C37" s="3" t="s">
        <v>125</v>
      </c>
      <c r="D37" s="3" t="s">
        <v>72</v>
      </c>
      <c r="E37" s="3" t="s">
        <v>56</v>
      </c>
      <c r="F37" s="3"/>
    </row>
    <row r="38" spans="1:6" x14ac:dyDescent="0.2">
      <c r="A38" s="3" t="s">
        <v>126</v>
      </c>
      <c r="B38" s="3" t="s">
        <v>36</v>
      </c>
      <c r="C38" s="3" t="s">
        <v>127</v>
      </c>
      <c r="D38" s="3" t="s">
        <v>72</v>
      </c>
      <c r="E38" s="3" t="s">
        <v>56</v>
      </c>
      <c r="F38" s="3"/>
    </row>
    <row r="39" spans="1:6" x14ac:dyDescent="0.2">
      <c r="A39" s="3" t="s">
        <v>128</v>
      </c>
      <c r="B39" s="3" t="s">
        <v>36</v>
      </c>
      <c r="C39" s="3" t="s">
        <v>129</v>
      </c>
      <c r="D39" s="3" t="s">
        <v>74</v>
      </c>
      <c r="E39" s="3" t="s">
        <v>58</v>
      </c>
      <c r="F39" s="3"/>
    </row>
    <row r="40" spans="1:6" x14ac:dyDescent="0.2">
      <c r="A40" s="3" t="s">
        <v>130</v>
      </c>
      <c r="B40" s="3" t="s">
        <v>36</v>
      </c>
      <c r="C40" s="3" t="s">
        <v>131</v>
      </c>
      <c r="D40" s="3" t="s">
        <v>74</v>
      </c>
      <c r="E40" s="3" t="s">
        <v>58</v>
      </c>
      <c r="F40" s="3"/>
    </row>
    <row r="41" spans="1:6" x14ac:dyDescent="0.2">
      <c r="A41" s="3" t="s">
        <v>132</v>
      </c>
      <c r="B41" s="3" t="s">
        <v>36</v>
      </c>
      <c r="C41" s="3" t="s">
        <v>133</v>
      </c>
      <c r="D41" s="3" t="s">
        <v>74</v>
      </c>
      <c r="E41" s="3" t="s">
        <v>58</v>
      </c>
      <c r="F41" s="3"/>
    </row>
    <row r="42" spans="1:6" x14ac:dyDescent="0.2">
      <c r="A42" s="3" t="s">
        <v>134</v>
      </c>
      <c r="B42" s="3" t="s">
        <v>36</v>
      </c>
      <c r="C42" s="3" t="s">
        <v>135</v>
      </c>
      <c r="D42" s="3" t="s">
        <v>74</v>
      </c>
      <c r="E42" s="3" t="s">
        <v>58</v>
      </c>
      <c r="F42" s="3"/>
    </row>
    <row r="43" spans="1:6" x14ac:dyDescent="0.2">
      <c r="A43" s="3" t="s">
        <v>136</v>
      </c>
      <c r="B43" s="3" t="s">
        <v>36</v>
      </c>
      <c r="C43" s="3" t="s">
        <v>137</v>
      </c>
      <c r="D43" s="3" t="s">
        <v>74</v>
      </c>
      <c r="E43" s="3" t="s">
        <v>58</v>
      </c>
      <c r="F43" s="3"/>
    </row>
    <row r="44" spans="1:6" x14ac:dyDescent="0.2">
      <c r="A44" s="3" t="s">
        <v>138</v>
      </c>
      <c r="B44" s="3" t="s">
        <v>36</v>
      </c>
      <c r="C44" s="3" t="s">
        <v>139</v>
      </c>
      <c r="D44" s="3" t="s">
        <v>74</v>
      </c>
      <c r="E44" s="3" t="s">
        <v>58</v>
      </c>
      <c r="F44" s="3"/>
    </row>
    <row r="45" spans="1:6" x14ac:dyDescent="0.2">
      <c r="A45" s="3" t="s">
        <v>140</v>
      </c>
      <c r="B45" s="3" t="s">
        <v>36</v>
      </c>
      <c r="C45" s="3" t="s">
        <v>141</v>
      </c>
      <c r="D45" s="3" t="s">
        <v>74</v>
      </c>
      <c r="E45" s="3" t="s">
        <v>58</v>
      </c>
      <c r="F45" s="3"/>
    </row>
    <row r="46" spans="1:6" x14ac:dyDescent="0.2">
      <c r="A46" s="3" t="s">
        <v>142</v>
      </c>
      <c r="B46" s="3" t="s">
        <v>36</v>
      </c>
      <c r="C46" s="3" t="s">
        <v>143</v>
      </c>
      <c r="D46" s="3" t="s">
        <v>74</v>
      </c>
      <c r="E46" s="3" t="s">
        <v>58</v>
      </c>
      <c r="F46" s="3"/>
    </row>
    <row r="47" spans="1:6" x14ac:dyDescent="0.2">
      <c r="A47" s="3" t="s">
        <v>144</v>
      </c>
      <c r="B47" s="3" t="s">
        <v>36</v>
      </c>
      <c r="C47" s="3" t="s">
        <v>145</v>
      </c>
      <c r="D47" s="3" t="s">
        <v>75</v>
      </c>
      <c r="E47" s="3" t="s">
        <v>58</v>
      </c>
      <c r="F47" s="3"/>
    </row>
    <row r="48" spans="1:6" x14ac:dyDescent="0.2">
      <c r="A48" s="3" t="s">
        <v>146</v>
      </c>
      <c r="B48" s="3" t="s">
        <v>36</v>
      </c>
      <c r="C48" s="3" t="s">
        <v>147</v>
      </c>
      <c r="D48" s="3" t="s">
        <v>75</v>
      </c>
      <c r="E48" s="3" t="s">
        <v>58</v>
      </c>
      <c r="F48" s="3"/>
    </row>
    <row r="49" spans="1:6" x14ac:dyDescent="0.2">
      <c r="A49" s="3" t="s">
        <v>148</v>
      </c>
      <c r="B49" s="3" t="s">
        <v>36</v>
      </c>
      <c r="C49" s="3" t="s">
        <v>149</v>
      </c>
      <c r="D49" s="3" t="s">
        <v>75</v>
      </c>
      <c r="E49" s="3" t="s">
        <v>58</v>
      </c>
      <c r="F49" s="3"/>
    </row>
    <row r="50" spans="1:6" x14ac:dyDescent="0.2">
      <c r="A50" s="3" t="s">
        <v>150</v>
      </c>
      <c r="B50" s="3" t="s">
        <v>36</v>
      </c>
      <c r="C50" s="3" t="s">
        <v>151</v>
      </c>
      <c r="D50" s="3" t="s">
        <v>77</v>
      </c>
      <c r="E50" s="3" t="s">
        <v>58</v>
      </c>
      <c r="F50" s="3"/>
    </row>
    <row r="51" spans="1:6" x14ac:dyDescent="0.2">
      <c r="A51" s="3" t="s">
        <v>152</v>
      </c>
      <c r="B51" s="3" t="s">
        <v>36</v>
      </c>
      <c r="C51" s="3" t="s">
        <v>153</v>
      </c>
      <c r="D51" s="3" t="s">
        <v>77</v>
      </c>
      <c r="E51" s="3" t="s">
        <v>58</v>
      </c>
      <c r="F51" s="3"/>
    </row>
    <row r="52" spans="1:6" x14ac:dyDescent="0.2">
      <c r="A52" s="3" t="s">
        <v>154</v>
      </c>
      <c r="B52" s="3" t="s">
        <v>36</v>
      </c>
      <c r="C52" s="3" t="s">
        <v>155</v>
      </c>
      <c r="D52" s="3" t="s">
        <v>77</v>
      </c>
      <c r="E52" s="3" t="s">
        <v>58</v>
      </c>
      <c r="F52" s="3"/>
    </row>
    <row r="53" spans="1:6" x14ac:dyDescent="0.2">
      <c r="A53" s="3" t="s">
        <v>37</v>
      </c>
      <c r="B53" s="3" t="s">
        <v>36</v>
      </c>
      <c r="C53" s="3" t="s">
        <v>156</v>
      </c>
      <c r="D53" s="3" t="s">
        <v>79</v>
      </c>
      <c r="E53" s="3" t="s">
        <v>58</v>
      </c>
      <c r="F53" s="3"/>
    </row>
    <row r="54" spans="1:6" x14ac:dyDescent="0.2">
      <c r="A54" s="3" t="s">
        <v>157</v>
      </c>
      <c r="B54" s="3" t="s">
        <v>36</v>
      </c>
      <c r="C54" s="3" t="s">
        <v>158</v>
      </c>
      <c r="D54" s="3" t="s">
        <v>79</v>
      </c>
      <c r="E54" s="3" t="s">
        <v>58</v>
      </c>
      <c r="F54" s="3"/>
    </row>
    <row r="55" spans="1:6" x14ac:dyDescent="0.2">
      <c r="A55" s="3" t="s">
        <v>159</v>
      </c>
      <c r="B55" s="3" t="s">
        <v>36</v>
      </c>
      <c r="C55" s="3" t="s">
        <v>160</v>
      </c>
      <c r="D55" s="3" t="s">
        <v>79</v>
      </c>
      <c r="E55" s="3" t="s">
        <v>58</v>
      </c>
      <c r="F55" s="3"/>
    </row>
    <row r="56" spans="1:6" x14ac:dyDescent="0.2">
      <c r="A56" s="3" t="s">
        <v>161</v>
      </c>
      <c r="B56" s="3" t="s">
        <v>36</v>
      </c>
      <c r="C56" s="3" t="s">
        <v>162</v>
      </c>
      <c r="D56" s="3" t="s">
        <v>79</v>
      </c>
      <c r="E56" s="3" t="s">
        <v>58</v>
      </c>
      <c r="F56" s="3"/>
    </row>
    <row r="57" spans="1:6" x14ac:dyDescent="0.2">
      <c r="A57" s="3" t="s">
        <v>163</v>
      </c>
      <c r="B57" s="3" t="s">
        <v>36</v>
      </c>
      <c r="C57" s="3" t="s">
        <v>164</v>
      </c>
      <c r="D57" s="3" t="s">
        <v>79</v>
      </c>
      <c r="E57" s="3" t="s">
        <v>58</v>
      </c>
      <c r="F57" s="3"/>
    </row>
    <row r="58" spans="1:6" x14ac:dyDescent="0.2">
      <c r="A58" s="3" t="s">
        <v>165</v>
      </c>
      <c r="B58" s="3" t="s">
        <v>36</v>
      </c>
      <c r="C58" s="3" t="s">
        <v>166</v>
      </c>
      <c r="D58" s="3" t="s">
        <v>81</v>
      </c>
      <c r="E58" s="3" t="s">
        <v>60</v>
      </c>
      <c r="F58" s="3"/>
    </row>
    <row r="59" spans="1:6" x14ac:dyDescent="0.2">
      <c r="A59" s="3" t="s">
        <v>167</v>
      </c>
      <c r="B59" s="3" t="s">
        <v>36</v>
      </c>
      <c r="C59" s="3" t="s">
        <v>168</v>
      </c>
      <c r="D59" s="3" t="s">
        <v>81</v>
      </c>
      <c r="E59" s="3" t="s">
        <v>60</v>
      </c>
      <c r="F59" s="3"/>
    </row>
    <row r="60" spans="1:6" x14ac:dyDescent="0.2">
      <c r="A60" s="3" t="s">
        <v>169</v>
      </c>
      <c r="B60" s="3" t="s">
        <v>36</v>
      </c>
      <c r="C60" s="3" t="s">
        <v>170</v>
      </c>
      <c r="D60" s="3" t="s">
        <v>81</v>
      </c>
      <c r="E60" s="3" t="s">
        <v>60</v>
      </c>
      <c r="F60" s="3"/>
    </row>
    <row r="61" spans="1:6" x14ac:dyDescent="0.2">
      <c r="A61" s="3" t="s">
        <v>171</v>
      </c>
      <c r="B61" s="3" t="s">
        <v>36</v>
      </c>
      <c r="C61" s="3" t="s">
        <v>172</v>
      </c>
      <c r="D61" s="3" t="s">
        <v>81</v>
      </c>
      <c r="E61" s="3" t="s">
        <v>60</v>
      </c>
      <c r="F61" s="3"/>
    </row>
    <row r="62" spans="1:6" x14ac:dyDescent="0.2">
      <c r="A62" s="3" t="s">
        <v>173</v>
      </c>
      <c r="B62" s="3" t="s">
        <v>36</v>
      </c>
      <c r="C62" s="3" t="s">
        <v>174</v>
      </c>
      <c r="D62" s="3" t="s">
        <v>83</v>
      </c>
      <c r="E62" s="3" t="s">
        <v>60</v>
      </c>
      <c r="F62" s="3"/>
    </row>
    <row r="63" spans="1:6" x14ac:dyDescent="0.2">
      <c r="A63" s="3" t="s">
        <v>175</v>
      </c>
      <c r="B63" s="3" t="s">
        <v>36</v>
      </c>
      <c r="C63" s="3" t="s">
        <v>176</v>
      </c>
      <c r="D63" s="3" t="s">
        <v>83</v>
      </c>
      <c r="E63" s="3" t="s">
        <v>60</v>
      </c>
      <c r="F63" s="3"/>
    </row>
    <row r="64" spans="1:6" x14ac:dyDescent="0.2">
      <c r="A64" s="3" t="s">
        <v>177</v>
      </c>
      <c r="B64" s="3" t="s">
        <v>36</v>
      </c>
      <c r="C64" s="3" t="s">
        <v>178</v>
      </c>
      <c r="D64" s="3" t="s">
        <v>83</v>
      </c>
      <c r="E64" s="3" t="s">
        <v>60</v>
      </c>
      <c r="F64" s="3"/>
    </row>
    <row r="65" spans="1:6" x14ac:dyDescent="0.2">
      <c r="A65" s="3" t="s">
        <v>179</v>
      </c>
      <c r="B65" s="3" t="s">
        <v>36</v>
      </c>
      <c r="C65" s="3" t="s">
        <v>180</v>
      </c>
      <c r="D65" s="3" t="s">
        <v>85</v>
      </c>
      <c r="E65" s="3" t="s">
        <v>60</v>
      </c>
      <c r="F65" s="3"/>
    </row>
    <row r="66" spans="1:6" x14ac:dyDescent="0.2">
      <c r="A66" s="3" t="s">
        <v>181</v>
      </c>
      <c r="B66" s="3" t="s">
        <v>36</v>
      </c>
      <c r="C66" s="3" t="s">
        <v>182</v>
      </c>
      <c r="D66" s="3" t="s">
        <v>85</v>
      </c>
      <c r="E66" s="3" t="s">
        <v>60</v>
      </c>
      <c r="F66" s="3"/>
    </row>
    <row r="67" spans="1:6" x14ac:dyDescent="0.2">
      <c r="A67" s="3" t="s">
        <v>183</v>
      </c>
      <c r="B67" s="3" t="s">
        <v>36</v>
      </c>
      <c r="C67" s="3" t="s">
        <v>184</v>
      </c>
      <c r="D67" s="3" t="s">
        <v>85</v>
      </c>
      <c r="E67" s="3" t="s">
        <v>60</v>
      </c>
      <c r="F67" s="3"/>
    </row>
    <row r="68" spans="1:6" x14ac:dyDescent="0.2">
      <c r="A68" s="3" t="s">
        <v>185</v>
      </c>
      <c r="B68" s="3" t="s">
        <v>36</v>
      </c>
      <c r="C68" s="3" t="s">
        <v>186</v>
      </c>
      <c r="D68" s="3" t="s">
        <v>85</v>
      </c>
      <c r="E68" s="3" t="s">
        <v>60</v>
      </c>
      <c r="F68" s="3"/>
    </row>
    <row r="69" spans="1:6" x14ac:dyDescent="0.2">
      <c r="A69" s="3" t="s">
        <v>187</v>
      </c>
      <c r="B69" s="3" t="s">
        <v>36</v>
      </c>
      <c r="C69" s="3" t="s">
        <v>188</v>
      </c>
      <c r="D69" s="3" t="s">
        <v>85</v>
      </c>
      <c r="E69" s="3" t="s">
        <v>60</v>
      </c>
      <c r="F69" s="3"/>
    </row>
    <row r="70" spans="1:6" x14ac:dyDescent="0.2">
      <c r="A70" s="3" t="s">
        <v>189</v>
      </c>
      <c r="B70" s="3" t="s">
        <v>36</v>
      </c>
      <c r="C70" s="3" t="s">
        <v>190</v>
      </c>
      <c r="D70" s="3" t="s">
        <v>87</v>
      </c>
      <c r="E70" s="3" t="s">
        <v>62</v>
      </c>
      <c r="F70" s="3"/>
    </row>
    <row r="71" spans="1:6" x14ac:dyDescent="0.2">
      <c r="A71" s="3" t="s">
        <v>191</v>
      </c>
      <c r="B71" s="3" t="s">
        <v>36</v>
      </c>
      <c r="C71" s="3" t="s">
        <v>192</v>
      </c>
      <c r="D71" s="3" t="s">
        <v>87</v>
      </c>
      <c r="E71" s="3" t="s">
        <v>62</v>
      </c>
      <c r="F71" s="3"/>
    </row>
    <row r="72" spans="1:6" x14ac:dyDescent="0.2">
      <c r="A72" s="3" t="s">
        <v>193</v>
      </c>
      <c r="B72" s="3" t="s">
        <v>36</v>
      </c>
      <c r="C72" s="3" t="s">
        <v>194</v>
      </c>
      <c r="D72" s="3" t="s">
        <v>87</v>
      </c>
      <c r="E72" s="3" t="s">
        <v>62</v>
      </c>
      <c r="F72" s="3"/>
    </row>
    <row r="73" spans="1:6" x14ac:dyDescent="0.2">
      <c r="A73" s="3" t="s">
        <v>195</v>
      </c>
      <c r="B73" s="3" t="s">
        <v>36</v>
      </c>
      <c r="C73" s="3" t="s">
        <v>196</v>
      </c>
      <c r="D73" s="3" t="s">
        <v>87</v>
      </c>
      <c r="E73" s="3" t="s">
        <v>62</v>
      </c>
      <c r="F73" s="3"/>
    </row>
    <row r="74" spans="1:6" x14ac:dyDescent="0.2">
      <c r="A74" s="3" t="s">
        <v>197</v>
      </c>
      <c r="B74" s="3" t="s">
        <v>36</v>
      </c>
      <c r="C74" s="3" t="s">
        <v>198</v>
      </c>
      <c r="D74" s="3" t="s">
        <v>87</v>
      </c>
      <c r="E74" s="3" t="s">
        <v>62</v>
      </c>
      <c r="F74" s="3"/>
    </row>
    <row r="75" spans="1:6" x14ac:dyDescent="0.2">
      <c r="A75" s="3" t="s">
        <v>199</v>
      </c>
      <c r="B75" s="3" t="s">
        <v>36</v>
      </c>
      <c r="C75" s="3" t="s">
        <v>200</v>
      </c>
      <c r="D75" s="3" t="s">
        <v>87</v>
      </c>
      <c r="E75" s="3" t="s">
        <v>62</v>
      </c>
      <c r="F75" s="3"/>
    </row>
    <row r="76" spans="1:6" x14ac:dyDescent="0.2">
      <c r="A76" s="3" t="s">
        <v>201</v>
      </c>
      <c r="B76" s="3" t="s">
        <v>36</v>
      </c>
      <c r="C76" s="3" t="s">
        <v>202</v>
      </c>
      <c r="D76" s="3" t="s">
        <v>87</v>
      </c>
      <c r="E76" s="3" t="s">
        <v>62</v>
      </c>
      <c r="F76" s="3"/>
    </row>
    <row r="77" spans="1:6" x14ac:dyDescent="0.2">
      <c r="A77" s="3" t="s">
        <v>203</v>
      </c>
      <c r="B77" s="3" t="s">
        <v>36</v>
      </c>
      <c r="C77" s="8" t="s">
        <v>585</v>
      </c>
      <c r="D77" s="3" t="s">
        <v>87</v>
      </c>
      <c r="E77" s="3" t="s">
        <v>62</v>
      </c>
      <c r="F77" s="3"/>
    </row>
    <row r="78" spans="1:6" x14ac:dyDescent="0.2">
      <c r="A78" s="3" t="s">
        <v>204</v>
      </c>
      <c r="B78" s="3" t="s">
        <v>36</v>
      </c>
      <c r="C78" s="3" t="s">
        <v>205</v>
      </c>
      <c r="D78" s="3" t="s">
        <v>87</v>
      </c>
      <c r="E78" s="3" t="s">
        <v>62</v>
      </c>
      <c r="F78" s="3"/>
    </row>
    <row r="79" spans="1:6" x14ac:dyDescent="0.2">
      <c r="A79" s="3" t="s">
        <v>206</v>
      </c>
      <c r="B79" s="3" t="s">
        <v>36</v>
      </c>
      <c r="C79" s="3" t="s">
        <v>207</v>
      </c>
      <c r="D79" s="3" t="s">
        <v>87</v>
      </c>
      <c r="E79" s="3" t="s">
        <v>62</v>
      </c>
      <c r="F79" s="3"/>
    </row>
    <row r="80" spans="1:6" x14ac:dyDescent="0.2">
      <c r="A80" s="3" t="s">
        <v>208</v>
      </c>
      <c r="B80" s="3" t="s">
        <v>36</v>
      </c>
      <c r="C80" s="3" t="s">
        <v>209</v>
      </c>
      <c r="D80" s="3" t="s">
        <v>87</v>
      </c>
      <c r="E80" s="3" t="s">
        <v>62</v>
      </c>
      <c r="F80" s="3"/>
    </row>
    <row r="81" spans="1:6" x14ac:dyDescent="0.2">
      <c r="A81" s="3" t="s">
        <v>210</v>
      </c>
      <c r="B81" s="3" t="s">
        <v>36</v>
      </c>
      <c r="C81" s="3" t="s">
        <v>211</v>
      </c>
      <c r="D81" s="3" t="s">
        <v>89</v>
      </c>
      <c r="E81" s="3" t="s">
        <v>62</v>
      </c>
      <c r="F81" s="3"/>
    </row>
    <row r="82" spans="1:6" x14ac:dyDescent="0.2">
      <c r="A82" s="3" t="s">
        <v>212</v>
      </c>
      <c r="B82" s="3" t="s">
        <v>36</v>
      </c>
      <c r="C82" s="3" t="s">
        <v>213</v>
      </c>
      <c r="D82" s="3" t="s">
        <v>89</v>
      </c>
      <c r="E82" s="3" t="s">
        <v>62</v>
      </c>
      <c r="F82" s="3"/>
    </row>
    <row r="83" spans="1:6" x14ac:dyDescent="0.2">
      <c r="A83" s="3" t="s">
        <v>214</v>
      </c>
      <c r="B83" s="3" t="s">
        <v>36</v>
      </c>
      <c r="C83" s="3" t="s">
        <v>215</v>
      </c>
      <c r="D83" s="3" t="s">
        <v>89</v>
      </c>
      <c r="E83" s="3" t="s">
        <v>62</v>
      </c>
      <c r="F83" s="3"/>
    </row>
    <row r="84" spans="1:6" x14ac:dyDescent="0.2">
      <c r="A84" s="3" t="s">
        <v>216</v>
      </c>
      <c r="B84" s="3" t="s">
        <v>36</v>
      </c>
      <c r="C84" s="3" t="s">
        <v>217</v>
      </c>
      <c r="D84" s="3" t="s">
        <v>89</v>
      </c>
      <c r="E84" s="3" t="s">
        <v>62</v>
      </c>
      <c r="F84" s="3"/>
    </row>
    <row r="85" spans="1:6" x14ac:dyDescent="0.2">
      <c r="A85" s="3" t="s">
        <v>218</v>
      </c>
      <c r="B85" s="3" t="s">
        <v>36</v>
      </c>
      <c r="C85" s="3" t="s">
        <v>219</v>
      </c>
      <c r="D85" s="3" t="s">
        <v>89</v>
      </c>
      <c r="E85" s="3" t="s">
        <v>62</v>
      </c>
      <c r="F85" s="3"/>
    </row>
    <row r="86" spans="1:6" x14ac:dyDescent="0.2">
      <c r="A86" s="3" t="s">
        <v>220</v>
      </c>
      <c r="B86" s="3" t="s">
        <v>36</v>
      </c>
      <c r="C86" s="3" t="s">
        <v>221</v>
      </c>
      <c r="D86" s="3" t="s">
        <v>89</v>
      </c>
      <c r="E86" s="3" t="s">
        <v>62</v>
      </c>
      <c r="F86" s="3"/>
    </row>
    <row r="87" spans="1:6" x14ac:dyDescent="0.2">
      <c r="A87" s="3" t="s">
        <v>222</v>
      </c>
      <c r="B87" s="3" t="s">
        <v>36</v>
      </c>
      <c r="C87" s="3" t="s">
        <v>223</v>
      </c>
      <c r="D87" s="3" t="s">
        <v>91</v>
      </c>
      <c r="E87" s="3" t="s">
        <v>64</v>
      </c>
      <c r="F87" s="3"/>
    </row>
    <row r="88" spans="1:6" x14ac:dyDescent="0.2">
      <c r="A88" s="3" t="s">
        <v>224</v>
      </c>
      <c r="B88" s="3" t="s">
        <v>36</v>
      </c>
      <c r="C88" s="3" t="s">
        <v>225</v>
      </c>
      <c r="D88" s="3" t="s">
        <v>91</v>
      </c>
      <c r="E88" s="3" t="s">
        <v>64</v>
      </c>
      <c r="F88" s="3"/>
    </row>
    <row r="89" spans="1:6" x14ac:dyDescent="0.2">
      <c r="A89" s="3" t="s">
        <v>226</v>
      </c>
      <c r="B89" s="3" t="s">
        <v>36</v>
      </c>
      <c r="C89" s="3" t="s">
        <v>227</v>
      </c>
      <c r="D89" s="3" t="s">
        <v>91</v>
      </c>
      <c r="E89" s="3" t="s">
        <v>64</v>
      </c>
      <c r="F89" s="3"/>
    </row>
    <row r="90" spans="1:6" x14ac:dyDescent="0.2">
      <c r="A90" s="3" t="s">
        <v>228</v>
      </c>
      <c r="B90" s="3" t="s">
        <v>36</v>
      </c>
      <c r="C90" s="3" t="s">
        <v>229</v>
      </c>
      <c r="D90" s="3" t="s">
        <v>91</v>
      </c>
      <c r="E90" s="3" t="s">
        <v>64</v>
      </c>
      <c r="F90" s="3"/>
    </row>
    <row r="91" spans="1:6" x14ac:dyDescent="0.2">
      <c r="A91" s="3" t="s">
        <v>230</v>
      </c>
      <c r="B91" s="3" t="s">
        <v>36</v>
      </c>
      <c r="C91" s="3" t="s">
        <v>231</v>
      </c>
      <c r="D91" s="3" t="s">
        <v>91</v>
      </c>
      <c r="E91" s="3" t="s">
        <v>64</v>
      </c>
      <c r="F91" s="3"/>
    </row>
    <row r="92" spans="1:6" x14ac:dyDescent="0.2">
      <c r="A92" s="3" t="s">
        <v>232</v>
      </c>
      <c r="B92" s="3" t="s">
        <v>36</v>
      </c>
      <c r="C92" s="3" t="s">
        <v>233</v>
      </c>
      <c r="D92" s="3" t="s">
        <v>91</v>
      </c>
      <c r="E92" s="3" t="s">
        <v>64</v>
      </c>
      <c r="F92" s="3"/>
    </row>
    <row r="93" spans="1:6" x14ac:dyDescent="0.2">
      <c r="A93" s="3" t="s">
        <v>234</v>
      </c>
      <c r="B93" s="3" t="s">
        <v>36</v>
      </c>
      <c r="C93" s="3" t="s">
        <v>235</v>
      </c>
      <c r="D93" s="3" t="s">
        <v>91</v>
      </c>
      <c r="E93" s="3" t="s">
        <v>64</v>
      </c>
      <c r="F93" s="3"/>
    </row>
    <row r="94" spans="1:6" x14ac:dyDescent="0.2">
      <c r="A94" s="3" t="s">
        <v>236</v>
      </c>
      <c r="B94" s="3" t="s">
        <v>36</v>
      </c>
      <c r="C94" s="3" t="s">
        <v>95</v>
      </c>
      <c r="D94" s="3" t="s">
        <v>91</v>
      </c>
      <c r="E94" s="3" t="s">
        <v>64</v>
      </c>
      <c r="F94" s="3"/>
    </row>
    <row r="95" spans="1:6" x14ac:dyDescent="0.2">
      <c r="A95" s="3" t="s">
        <v>237</v>
      </c>
      <c r="B95" s="3" t="s">
        <v>36</v>
      </c>
      <c r="C95" s="3" t="s">
        <v>238</v>
      </c>
      <c r="D95" s="3" t="s">
        <v>91</v>
      </c>
      <c r="E95" s="3" t="s">
        <v>64</v>
      </c>
      <c r="F95" s="3"/>
    </row>
    <row r="96" spans="1:6" x14ac:dyDescent="0.2">
      <c r="A96" s="3" t="s">
        <v>239</v>
      </c>
      <c r="B96" s="3" t="s">
        <v>36</v>
      </c>
      <c r="C96" s="3" t="s">
        <v>240</v>
      </c>
      <c r="D96" s="3" t="s">
        <v>93</v>
      </c>
      <c r="E96" s="3" t="s">
        <v>64</v>
      </c>
      <c r="F96" s="3"/>
    </row>
    <row r="97" spans="1:6" x14ac:dyDescent="0.2">
      <c r="A97" s="3" t="s">
        <v>241</v>
      </c>
      <c r="B97" s="3" t="s">
        <v>36</v>
      </c>
      <c r="C97" s="3" t="s">
        <v>242</v>
      </c>
      <c r="D97" s="3" t="s">
        <v>93</v>
      </c>
      <c r="E97" s="3" t="s">
        <v>64</v>
      </c>
      <c r="F97" s="3"/>
    </row>
    <row r="98" spans="1:6" x14ac:dyDescent="0.2">
      <c r="A98" s="3" t="s">
        <v>243</v>
      </c>
      <c r="B98" s="3" t="s">
        <v>36</v>
      </c>
      <c r="C98" s="3" t="s">
        <v>244</v>
      </c>
      <c r="D98" s="3" t="s">
        <v>93</v>
      </c>
      <c r="E98" s="3" t="s">
        <v>64</v>
      </c>
      <c r="F98" s="3"/>
    </row>
    <row r="99" spans="1:6" x14ac:dyDescent="0.2">
      <c r="A99" s="3" t="s">
        <v>245</v>
      </c>
      <c r="B99" s="3" t="s">
        <v>36</v>
      </c>
      <c r="C99" s="3" t="s">
        <v>246</v>
      </c>
      <c r="D99" s="3" t="s">
        <v>93</v>
      </c>
      <c r="E99" s="3" t="s">
        <v>64</v>
      </c>
      <c r="F99" s="3"/>
    </row>
    <row r="100" spans="1:6" x14ac:dyDescent="0.2">
      <c r="A100" s="3" t="s">
        <v>247</v>
      </c>
      <c r="B100" s="3" t="s">
        <v>36</v>
      </c>
      <c r="C100" s="3" t="s">
        <v>248</v>
      </c>
      <c r="D100" s="3" t="s">
        <v>93</v>
      </c>
      <c r="E100" s="3" t="s">
        <v>64</v>
      </c>
      <c r="F100" s="3"/>
    </row>
    <row r="101" spans="1:6" x14ac:dyDescent="0.2">
      <c r="A101" s="3" t="s">
        <v>249</v>
      </c>
      <c r="B101" s="3" t="s">
        <v>36</v>
      </c>
      <c r="C101" s="3" t="s">
        <v>250</v>
      </c>
      <c r="D101" s="3" t="s">
        <v>93</v>
      </c>
      <c r="E101" s="3" t="s">
        <v>64</v>
      </c>
      <c r="F101" s="3"/>
    </row>
    <row r="102" spans="1:6" x14ac:dyDescent="0.2">
      <c r="A102" s="3" t="s">
        <v>251</v>
      </c>
      <c r="B102" s="3" t="s">
        <v>36</v>
      </c>
      <c r="C102" s="3" t="s">
        <v>252</v>
      </c>
      <c r="D102" s="3" t="s">
        <v>93</v>
      </c>
      <c r="E102" s="3" t="s">
        <v>64</v>
      </c>
      <c r="F102" s="3"/>
    </row>
    <row r="103" spans="1:6" x14ac:dyDescent="0.2">
      <c r="A103" s="3" t="s">
        <v>253</v>
      </c>
      <c r="B103" s="3" t="s">
        <v>36</v>
      </c>
      <c r="C103" s="3" t="s">
        <v>254</v>
      </c>
      <c r="D103" s="3" t="s">
        <v>95</v>
      </c>
      <c r="E103" s="3" t="s">
        <v>64</v>
      </c>
      <c r="F103" s="3"/>
    </row>
    <row r="104" spans="1:6" x14ac:dyDescent="0.2">
      <c r="A104" s="3" t="s">
        <v>255</v>
      </c>
      <c r="B104" s="3" t="s">
        <v>36</v>
      </c>
      <c r="C104" s="3" t="s">
        <v>256</v>
      </c>
      <c r="D104" s="3" t="s">
        <v>95</v>
      </c>
      <c r="E104" s="3" t="s">
        <v>64</v>
      </c>
      <c r="F104" s="3"/>
    </row>
    <row r="105" spans="1:6" x14ac:dyDescent="0.2">
      <c r="A105" s="3" t="s">
        <v>257</v>
      </c>
      <c r="B105" s="3" t="s">
        <v>36</v>
      </c>
      <c r="C105" s="3" t="s">
        <v>258</v>
      </c>
      <c r="D105" s="3" t="s">
        <v>95</v>
      </c>
      <c r="E105" s="3" t="s">
        <v>64</v>
      </c>
      <c r="F105" s="3"/>
    </row>
    <row r="106" spans="1:6" x14ac:dyDescent="0.2">
      <c r="A106" s="3" t="s">
        <v>259</v>
      </c>
      <c r="B106" s="3" t="s">
        <v>36</v>
      </c>
      <c r="C106" s="3" t="s">
        <v>260</v>
      </c>
      <c r="D106" s="3" t="s">
        <v>95</v>
      </c>
      <c r="E106" s="3" t="s">
        <v>64</v>
      </c>
      <c r="F106" s="3"/>
    </row>
    <row r="107" spans="1:6" x14ac:dyDescent="0.2">
      <c r="A107" s="3" t="s">
        <v>261</v>
      </c>
      <c r="B107" s="3" t="s">
        <v>36</v>
      </c>
      <c r="C107" s="3" t="s">
        <v>262</v>
      </c>
      <c r="D107" s="3" t="s">
        <v>95</v>
      </c>
      <c r="E107" s="3" t="s">
        <v>64</v>
      </c>
      <c r="F107" s="3"/>
    </row>
    <row r="108" spans="1:6" x14ac:dyDescent="0.2">
      <c r="A108" s="3" t="s">
        <v>263</v>
      </c>
      <c r="B108" s="3" t="s">
        <v>36</v>
      </c>
      <c r="C108" s="3" t="s">
        <v>264</v>
      </c>
      <c r="D108" s="3" t="s">
        <v>95</v>
      </c>
      <c r="E108" s="3" t="s">
        <v>64</v>
      </c>
      <c r="F108" s="3"/>
    </row>
    <row r="109" spans="1:6" x14ac:dyDescent="0.2">
      <c r="A109" s="3" t="s">
        <v>265</v>
      </c>
      <c r="B109" s="3" t="s">
        <v>36</v>
      </c>
      <c r="C109" s="3" t="s">
        <v>266</v>
      </c>
      <c r="D109" s="3" t="s">
        <v>95</v>
      </c>
      <c r="E109" s="3" t="s">
        <v>64</v>
      </c>
      <c r="F109" s="3"/>
    </row>
    <row r="110" spans="1:6" x14ac:dyDescent="0.2">
      <c r="A110" s="3" t="s">
        <v>267</v>
      </c>
      <c r="B110" s="3" t="s">
        <v>36</v>
      </c>
      <c r="C110" s="3" t="s">
        <v>268</v>
      </c>
      <c r="D110" s="3" t="s">
        <v>95</v>
      </c>
      <c r="E110" s="3" t="s">
        <v>64</v>
      </c>
      <c r="F110" s="3"/>
    </row>
    <row r="111" spans="1:6" x14ac:dyDescent="0.2">
      <c r="A111" s="3" t="s">
        <v>269</v>
      </c>
      <c r="B111" s="3" t="s">
        <v>36</v>
      </c>
      <c r="C111" s="3" t="s">
        <v>270</v>
      </c>
      <c r="D111" s="3" t="s">
        <v>95</v>
      </c>
      <c r="E111" s="3" t="s">
        <v>64</v>
      </c>
      <c r="F111" s="3"/>
    </row>
    <row r="112" spans="1:6" x14ac:dyDescent="0.2">
      <c r="A112" s="3" t="s">
        <v>271</v>
      </c>
      <c r="B112" s="3" t="s">
        <v>36</v>
      </c>
      <c r="C112" s="3" t="s">
        <v>272</v>
      </c>
      <c r="D112" s="3" t="s">
        <v>95</v>
      </c>
      <c r="E112" s="3" t="s">
        <v>64</v>
      </c>
      <c r="F112" s="3"/>
    </row>
    <row r="113" spans="1:6" x14ac:dyDescent="0.2">
      <c r="A113" s="3" t="s">
        <v>273</v>
      </c>
      <c r="B113" s="3" t="s">
        <v>36</v>
      </c>
      <c r="C113" s="3" t="s">
        <v>274</v>
      </c>
      <c r="D113" s="3" t="s">
        <v>97</v>
      </c>
      <c r="E113" s="3" t="s">
        <v>64</v>
      </c>
      <c r="F113" s="3"/>
    </row>
    <row r="114" spans="1:6" x14ac:dyDescent="0.2">
      <c r="A114" s="3" t="s">
        <v>275</v>
      </c>
      <c r="B114" s="3" t="s">
        <v>36</v>
      </c>
      <c r="C114" s="3" t="s">
        <v>276</v>
      </c>
      <c r="D114" s="3" t="s">
        <v>97</v>
      </c>
      <c r="E114" s="3" t="s">
        <v>64</v>
      </c>
      <c r="F114" s="3"/>
    </row>
    <row r="115" spans="1:6" x14ac:dyDescent="0.2">
      <c r="A115" s="3" t="s">
        <v>277</v>
      </c>
      <c r="B115" s="3" t="s">
        <v>36</v>
      </c>
      <c r="C115" s="3" t="s">
        <v>278</v>
      </c>
      <c r="D115" s="3" t="s">
        <v>97</v>
      </c>
      <c r="E115" s="3" t="s">
        <v>64</v>
      </c>
      <c r="F115" s="3"/>
    </row>
    <row r="116" spans="1:6" x14ac:dyDescent="0.2">
      <c r="A116" s="3" t="s">
        <v>279</v>
      </c>
      <c r="B116" s="3" t="s">
        <v>36</v>
      </c>
      <c r="C116" s="3" t="s">
        <v>280</v>
      </c>
      <c r="D116" s="3" t="s">
        <v>97</v>
      </c>
      <c r="E116" s="3" t="s">
        <v>64</v>
      </c>
      <c r="F116" s="3"/>
    </row>
    <row r="117" spans="1:6" x14ac:dyDescent="0.2">
      <c r="A117" s="3" t="s">
        <v>281</v>
      </c>
      <c r="B117" s="3" t="s">
        <v>36</v>
      </c>
      <c r="C117" s="8" t="s">
        <v>440</v>
      </c>
      <c r="D117" s="3" t="s">
        <v>99</v>
      </c>
      <c r="E117" s="3" t="s">
        <v>66</v>
      </c>
      <c r="F117" s="3"/>
    </row>
    <row r="118" spans="1:6" x14ac:dyDescent="0.2">
      <c r="A118" s="3" t="s">
        <v>282</v>
      </c>
      <c r="B118" s="3" t="s">
        <v>36</v>
      </c>
      <c r="C118" s="8" t="s">
        <v>441</v>
      </c>
      <c r="D118" s="3" t="s">
        <v>99</v>
      </c>
      <c r="E118" s="3" t="s">
        <v>66</v>
      </c>
      <c r="F118" s="3"/>
    </row>
    <row r="119" spans="1:6" x14ac:dyDescent="0.2">
      <c r="A119" s="3" t="s">
        <v>283</v>
      </c>
      <c r="B119" s="3" t="s">
        <v>36</v>
      </c>
      <c r="C119" s="8" t="s">
        <v>442</v>
      </c>
      <c r="D119" s="3" t="s">
        <v>99</v>
      </c>
      <c r="E119" s="3" t="s">
        <v>66</v>
      </c>
      <c r="F119" s="3"/>
    </row>
    <row r="120" spans="1:6" x14ac:dyDescent="0.2">
      <c r="A120" s="3" t="s">
        <v>284</v>
      </c>
      <c r="B120" s="3" t="s">
        <v>36</v>
      </c>
      <c r="C120" s="8" t="s">
        <v>443</v>
      </c>
      <c r="D120" s="3" t="s">
        <v>99</v>
      </c>
      <c r="E120" s="3" t="s">
        <v>66</v>
      </c>
      <c r="F120" s="3"/>
    </row>
    <row r="121" spans="1:6" x14ac:dyDescent="0.2">
      <c r="A121" s="3" t="s">
        <v>285</v>
      </c>
      <c r="B121" s="3" t="s">
        <v>36</v>
      </c>
      <c r="C121" s="3" t="s">
        <v>288</v>
      </c>
      <c r="D121" s="3" t="s">
        <v>101</v>
      </c>
      <c r="E121" s="3" t="s">
        <v>66</v>
      </c>
      <c r="F121" s="3"/>
    </row>
    <row r="122" spans="1:6" x14ac:dyDescent="0.2">
      <c r="A122" s="3" t="s">
        <v>286</v>
      </c>
      <c r="B122" s="3" t="s">
        <v>36</v>
      </c>
      <c r="C122" s="3" t="s">
        <v>290</v>
      </c>
      <c r="D122" s="3" t="s">
        <v>101</v>
      </c>
      <c r="E122" s="3" t="s">
        <v>66</v>
      </c>
      <c r="F122" s="3"/>
    </row>
    <row r="123" spans="1:6" x14ac:dyDescent="0.2">
      <c r="A123" s="3" t="s">
        <v>287</v>
      </c>
      <c r="B123" s="3" t="s">
        <v>36</v>
      </c>
      <c r="C123" s="3" t="s">
        <v>292</v>
      </c>
      <c r="D123" s="3" t="s">
        <v>101</v>
      </c>
      <c r="E123" s="3" t="s">
        <v>66</v>
      </c>
      <c r="F123" s="3"/>
    </row>
    <row r="124" spans="1:6" x14ac:dyDescent="0.2">
      <c r="A124" s="3" t="s">
        <v>289</v>
      </c>
      <c r="B124" s="3" t="s">
        <v>36</v>
      </c>
      <c r="C124" s="3" t="s">
        <v>294</v>
      </c>
      <c r="D124" s="3" t="s">
        <v>101</v>
      </c>
      <c r="E124" s="3" t="s">
        <v>66</v>
      </c>
      <c r="F124" s="3"/>
    </row>
    <row r="125" spans="1:6" x14ac:dyDescent="0.2">
      <c r="A125" s="3" t="s">
        <v>291</v>
      </c>
      <c r="B125" s="3" t="s">
        <v>36</v>
      </c>
      <c r="C125" s="3" t="s">
        <v>295</v>
      </c>
      <c r="D125" s="3" t="s">
        <v>101</v>
      </c>
      <c r="E125" s="3" t="s">
        <v>66</v>
      </c>
      <c r="F125" s="3"/>
    </row>
    <row r="126" spans="1:6" x14ac:dyDescent="0.2">
      <c r="A126" s="3" t="s">
        <v>293</v>
      </c>
      <c r="B126" s="3" t="s">
        <v>36</v>
      </c>
      <c r="C126" s="3" t="s">
        <v>296</v>
      </c>
      <c r="D126" s="3" t="s">
        <v>101</v>
      </c>
      <c r="E126" s="3" t="s">
        <v>66</v>
      </c>
      <c r="F126" s="3"/>
    </row>
    <row r="127" spans="1:6" x14ac:dyDescent="0.2">
      <c r="A127" s="3" t="s">
        <v>298</v>
      </c>
      <c r="B127" s="3" t="s">
        <v>36</v>
      </c>
      <c r="C127" s="3" t="s">
        <v>297</v>
      </c>
      <c r="D127" s="3" t="s">
        <v>101</v>
      </c>
      <c r="E127" s="3" t="s">
        <v>66</v>
      </c>
      <c r="F127" s="3"/>
    </row>
    <row r="128" spans="1:6" x14ac:dyDescent="0.2">
      <c r="A128" s="3" t="s">
        <v>444</v>
      </c>
      <c r="B128" s="3" t="s">
        <v>36</v>
      </c>
      <c r="C128" s="3" t="s">
        <v>299</v>
      </c>
      <c r="D128" s="3" t="s">
        <v>103</v>
      </c>
      <c r="E128" s="3" t="s">
        <v>66</v>
      </c>
      <c r="F128" s="3"/>
    </row>
    <row r="129" spans="1:6" x14ac:dyDescent="0.2">
      <c r="A129" s="3" t="s">
        <v>300</v>
      </c>
      <c r="B129" s="3" t="s">
        <v>36</v>
      </c>
      <c r="C129" s="3" t="s">
        <v>301</v>
      </c>
      <c r="D129" s="3" t="s">
        <v>103</v>
      </c>
      <c r="E129" s="3" t="s">
        <v>66</v>
      </c>
      <c r="F129" s="3"/>
    </row>
    <row r="130" spans="1:6" x14ac:dyDescent="0.2">
      <c r="A130" s="3" t="s">
        <v>306</v>
      </c>
      <c r="B130" s="3" t="s">
        <v>36</v>
      </c>
      <c r="C130" s="3" t="s">
        <v>303</v>
      </c>
      <c r="D130" s="3" t="s">
        <v>103</v>
      </c>
      <c r="E130" s="3" t="s">
        <v>66</v>
      </c>
      <c r="F130" s="3"/>
    </row>
    <row r="131" spans="1:6" x14ac:dyDescent="0.2">
      <c r="A131" s="3" t="s">
        <v>302</v>
      </c>
      <c r="B131" s="3" t="s">
        <v>36</v>
      </c>
      <c r="C131" s="3" t="s">
        <v>304</v>
      </c>
      <c r="D131" s="3" t="s">
        <v>103</v>
      </c>
      <c r="E131" s="3" t="s">
        <v>66</v>
      </c>
      <c r="F131" s="3"/>
    </row>
    <row r="132" spans="1:6" x14ac:dyDescent="0.2">
      <c r="A132" s="3" t="s">
        <v>134</v>
      </c>
      <c r="B132" s="3" t="s">
        <v>36</v>
      </c>
      <c r="C132" s="3" t="s">
        <v>305</v>
      </c>
      <c r="D132" s="3" t="s">
        <v>103</v>
      </c>
      <c r="E132" s="3" t="s">
        <v>66</v>
      </c>
      <c r="F132" s="3"/>
    </row>
    <row r="133" spans="1:6" x14ac:dyDescent="0.2">
      <c r="A133" s="3" t="s">
        <v>136</v>
      </c>
      <c r="B133" s="3" t="s">
        <v>36</v>
      </c>
      <c r="C133" s="3" t="s">
        <v>307</v>
      </c>
      <c r="D133" s="3" t="s">
        <v>103</v>
      </c>
      <c r="E133" s="3" t="s">
        <v>66</v>
      </c>
      <c r="F133" s="3"/>
    </row>
    <row r="134" spans="1:6" x14ac:dyDescent="0.2">
      <c r="A134" s="3" t="s">
        <v>142</v>
      </c>
      <c r="B134" s="3" t="s">
        <v>36</v>
      </c>
      <c r="C134" s="3" t="s">
        <v>308</v>
      </c>
      <c r="D134" s="3" t="s">
        <v>103</v>
      </c>
      <c r="E134" s="3" t="s">
        <v>66</v>
      </c>
      <c r="F134" s="3"/>
    </row>
    <row r="135" spans="1:6" x14ac:dyDescent="0.2">
      <c r="A135" s="3" t="s">
        <v>309</v>
      </c>
      <c r="B135" s="3" t="s">
        <v>310</v>
      </c>
      <c r="C135" s="3" t="s">
        <v>311</v>
      </c>
      <c r="D135" s="3"/>
      <c r="E135" s="3"/>
      <c r="F135" s="3" t="s">
        <v>312</v>
      </c>
    </row>
    <row r="136" spans="1:6" x14ac:dyDescent="0.2">
      <c r="A136" s="3" t="s">
        <v>313</v>
      </c>
      <c r="B136" s="3" t="s">
        <v>310</v>
      </c>
      <c r="C136" s="3" t="s">
        <v>314</v>
      </c>
      <c r="D136" s="3"/>
      <c r="E136" s="3"/>
      <c r="F136" s="3" t="s">
        <v>312</v>
      </c>
    </row>
    <row r="137" spans="1:6" x14ac:dyDescent="0.2">
      <c r="A137" s="3" t="s">
        <v>315</v>
      </c>
      <c r="B137" s="3" t="s">
        <v>310</v>
      </c>
      <c r="C137" s="3" t="s">
        <v>316</v>
      </c>
      <c r="D137" s="3"/>
      <c r="E137" s="3"/>
      <c r="F137" s="3" t="s">
        <v>312</v>
      </c>
    </row>
    <row r="138" spans="1:6" x14ac:dyDescent="0.2">
      <c r="A138" s="3" t="s">
        <v>317</v>
      </c>
      <c r="B138" s="3" t="s">
        <v>310</v>
      </c>
      <c r="C138" s="3" t="s">
        <v>318</v>
      </c>
      <c r="D138" s="3"/>
      <c r="E138" s="3"/>
      <c r="F138" s="3" t="s">
        <v>319</v>
      </c>
    </row>
    <row r="139" spans="1:6" x14ac:dyDescent="0.2">
      <c r="A139" s="3" t="s">
        <v>320</v>
      </c>
      <c r="B139" s="3" t="s">
        <v>310</v>
      </c>
      <c r="C139" s="3" t="s">
        <v>321</v>
      </c>
      <c r="D139" s="3"/>
      <c r="E139" s="3"/>
      <c r="F139" s="3" t="s">
        <v>319</v>
      </c>
    </row>
    <row r="140" spans="1:6" x14ac:dyDescent="0.2">
      <c r="A140" s="3" t="s">
        <v>322</v>
      </c>
      <c r="B140" s="3" t="s">
        <v>310</v>
      </c>
      <c r="C140" s="3" t="s">
        <v>323</v>
      </c>
      <c r="D140" s="3"/>
      <c r="E140" s="3"/>
      <c r="F140" s="3" t="s">
        <v>319</v>
      </c>
    </row>
    <row r="141" spans="1:6" x14ac:dyDescent="0.2">
      <c r="A141" s="3" t="s">
        <v>324</v>
      </c>
      <c r="B141" s="3" t="s">
        <v>310</v>
      </c>
      <c r="C141" s="3" t="s">
        <v>325</v>
      </c>
      <c r="D141" s="3"/>
      <c r="E141" s="3"/>
      <c r="F141" s="3" t="s">
        <v>326</v>
      </c>
    </row>
    <row r="142" spans="1:6" x14ac:dyDescent="0.2">
      <c r="A142" s="3" t="s">
        <v>327</v>
      </c>
      <c r="B142" s="3" t="s">
        <v>310</v>
      </c>
      <c r="C142" s="3" t="s">
        <v>328</v>
      </c>
      <c r="D142" s="3"/>
      <c r="E142" s="3"/>
      <c r="F142" s="3" t="s">
        <v>326</v>
      </c>
    </row>
    <row r="143" spans="1:6" x14ac:dyDescent="0.2">
      <c r="A143" s="3" t="s">
        <v>329</v>
      </c>
      <c r="B143" s="3" t="s">
        <v>310</v>
      </c>
      <c r="C143" s="3" t="s">
        <v>330</v>
      </c>
      <c r="D143" s="3"/>
      <c r="E143" s="3"/>
      <c r="F143" s="3" t="s">
        <v>326</v>
      </c>
    </row>
    <row r="144" spans="1:6" x14ac:dyDescent="0.2">
      <c r="A144" s="3" t="s">
        <v>331</v>
      </c>
      <c r="B144" s="3" t="s">
        <v>310</v>
      </c>
      <c r="C144" s="3" t="s">
        <v>332</v>
      </c>
      <c r="D144" s="3"/>
      <c r="E144" s="3"/>
      <c r="F144" s="3" t="s">
        <v>333</v>
      </c>
    </row>
    <row r="145" spans="1:6" x14ac:dyDescent="0.2">
      <c r="A145" s="3" t="s">
        <v>334</v>
      </c>
      <c r="B145" s="3" t="s">
        <v>310</v>
      </c>
      <c r="C145" s="3" t="s">
        <v>335</v>
      </c>
      <c r="D145" s="3"/>
      <c r="E145" s="3"/>
      <c r="F145" s="3" t="s">
        <v>333</v>
      </c>
    </row>
    <row r="146" spans="1:6" x14ac:dyDescent="0.2">
      <c r="A146" s="3" t="s">
        <v>336</v>
      </c>
      <c r="B146" s="3" t="s">
        <v>310</v>
      </c>
      <c r="C146" s="3" t="s">
        <v>337</v>
      </c>
      <c r="D146" s="3"/>
      <c r="E146" s="3"/>
      <c r="F146" s="3" t="s">
        <v>333</v>
      </c>
    </row>
    <row r="147" spans="1:6" x14ac:dyDescent="0.2">
      <c r="A147" s="3" t="s">
        <v>338</v>
      </c>
      <c r="B147" s="3" t="s">
        <v>310</v>
      </c>
      <c r="C147" s="3" t="s">
        <v>339</v>
      </c>
      <c r="D147" s="3"/>
      <c r="E147" s="3"/>
      <c r="F147" s="3" t="s">
        <v>333</v>
      </c>
    </row>
    <row r="148" spans="1:6" x14ac:dyDescent="0.2">
      <c r="A148" s="3" t="s">
        <v>340</v>
      </c>
      <c r="B148" s="3" t="s">
        <v>310</v>
      </c>
      <c r="C148" s="3" t="s">
        <v>341</v>
      </c>
      <c r="D148" s="3"/>
      <c r="E148" s="3"/>
      <c r="F148" s="3" t="s">
        <v>333</v>
      </c>
    </row>
    <row r="149" spans="1:6" x14ac:dyDescent="0.2">
      <c r="A149" s="3" t="s">
        <v>342</v>
      </c>
      <c r="B149" s="3" t="s">
        <v>310</v>
      </c>
      <c r="C149" s="3" t="s">
        <v>343</v>
      </c>
      <c r="D149" s="3"/>
      <c r="E149" s="3"/>
      <c r="F149" s="3" t="s">
        <v>333</v>
      </c>
    </row>
    <row r="150" spans="1:6" x14ac:dyDescent="0.2">
      <c r="A150" s="3" t="s">
        <v>344</v>
      </c>
      <c r="B150" s="3" t="s">
        <v>310</v>
      </c>
      <c r="C150" s="3" t="s">
        <v>345</v>
      </c>
      <c r="D150" s="3"/>
      <c r="E150" s="3"/>
      <c r="F150" s="3" t="s">
        <v>346</v>
      </c>
    </row>
    <row r="151" spans="1:6" x14ac:dyDescent="0.2">
      <c r="A151" s="3" t="s">
        <v>347</v>
      </c>
      <c r="B151" s="3" t="s">
        <v>310</v>
      </c>
      <c r="C151" s="3" t="s">
        <v>348</v>
      </c>
      <c r="D151" s="3"/>
      <c r="E151" s="3"/>
      <c r="F151" s="3" t="s">
        <v>346</v>
      </c>
    </row>
    <row r="152" spans="1:6" x14ac:dyDescent="0.2">
      <c r="A152" s="3" t="s">
        <v>28</v>
      </c>
      <c r="B152" s="3" t="s">
        <v>310</v>
      </c>
      <c r="C152" s="3" t="s">
        <v>349</v>
      </c>
      <c r="D152" s="3"/>
      <c r="E152" s="3"/>
      <c r="F152" s="3" t="s">
        <v>350</v>
      </c>
    </row>
    <row r="153" spans="1:6" x14ac:dyDescent="0.2">
      <c r="A153" s="3" t="s">
        <v>351</v>
      </c>
      <c r="B153" s="3" t="s">
        <v>310</v>
      </c>
      <c r="C153" s="3" t="s">
        <v>352</v>
      </c>
      <c r="D153" s="3"/>
      <c r="E153" s="3"/>
      <c r="F153" s="3" t="s">
        <v>350</v>
      </c>
    </row>
    <row r="154" spans="1:6" x14ac:dyDescent="0.2">
      <c r="A154" s="3" t="s">
        <v>353</v>
      </c>
      <c r="B154" s="3" t="s">
        <v>310</v>
      </c>
      <c r="C154" s="3" t="s">
        <v>354</v>
      </c>
      <c r="D154" s="3"/>
      <c r="E154" s="3"/>
      <c r="F154" s="3" t="s">
        <v>350</v>
      </c>
    </row>
    <row r="156" spans="1:6" x14ac:dyDescent="0.2">
      <c r="A156" s="4" t="s">
        <v>355</v>
      </c>
    </row>
  </sheetData>
  <autoFilter ref="A1:F154" xr:uid="{00000000-0009-0000-0000-000003000000}"/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 and Planning</vt:lpstr>
      <vt:lpstr>KPI Catalog</vt:lpstr>
      <vt:lpstr>KPI Data</vt:lpstr>
      <vt:lpstr>Dashboard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Lord, Mary Cathryn</cp:lastModifiedBy>
  <cp:revision>0</cp:revision>
  <dcterms:created xsi:type="dcterms:W3CDTF">2026-10-02T22:23:19Z</dcterms:created>
  <dcterms:modified xsi:type="dcterms:W3CDTF">2026-10-08T19:11:04Z</dcterms:modified>
  <dc:language>en-US</dc:language>
</cp:coreProperties>
</file>