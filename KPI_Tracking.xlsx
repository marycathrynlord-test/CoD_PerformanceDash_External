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MaryCathryn.Lord/Desktop/CoD_PerformanceDash_External/"/>
    </mc:Choice>
  </mc:AlternateContent>
  <xr:revisionPtr revIDLastSave="0" documentId="13_ncr:1_{257D06A5-B221-7642-8903-F0E3C8B16BC0}" xr6:coauthVersionLast="47" xr6:coauthVersionMax="47" xr10:uidLastSave="{00000000-0000-0000-0000-000000000000}"/>
  <bookViews>
    <workbookView xWindow="0" yWindow="0" windowWidth="38400" windowHeight="21600" tabRatio="500" activeTab="1" xr2:uid="{00000000-000D-0000-FFFF-FFFF00000000}"/>
  </bookViews>
  <sheets>
    <sheet name="Planning" sheetId="1" r:id="rId1"/>
    <sheet name="Metric Wireframe (work system)" sheetId="2" r:id="rId2"/>
    <sheet name="Metric Wireframe (goal area)" sheetId="3" r:id="rId3"/>
    <sheet name="KPI Catalog" sheetId="4" r:id="rId4"/>
    <sheet name="KPI Data" sheetId="5" r:id="rId5"/>
    <sheet name="Dashboard Items" sheetId="6" r:id="rId6"/>
    <sheet name="Objective Alignment" sheetId="7" r:id="rId7"/>
  </sheets>
  <definedNames>
    <definedName name="_xlnm._FilterDatabase" localSheetId="5" hidden="1">'Dashboard Items'!$A$1:$F$152</definedName>
    <definedName name="_xlnm._FilterDatabase" localSheetId="3" hidden="1">'KPI Catalog'!$A$1:$U$1</definedName>
    <definedName name="_xlnm._FilterDatabase" localSheetId="4" hidden="1">'KPI Data'!$A$1:$H$129</definedName>
  </definedNames>
  <calcPr calcId="191029" fullCalcOnLoad="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30" authorId="0" shapeId="0" xr:uid="{00000000-0006-0000-0000-000001000000}">
      <text>
        <r>
          <rPr>
            <sz val="10"/>
            <rFont val="Arial"/>
            <family val="2"/>
          </rPr>
          <t>Lord, Mary Cathryn:
Need approval for:
- Key Services on external dashoard for obj level
- No program names listed on external dashboard at all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 authorId="0" shapeId="0" xr:uid="{00000000-0006-0000-0200-000001000000}">
      <text>
        <r>
          <rPr>
            <sz val="10"/>
            <rFont val="Arial"/>
            <family val="2"/>
          </rPr>
          <t>Lord, Mary Cathryn: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O1" authorId="0" shapeId="0" xr:uid="{00000000-0006-0000-0300-000001000000}">
      <text>
        <r>
          <rPr>
            <sz val="10"/>
            <rFont val="Arial"/>
            <family val="2"/>
          </rPr>
          <t>KPIs shown at a Key Service (Level = Key Service, or Also Show Under has a ks… ID): No = shown but not counted in the gauges; blank or Yes = counted.
Program KPIs: Yes = sets the Program's status chip.</t>
        </r>
      </text>
    </comment>
    <comment ref="U1" authorId="0" shapeId="0" xr:uid="{00000000-0006-0000-0300-000002000000}">
      <text>
        <r>
          <rPr>
            <sz val="10"/>
            <rFont val="Arial"/>
            <family val="2"/>
          </rPr>
          <t>Shows what this KPI does on the dashboard, from Level and Drives Status. Don't type here.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34" authorId="0" shapeId="0" xr:uid="{00000000-0006-0000-0400-000001000000}">
      <text>
        <r>
          <rPr>
            <sz val="10"/>
            <rFont val="Arial"/>
            <family val="2"/>
          </rPr>
          <t>Lord, Mary Cathryn:
Increase year over year formula</t>
        </r>
      </text>
    </comment>
    <comment ref="F135" authorId="0" shapeId="0" xr:uid="{00000000-0006-0000-0400-000002000000}">
      <text>
        <r>
          <rPr>
            <sz val="10"/>
            <rFont val="Arial"/>
            <family val="2"/>
          </rPr>
          <t>Lord, Mary Cathryn:
Increase year over year formula</t>
        </r>
      </text>
    </comment>
    <comment ref="F136" authorId="0" shapeId="0" xr:uid="{00000000-0006-0000-0400-000003000000}">
      <text>
        <r>
          <rPr>
            <sz val="10"/>
            <rFont val="Arial"/>
            <family val="2"/>
          </rPr>
          <t>Lord, Mary Cathryn:
Increase year over year formula</t>
        </r>
      </text>
    </comment>
    <comment ref="F141" authorId="0" shapeId="0" xr:uid="{00000000-0006-0000-0400-000004000000}">
      <text>
        <r>
          <rPr>
            <sz val="10"/>
            <rFont val="Arial"/>
            <family val="2"/>
          </rPr>
          <t>Lord, Mary Cathryn:
Remain flat formula</t>
        </r>
      </text>
    </comment>
    <comment ref="F143" authorId="0" shapeId="0" xr:uid="{00000000-0006-0000-0400-000005000000}">
      <text>
        <r>
          <rPr>
            <sz val="10"/>
            <rFont val="Arial"/>
            <family val="2"/>
          </rPr>
          <t>Lord, Mary Cathryn:
2% year over year increase formula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1" authorId="0" shapeId="0" xr:uid="{00000000-0006-0000-0500-000001000000}">
      <text>
        <r>
          <rPr>
            <sz val="10"/>
            <rFont val="Arial"/>
            <family val="2"/>
          </rPr>
          <t>Goal and Objective definitions are council-adopted wording from the City of Durango 2024 Strategic Plan (pages 5-10), copied verbatim. Do not edit them.
Optional for Work Systems and Key Services.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600-000001000000}">
      <text>
        <r>
          <rPr>
            <sz val="10"/>
            <rFont val="Arial"/>
            <family val="2"/>
          </rPr>
          <t>Type a Key Service ID (ks…). One row per Key Service + Objective pair; a Key Service that supports three Objectives gets three rows.</t>
        </r>
      </text>
    </comment>
    <comment ref="D1" authorId="0" shapeId="0" xr:uid="{00000000-0006-0000-0600-000002000000}">
      <text>
        <r>
          <rPr>
            <sz val="10"/>
            <rFont val="Arial"/>
            <family val="2"/>
          </rPr>
          <t>Type an Objective ID (ob…).</t>
        </r>
      </text>
    </comment>
  </commentList>
</comments>
</file>

<file path=xl/sharedStrings.xml><?xml version="1.0" encoding="utf-8"?>
<sst xmlns="http://schemas.openxmlformats.org/spreadsheetml/2006/main" count="3206" uniqueCount="951">
  <si>
    <t>Dept</t>
  </si>
  <si>
    <t>KPI count</t>
  </si>
  <si>
    <t>KPI's Selected?</t>
  </si>
  <si>
    <t>All cataloged?</t>
  </si>
  <si>
    <t>Data been asked for?</t>
  </si>
  <si>
    <t>All data entered?</t>
  </si>
  <si>
    <t>Benchmark/ target entered?</t>
  </si>
  <si>
    <t>Narrative added?</t>
  </si>
  <si>
    <t>Visual confirmation from dep?</t>
  </si>
  <si>
    <t>PD</t>
  </si>
  <si>
    <t>HR</t>
  </si>
  <si>
    <t>TRAN</t>
  </si>
  <si>
    <t>CLERK</t>
  </si>
  <si>
    <t>LIB</t>
  </si>
  <si>
    <t>PIO</t>
  </si>
  <si>
    <t>Need KS metrics id's</t>
  </si>
  <si>
    <t>IT</t>
  </si>
  <si>
    <t>AIR</t>
  </si>
  <si>
    <t>CAO</t>
  </si>
  <si>
    <t>CMO</t>
  </si>
  <si>
    <t>OE</t>
  </si>
  <si>
    <t>COMDEV</t>
  </si>
  <si>
    <t>FIN</t>
  </si>
  <si>
    <t>PROSP</t>
  </si>
  <si>
    <t>PW</t>
  </si>
  <si>
    <t>COURT</t>
  </si>
  <si>
    <t>PR</t>
  </si>
  <si>
    <t>REC</t>
  </si>
  <si>
    <t>Key Work System</t>
  </si>
  <si>
    <t>Key Service</t>
  </si>
  <si>
    <t>Program</t>
  </si>
  <si>
    <t>Dashboard ID</t>
  </si>
  <si>
    <t>Metrics</t>
  </si>
  <si>
    <t>Data?</t>
  </si>
  <si>
    <t>Target?</t>
  </si>
  <si>
    <t>Benchmark?</t>
  </si>
  <si>
    <t>Narrative?</t>
  </si>
  <si>
    <t>Dash Status</t>
  </si>
  <si>
    <t>Note</t>
  </si>
  <si>
    <t>Leadership &amp; Governance
(ws1)</t>
  </si>
  <si>
    <t>Administrative Leadership &amp; Governance (ks1)</t>
  </si>
  <si>
    <t>Strategic Planning</t>
  </si>
  <si>
    <t>p2</t>
  </si>
  <si>
    <t>Organizational Performance Management</t>
  </si>
  <si>
    <t>p3</t>
  </si>
  <si>
    <t>Compliance Oversight</t>
  </si>
  <si>
    <t>p4</t>
  </si>
  <si>
    <t>Customer Service</t>
  </si>
  <si>
    <t>p5</t>
  </si>
  <si>
    <t>City Clerk &amp; Records Management (ks2)
Records Request Response Rate
Agenda Posting time
Liquor and marijuana license turnaround
Business License Turnaround
Voter turnout (%)</t>
  </si>
  <si>
    <t>Records Management</t>
  </si>
  <si>
    <t>p7</t>
  </si>
  <si>
    <t>Records request response rate</t>
  </si>
  <si>
    <t>Elections Administration</t>
  </si>
  <si>
    <t>p8</t>
  </si>
  <si>
    <t>Voter turnout (%)</t>
  </si>
  <si>
    <t>Response rate for public election related questions</t>
  </si>
  <si>
    <t>Logic and accuracy test</t>
  </si>
  <si>
    <t>Click through rate on City's election landing page</t>
  </si>
  <si>
    <t>Council/Board Support</t>
  </si>
  <si>
    <t>p6</t>
  </si>
  <si>
    <t>Agenda posting time</t>
  </si>
  <si>
    <t>Licensing</t>
  </si>
  <si>
    <t>p29</t>
  </si>
  <si>
    <t>Liquor and marijuana license turnaround</t>
  </si>
  <si>
    <t>Business license turnaround time</t>
  </si>
  <si>
    <t>Public Information &amp; Community Engagement (ks3)</t>
  </si>
  <si>
    <t>Public Outreach</t>
  </si>
  <si>
    <t>p11</t>
  </si>
  <si>
    <t>SeeClickFix requests</t>
  </si>
  <si>
    <t>Website views + social media post link clicks + news letter open rate</t>
  </si>
  <si>
    <t>Social Media</t>
  </si>
  <si>
    <t>p12</t>
  </si>
  <si>
    <t>Social media engagement rate (FB, IG, TT)</t>
  </si>
  <si>
    <t>Social media audience growth (FB, IG, TT)</t>
  </si>
  <si>
    <t>Community Engagement Initiatives</t>
  </si>
  <si>
    <t>p13</t>
  </si>
  <si>
    <t>Number of public comment for regular CC meetings</t>
  </si>
  <si>
    <t>Number of boards</t>
  </si>
  <si>
    <t>Number of volunteers on boards</t>
  </si>
  <si>
    <t>Financial &amp; Internal Services
(ws2)</t>
  </si>
  <si>
    <t>Financial Management &amp; Accountability (ks4)</t>
  </si>
  <si>
    <t>Budgeting &amp; Forecasting</t>
  </si>
  <si>
    <t>p15</t>
  </si>
  <si>
    <t>Grants Management</t>
  </si>
  <si>
    <t>p16</t>
  </si>
  <si>
    <t>Procurement</t>
  </si>
  <si>
    <t>p17</t>
  </si>
  <si>
    <t>Contract Management</t>
  </si>
  <si>
    <t>p97</t>
  </si>
  <si>
    <t>Vendor Management</t>
  </si>
  <si>
    <t>p98</t>
  </si>
  <si>
    <t>Accounting &amp; Reporting</t>
  </si>
  <si>
    <t>p18</t>
  </si>
  <si>
    <t>Revenue Collection</t>
  </si>
  <si>
    <t>p21</t>
  </si>
  <si>
    <t>Financial Compliance</t>
  </si>
  <si>
    <t>p99</t>
  </si>
  <si>
    <t>Human Resources &amp; Workforce Development (ks5)
Employee Engagement Rate (EE survey)
Hiring: time to hire from NeoGov
Retain &amp; Develop: Internal promotion rate
Retain &amp; develop: turnover rate by voluntary vs not</t>
  </si>
  <si>
    <t>Learning &amp; Development</t>
  </si>
  <si>
    <t>p22</t>
  </si>
  <si>
    <t>CFT participation</t>
  </si>
  <si>
    <t>Utilization of tuition reimbursement program</t>
  </si>
  <si>
    <t>Utilization of professional development budget</t>
  </si>
  <si>
    <t>Recruitment &amp; Retention</t>
  </si>
  <si>
    <t>p24</t>
  </si>
  <si>
    <t>Retain: Employee Engagement Rate (EE survey)</t>
  </si>
  <si>
    <t>Attracting: job posting view</t>
  </si>
  <si>
    <t>Attracting: applications per recruitment</t>
  </si>
  <si>
    <t>Attracting: traffic source data</t>
  </si>
  <si>
    <t>Hiring: time to hire from NeoGov</t>
  </si>
  <si>
    <t>Hiring: offer acceptance rate</t>
  </si>
  <si>
    <t>Retain &amp; develop: vacancy rate</t>
  </si>
  <si>
    <t>Retain &amp; develop: 1st year retention</t>
  </si>
  <si>
    <t>Retain &amp; Develop: Internal promotion rate</t>
  </si>
  <si>
    <t>Retain &amp; develop: turnover rate</t>
  </si>
  <si>
    <t>Compensation &amp; Benefits</t>
  </si>
  <si>
    <t>p25</t>
  </si>
  <si>
    <t>Exit survey: satisfaction with compensation and benefits</t>
  </si>
  <si>
    <t>Employee Engagement Survey: satisfaction with compensation and benefits</t>
  </si>
  <si>
    <t>Legal Services (ks6)</t>
  </si>
  <si>
    <t>Legal Counsel</t>
  </si>
  <si>
    <t>p26</t>
  </si>
  <si>
    <t>Risk Management</t>
  </si>
  <si>
    <t>p27</t>
  </si>
  <si>
    <t>DOT Compliance Score (employees with CDLs)</t>
  </si>
  <si>
    <t>EMOD (experience modification) for Work Comp - annually from Pinnacol, score dictates premium</t>
  </si>
  <si>
    <t>Work Comp (loss run report?)</t>
  </si>
  <si>
    <t>Property casualty claims (by department, dollar amount)</t>
  </si>
  <si>
    <t>Accident Review Board - Average or cumulative severity?</t>
  </si>
  <si>
    <t>Safety Training</t>
  </si>
  <si>
    <t>Code Compliance</t>
  </si>
  <si>
    <t>p28</t>
  </si>
  <si>
    <t>Information Technology Services (ks7)
Phish Prone Rate
Network Uptime
PIT Scores
Help Desk Resolution within SLA
IT Liaison Survey</t>
  </si>
  <si>
    <t>Network &amp; Infrastructure Management</t>
  </si>
  <si>
    <t>p30</t>
  </si>
  <si>
    <t>Network Uptime (Planned vs. Unplanned)</t>
  </si>
  <si>
    <t>Cybersecurity</t>
  </si>
  <si>
    <t>p31</t>
  </si>
  <si>
    <t>Organization phish prone rate</t>
  </si>
  <si>
    <t>Business Applications Support</t>
  </si>
  <si>
    <t>p32</t>
  </si>
  <si>
    <t>Tickets per Application</t>
  </si>
  <si>
    <t>GIS</t>
  </si>
  <si>
    <t>p33</t>
  </si>
  <si>
    <t>Address Requirest within SLA</t>
  </si>
  <si>
    <t>New Address NENA Compliance</t>
  </si>
  <si>
    <t>NENA Compliance (overall)</t>
  </si>
  <si>
    <t>Help Desk</t>
  </si>
  <si>
    <t>p34</t>
  </si>
  <si>
    <t>PIT survey</t>
  </si>
  <si>
    <t>Ticket closure within SLA</t>
  </si>
  <si>
    <t>Critical Ticket Count</t>
  </si>
  <si>
    <t>Community Growth &amp; Economic Vitality
(ws3)</t>
  </si>
  <si>
    <t xml:space="preserve">Community Development &amp; Planning (ks8)
Total Regulated Affordable Housing Units
Acres of land annexed and sorted by zone
Building permits issued within 48 hours
Land use permits: Median number of days for application submittal to approval/completion (extreme outliers) - pre app, sign permits, limited use permits, </t>
  </si>
  <si>
    <t>Long Range Comprehensive Planning</t>
  </si>
  <si>
    <t>p35</t>
  </si>
  <si>
    <t>Acres of land annexed and sorted by zone</t>
  </si>
  <si>
    <t>Could plug in metrics from prosperity</t>
  </si>
  <si>
    <t>Dwelling units created each year/existing units = percent increase</t>
  </si>
  <si>
    <t>Development Review &amp; Permitting (inspections)</t>
  </si>
  <si>
    <t>p36</t>
  </si>
  <si>
    <t>Median number of days for application submittal to approval/completion (extreme outliers) - pre app, sign permits, limited use permits,</t>
  </si>
  <si>
    <t>Median number of days for application submittal to approval/completion (extreme outliers) - pre app in two weeks/or other SLA</t>
  </si>
  <si>
    <t>% of applications with a complete review within 21 days</t>
  </si>
  <si>
    <t>% of solar, roofing, windows, siding permits issued in 48 hours</t>
  </si>
  <si>
    <t>Housing Initiatives</t>
  </si>
  <si>
    <t>p37</t>
  </si>
  <si>
    <t>ADU Owner Occupancy Compliance - 50% rn</t>
  </si>
  <si>
    <t>Historical Preservation</t>
  </si>
  <si>
    <t>p38</t>
  </si>
  <si>
    <t>Percent of alteration certificates completed within the 3rd avenue district</t>
  </si>
  <si>
    <t>Economic Prosperity &amp; Business Support (ks9)
Annual URA Income as a rate of growth - broken out individually by URA and total
Occupancy Rate (Year over Year Quarterly) + Visitor Spend (annual YOY)</t>
  </si>
  <si>
    <t>Community Investments, Partnerships, and Grant Making</t>
  </si>
  <si>
    <t>p100</t>
  </si>
  <si>
    <t>Number of grants awarded Annually</t>
  </si>
  <si>
    <t>Local Spend from grants awarded Annually</t>
  </si>
  <si>
    <t>Business Support Services</t>
  </si>
  <si>
    <t>p40</t>
  </si>
  <si>
    <t>Annual URA Income as a rate of growth - broken out individually by URA and total</t>
  </si>
  <si>
    <t>Destination Marketing and Management (Tourism)</t>
  </si>
  <si>
    <t>p43</t>
  </si>
  <si>
    <t>Occupancy Rate (Year over Year Quarterly)</t>
  </si>
  <si>
    <t>Visitor Spend (Annual Year over Year)</t>
  </si>
  <si>
    <t>Total Nights on Tour Sales (annual)</t>
  </si>
  <si>
    <t>Welcome Center Door Count</t>
  </si>
  <si>
    <t>Sustainability &amp; Environmental Stewardship (ks10)</t>
  </si>
  <si>
    <t>Energy, Climate and Sustainability Programs</t>
  </si>
  <si>
    <t>p44</t>
  </si>
  <si>
    <t>Waste Reduction (recycling)</t>
  </si>
  <si>
    <t>p45</t>
  </si>
  <si>
    <t>Water Conservation</t>
  </si>
  <si>
    <t>p46</t>
  </si>
  <si>
    <t>Urban Forestry</t>
  </si>
  <si>
    <t>p47</t>
  </si>
  <si>
    <t>Resilience Planning</t>
  </si>
  <si>
    <t>p48</t>
  </si>
  <si>
    <t>Public Safety
(ws4)</t>
  </si>
  <si>
    <t xml:space="preserve">Public Safety Services (ks11)
Violent/property crime trend
Traffic injury trend 
Fatal crash trend
Response time - segmented into 911 and non emergent response
Call volume - officer initiated vs citizen initiated 
Crime clearance rate - solvability by type. ticket, arrest, transfer out, etc. </t>
  </si>
  <si>
    <t>Police Patrol</t>
  </si>
  <si>
    <t>p49</t>
  </si>
  <si>
    <t>Response Time</t>
  </si>
  <si>
    <t xml:space="preserve">Total incidents - officer initiatied/proactivity vs dispatch call for service by incident type? - outcome would be more proactivity. </t>
  </si>
  <si>
    <t>Proactive vs reactive time</t>
  </si>
  <si>
    <t>Officer initiated activity</t>
  </si>
  <si>
    <t>DUI Arrests</t>
  </si>
  <si>
    <t>Criminal Investigations</t>
  </si>
  <si>
    <t>p50</t>
  </si>
  <si>
    <t>Digital forensics processing (internal and external) - includes devices for other agencies</t>
  </si>
  <si>
    <t>Case Closure Rate by clearance code (cleared by arrest, inactive, etc.) - solvability percent - amount that ended in arrest vs the rest</t>
  </si>
  <si>
    <t>In custody felony reviews - increase in felony arrests by patrol</t>
  </si>
  <si>
    <t>911 Emergency Services</t>
  </si>
  <si>
    <t>p101</t>
  </si>
  <si>
    <t xml:space="preserve">Quality Assurance; </t>
  </si>
  <si>
    <t xml:space="preserve">NFPA Drop Times; </t>
  </si>
  <si>
    <t>Complaint Resolution</t>
  </si>
  <si>
    <t>Administrative Public Safety Services</t>
  </si>
  <si>
    <t>p102</t>
  </si>
  <si>
    <t>Total Hours each property/records employee was spending per officer</t>
  </si>
  <si>
    <t>Evidence Processed vs Discovery for DA (ratio)</t>
  </si>
  <si>
    <t>CORA Requests Processed within specified time frame - PD specific</t>
  </si>
  <si>
    <t>Cases/Records Processed trending (can compare to calls for service)</t>
  </si>
  <si>
    <t>Backgrounds Completed vs people hired</t>
  </si>
  <si>
    <t>Community Satisfaction</t>
  </si>
  <si>
    <t>Special Operations</t>
  </si>
  <si>
    <t>p51</t>
  </si>
  <si>
    <t>Wildlife trends by type</t>
  </si>
  <si>
    <t>Complaints (dog off leash in certain parks, ART, e-bikes, etc.)</t>
  </si>
  <si>
    <t>Citations Issued by kind (brings down number of incidents, traffic accidents, etc.)</t>
  </si>
  <si>
    <t>Trends in complaints vs historical (code enforcement)</t>
  </si>
  <si>
    <t>Total cases (CORE)</t>
  </si>
  <si>
    <t>Time to view case for Safe to Tell (could segment by type or solvability) - criminal vs school administrative issue</t>
  </si>
  <si>
    <t>Public Safety Technology NG (NextGen) 911 Technologies</t>
  </si>
  <si>
    <t>p104</t>
  </si>
  <si>
    <t>Drone as first responder</t>
  </si>
  <si>
    <t>Response time</t>
  </si>
  <si>
    <t>ARFF</t>
  </si>
  <si>
    <t>p54</t>
  </si>
  <si>
    <t>Municipal Court (ks12)
Number of specialty court cases resolved through graduating</t>
  </si>
  <si>
    <t>Municipal Court Administration</t>
  </si>
  <si>
    <t>p55</t>
  </si>
  <si>
    <t>Traffic Court number of cases</t>
  </si>
  <si>
    <t>Juvenile Court number of cases</t>
  </si>
  <si>
    <t>Criminal Court number of cases</t>
  </si>
  <si>
    <t>Specialty Court</t>
  </si>
  <si>
    <t>p58</t>
  </si>
  <si>
    <t>Number of specialty court cases resolved through graduating</t>
  </si>
  <si>
    <t>Prosecutor Success</t>
  </si>
  <si>
    <t>p60</t>
  </si>
  <si>
    <t>Infrastructure
(ws5)</t>
  </si>
  <si>
    <t>Public Works &amp; Municipal Services (ks13)</t>
  </si>
  <si>
    <t>Streets &amp; Traffic Operations</t>
  </si>
  <si>
    <t>p61</t>
  </si>
  <si>
    <t>Stormwater</t>
  </si>
  <si>
    <t>p62</t>
  </si>
  <si>
    <t>Fleet Management</t>
  </si>
  <si>
    <t>p63</t>
  </si>
  <si>
    <t>Facilities Maintenance</t>
  </si>
  <si>
    <t>p64</t>
  </si>
  <si>
    <t>Solid Waste</t>
  </si>
  <si>
    <t>p65</t>
  </si>
  <si>
    <t>Water Utility</t>
  </si>
  <si>
    <t>p66</t>
  </si>
  <si>
    <t>Wastewater Utility</t>
  </si>
  <si>
    <t>p106</t>
  </si>
  <si>
    <t>Asset Management</t>
  </si>
  <si>
    <t>p67</t>
  </si>
  <si>
    <t>Capital Improvement Projects</t>
  </si>
  <si>
    <t>p68</t>
  </si>
  <si>
    <t xml:space="preserve">Transit Services (ks14)
Total Transit Ridership (fixed, para, and micro)
Transit Rider Dependency/ Choice Rider
Vacancy Rate and Occupancy Rate
</t>
  </si>
  <si>
    <t>Fixed-Route Service</t>
  </si>
  <si>
    <t>p69</t>
  </si>
  <si>
    <t>Ridership (segmented by route)</t>
  </si>
  <si>
    <t>Customer Satisfaction Ridership Survey</t>
  </si>
  <si>
    <t>Vehicle Mileage and hours total alongside cost</t>
  </si>
  <si>
    <t>Paratransit</t>
  </si>
  <si>
    <t>p70</t>
  </si>
  <si>
    <t>Trips Delivered / Ridership by Type</t>
  </si>
  <si>
    <t>Multimodal Programs</t>
  </si>
  <si>
    <t>p71</t>
  </si>
  <si>
    <t>Bi-annual bike and pedestrian counts</t>
  </si>
  <si>
    <t>Crash data</t>
  </si>
  <si>
    <t>Linear feet/miles of bike lanes and sidewalks by road classification</t>
  </si>
  <si>
    <t>Microtransit</t>
  </si>
  <si>
    <t>p72</t>
  </si>
  <si>
    <t>met demand</t>
  </si>
  <si>
    <t>Destination and Origin</t>
  </si>
  <si>
    <t>Transit Planning</t>
  </si>
  <si>
    <t>p73</t>
  </si>
  <si>
    <t>Transit Dependency</t>
  </si>
  <si>
    <t>Fare Administration</t>
  </si>
  <si>
    <t>p74</t>
  </si>
  <si>
    <t>Pass type</t>
  </si>
  <si>
    <t>Farebox Revenue</t>
  </si>
  <si>
    <t>Parking Management</t>
  </si>
  <si>
    <t>p75</t>
  </si>
  <si>
    <t>Vacany rate data collection</t>
  </si>
  <si>
    <t>Parking compliance count for the central business district</t>
  </si>
  <si>
    <t>Reasons for citations closure</t>
  </si>
  <si>
    <t>Citation payment rate</t>
  </si>
  <si>
    <t>Asset Management (ks15)</t>
  </si>
  <si>
    <t>Fleet &amp; Facility Management</t>
  </si>
  <si>
    <t>p76</t>
  </si>
  <si>
    <t>Inventory Management</t>
  </si>
  <si>
    <t>p107</t>
  </si>
  <si>
    <t>Asset Lifecycle Management</t>
  </si>
  <si>
    <t>p108</t>
  </si>
  <si>
    <t>Network Equipment</t>
  </si>
  <si>
    <t>p109</t>
  </si>
  <si>
    <t>End User Devices</t>
  </si>
  <si>
    <t>p110</t>
  </si>
  <si>
    <t>IT Fiber Network and Servers</t>
  </si>
  <si>
    <t>p77</t>
  </si>
  <si>
    <t>Streets, Water / Wastewater Systems</t>
  </si>
  <si>
    <t>p122</t>
  </si>
  <si>
    <t>Parks &amp; Recreation Assets</t>
  </si>
  <si>
    <t>p111</t>
  </si>
  <si>
    <t>Streets Systems</t>
  </si>
  <si>
    <t>p78</t>
  </si>
  <si>
    <t>Water Systems</t>
  </si>
  <si>
    <t>p79</t>
  </si>
  <si>
    <t>Wastewater Systems</t>
  </si>
  <si>
    <t>p112</t>
  </si>
  <si>
    <t>Airport Operations (ks16)</t>
  </si>
  <si>
    <t>Airfield &amp; Terminal Operations</t>
  </si>
  <si>
    <t>p80</t>
  </si>
  <si>
    <t>Aviation Services</t>
  </si>
  <si>
    <t>p81</t>
  </si>
  <si>
    <t>Airfield Service</t>
  </si>
  <si>
    <t>p123</t>
  </si>
  <si>
    <t>Terminal and Landside Service</t>
  </si>
  <si>
    <t>p124</t>
  </si>
  <si>
    <t>Parks, Recreation &amp; Cultural Services
(ws6)</t>
  </si>
  <si>
    <t>Library &amp; Learning Services (ks17)
Visitation
Circulation</t>
  </si>
  <si>
    <t>Library Collections &amp; Resources</t>
  </si>
  <si>
    <t>p82</t>
  </si>
  <si>
    <t>Total circulation (physical and digital)</t>
  </si>
  <si>
    <t>Library Space Utilization</t>
  </si>
  <si>
    <t>p83</t>
  </si>
  <si>
    <t>Visitation</t>
  </si>
  <si>
    <t>Program room rentals</t>
  </si>
  <si>
    <t>Unique wireless use and Total Computer Use</t>
  </si>
  <si>
    <t>Library Direct Patron Service</t>
  </si>
  <si>
    <t>p84</t>
  </si>
  <si>
    <t>Reference Questions - 5 segments (avg. per month, manually counted one day per mo)</t>
  </si>
  <si>
    <t>Library Programming &amp; Outreach</t>
  </si>
  <si>
    <t>p85</t>
  </si>
  <si>
    <t>Total social media user engagement</t>
  </si>
  <si>
    <t>Total program attendance</t>
  </si>
  <si>
    <t>Patron per program</t>
  </si>
  <si>
    <t>Total outreach contacts</t>
  </si>
  <si>
    <t>Parks and Open Space Management (ks18)
ops/capital budget per acre of park space - overlay CoD population
ops/capital budget per 1000 acres of open space - overlay CoD population
COMMUNITY SURVEY: Quality of experience results</t>
  </si>
  <si>
    <t>Park Management</t>
  </si>
  <si>
    <t>p88</t>
  </si>
  <si>
    <t>Number of Residents per Park</t>
  </si>
  <si>
    <t>Acres of Parkland per 1,000 Residents</t>
  </si>
  <si>
    <t>Cemetery</t>
  </si>
  <si>
    <t>p116</t>
  </si>
  <si>
    <t>Cremations vs full burial - point in time moving forward</t>
  </si>
  <si>
    <t>Cemetery Plot + Grave Opening Sales</t>
  </si>
  <si>
    <t>Trails</t>
  </si>
  <si>
    <t>p89</t>
  </si>
  <si>
    <t>Miles of Trails</t>
  </si>
  <si>
    <t>Lake Nighthorse</t>
  </si>
  <si>
    <t>p117</t>
  </si>
  <si>
    <t>Pass Retention</t>
  </si>
  <si>
    <t>Program Capacity</t>
  </si>
  <si>
    <t>Open Space Management</t>
  </si>
  <si>
    <t>p118</t>
  </si>
  <si>
    <t>COMMUNITY SURVEY: Parks results</t>
  </si>
  <si>
    <t>FTEs per 1000 acres of open space + ops/capital budget per 1000 acres of open space</t>
  </si>
  <si>
    <t>Forestry</t>
  </si>
  <si>
    <t>p125</t>
  </si>
  <si>
    <t>Tree count + canopy coverage</t>
  </si>
  <si>
    <t>Percentage of trees that require pruning that are in the high risk category</t>
  </si>
  <si>
    <t>Recreation &amp; Community Programs (ks19)
Total pass retention
Total program capacity
Community survey results (with service population or another metric??)
Social media engagement rate - P&amp;R channels only</t>
  </si>
  <si>
    <t>Recreation Center</t>
  </si>
  <si>
    <t>p92</t>
  </si>
  <si>
    <t>Pass Retention - Rec Center</t>
  </si>
  <si>
    <t>Program Capacity - Rec Center</t>
  </si>
  <si>
    <t>Youth/Teen Recreation Programs</t>
  </si>
  <si>
    <t>p94</t>
  </si>
  <si>
    <t>Program Capacity - Youth/Teen Rec</t>
  </si>
  <si>
    <t>Adult/Senior Recreation Programs</t>
  </si>
  <si>
    <t>p96</t>
  </si>
  <si>
    <t>Program Capacity - Adult/Senior Rec</t>
  </si>
  <si>
    <t>Chapman Hill</t>
  </si>
  <si>
    <t>p119</t>
  </si>
  <si>
    <t>Pass Retention - Chapman</t>
  </si>
  <si>
    <t>Program Capacity - Chapman</t>
  </si>
  <si>
    <t>Gymnastics Programs</t>
  </si>
  <si>
    <t>p120</t>
  </si>
  <si>
    <t>Program Capacity - Gymnastics</t>
  </si>
  <si>
    <t>Childcare</t>
  </si>
  <si>
    <t>p121</t>
  </si>
  <si>
    <t>Program Capacity - Child Care</t>
  </si>
  <si>
    <t>Community Events</t>
  </si>
  <si>
    <t>p95</t>
  </si>
  <si>
    <t>All community events - segmented by total, produced and serviced.</t>
  </si>
  <si>
    <t>Number of Permits Issued (Activity, Parks, Banners)</t>
  </si>
  <si>
    <t>Comm survey- have you attended an event?</t>
  </si>
  <si>
    <t>Goal Area</t>
  </si>
  <si>
    <t>Objective</t>
  </si>
  <si>
    <t>Metric  [highlighted = most relevant kpi from the key service]</t>
  </si>
  <si>
    <t>Review note</t>
  </si>
  <si>
    <t>Organizational Stewardship</t>
  </si>
  <si>
    <t>1.1 Ensure a financially sustainable and innovation-led framework that thrives on building effective partnerships to alleviate city costs, and harnesses the power of technology for efficiency.</t>
  </si>
  <si>
    <t>Information Technology Services</t>
  </si>
  <si>
    <t xml:space="preserve">show how well technology is making the city more efficient </t>
  </si>
  <si>
    <t>Phish Prone Rate</t>
  </si>
  <si>
    <t>Network Uptime</t>
  </si>
  <si>
    <t>PIT Scores</t>
  </si>
  <si>
    <t>Help Desk Resolution within SLA</t>
  </si>
  <si>
    <t>IT Liaison Survey</t>
  </si>
  <si>
    <t>Economic Prosperity and Business Support</t>
  </si>
  <si>
    <t>adds revenue that can strengthen the city's longterm financial position</t>
  </si>
  <si>
    <t>Occupancy Rate (Year over Year Quarterly) + Visitor Spend (annual YOY)</t>
  </si>
  <si>
    <t>Financial Management &amp; Accountability</t>
  </si>
  <si>
    <t>budget, revenue collection, and financial compliance are the core long term financial health</t>
  </si>
  <si>
    <t>Administrative Leadership and Governance</t>
  </si>
  <si>
    <t xml:space="preserve">leadership sets the strategic and budget priorities </t>
  </si>
  <si>
    <t>Legal Services</t>
  </si>
  <si>
    <t>risk management and legal counsel protect the city from claims and losses that would cost taxpayers</t>
  </si>
  <si>
    <t xml:space="preserve">1.2 Foster strong community group partnerships through effective communication and a commitment to diversity, equity, and inclusivity efforts while focusing on increased accessibility of services for underserved communities.  </t>
  </si>
  <si>
    <t>leadership builds city partnerships and sets DEI commitment</t>
  </si>
  <si>
    <t>Public Information &amp; Community Engagement</t>
  </si>
  <si>
    <t>outreach and engagement initiatives are how the city reaches community groups and underserved residents</t>
  </si>
  <si>
    <t xml:space="preserve">1.3 Advance a systematic approach toward environmental sustainability through focused efforts to conserve resources and mitigate environmental stressors by meeting or exceeding local, state, and national standards. </t>
  </si>
  <si>
    <t>Sustainability &amp; Environmental Stewardship</t>
  </si>
  <si>
    <t>the city's main tools for conserving resources</t>
  </si>
  <si>
    <t xml:space="preserve">Public Works &amp; Municipal Services </t>
  </si>
  <si>
    <t>decide whether the city meets environmental standards</t>
  </si>
  <si>
    <t>Innovative Housing and Economic Development</t>
  </si>
  <si>
    <t xml:space="preserve">2.1 Cultivate innovative housing solutions and partnerships to advance the development of a variety of housing options to support a multigenerational and mixed-income community by narrowing the gap between income levels and housing affordability. </t>
  </si>
  <si>
    <t>Community Development &amp; Planning</t>
  </si>
  <si>
    <t>shows progress on housing options for all income levels</t>
  </si>
  <si>
    <t>Total Regulated Affordable Housing Units</t>
  </si>
  <si>
    <t>Building permits issued within 48 hours</t>
  </si>
  <si>
    <t xml:space="preserve">Land use permits: Median number of days for application submittal to approval/completion (extreme outliers) - pre app, sign permits, limited use permits, </t>
  </si>
  <si>
    <t>2.2 Stimulate economic progress and resiliency through strategic collaboration, nurturing entrepreneurship and supporting business growth through well-designed City services and programs.</t>
  </si>
  <si>
    <t>City Clerk and Records Management</t>
  </si>
  <si>
    <t>fast business and liquor licensing turnaround is a "well designed city service" that helps business grow and open</t>
  </si>
  <si>
    <t>Records Request Response Rate</t>
  </si>
  <si>
    <t>Agenda Posting time</t>
  </si>
  <si>
    <t>Business License Turnaround</t>
  </si>
  <si>
    <t>shows how well city services support businesses and developers</t>
  </si>
  <si>
    <t xml:space="preserve">Economic Prosperity &amp; Business Support
</t>
  </si>
  <si>
    <t>measures the health of the local tourism and business economy</t>
  </si>
  <si>
    <t xml:space="preserve">2.3 Preserve and enhance Durango’s distinctive appeal and competitive edge as an attractive community by engaging in community-driven planning, strategic infrastructure investments, and partnerships between the public and private sectors.  </t>
  </si>
  <si>
    <t>shape how durango grows while protecting its character</t>
  </si>
  <si>
    <t>shows return of public-private investments in key districts</t>
  </si>
  <si>
    <t>Safety and Quality of Life</t>
  </si>
  <si>
    <t xml:space="preserve">3.1 Ensure the seamless operation and continual enhancement of police, code enforcement, 911 communications, and contracted emergency services to advance public safety measures, and cooperative emergency preparedness to reinforce community trust to reduce targeted crime rates and enhance the overall sense of safety.  </t>
  </si>
  <si>
    <t>code compliance and prosecution support the enforcemet work that keeps the community safe</t>
  </si>
  <si>
    <t>Public Safety Services</t>
  </si>
  <si>
    <t>show how safe the community is and how well the police and 911 perform</t>
  </si>
  <si>
    <t>Violent/property crime trend</t>
  </si>
  <si>
    <t xml:space="preserve">Traffic injury trend </t>
  </si>
  <si>
    <t>Fatal crash trend</t>
  </si>
  <si>
    <t>Response time - segmented into 911 and non emergent response</t>
  </si>
  <si>
    <t xml:space="preserve">Call volume - officer initiated vs citizen initiated </t>
  </si>
  <si>
    <t xml:space="preserve">Crime clearance rate - solvability by type. ticket, arrest, transfer out, etc. </t>
  </si>
  <si>
    <t>Municipal Court</t>
  </si>
  <si>
    <t>show the court reducing repeat offenses and supporting long term community safety</t>
  </si>
  <si>
    <t>3.2 Provide sustainable and inclusive arts, literacy, culture, and recreation opportunities by listening to the community’s diverse needs.</t>
  </si>
  <si>
    <t>Library &amp; Learning Services</t>
  </si>
  <si>
    <t>shows how much residents use the librarys literacy and cultural offerings</t>
  </si>
  <si>
    <t>visitation</t>
  </si>
  <si>
    <t>circulation</t>
  </si>
  <si>
    <t>Recreation &amp; Community Programs</t>
  </si>
  <si>
    <t>shows whether recreation meets residents' diverse needs</t>
  </si>
  <si>
    <t>Total pass retention</t>
  </si>
  <si>
    <t>Total program capacity</t>
  </si>
  <si>
    <t>Community survey results (with service population or another metric??)</t>
  </si>
  <si>
    <t>Social media engagement rate - P&amp;R channels only</t>
  </si>
  <si>
    <t>3.3 Continue the ongoing maintenance, preservation, and acquisition of quality parks, trails, and natural lands.</t>
  </si>
  <si>
    <t>Parks and Open Space Management</t>
  </si>
  <si>
    <t>shows whether parks and open space are being maintained and preservefd</t>
  </si>
  <si>
    <t>ops/capital budget per acre of park space - overlay CoD population</t>
  </si>
  <si>
    <t>ops/capital budget per 1000 acres of open space - overlay CoD population</t>
  </si>
  <si>
    <t>COMMUNITY SURVEY: Quality of experience results</t>
  </si>
  <si>
    <t>Reliable Infrastructure and Community Connectivity</t>
  </si>
  <si>
    <t>4.1 Provide consistently safe, reliable, and accessible mobility and transportation services throughout the community.</t>
  </si>
  <si>
    <t>Transit Services</t>
  </si>
  <si>
    <t>shows how many residents rely on transit for safe, accessible travel</t>
  </si>
  <si>
    <t>Total Transit Ridership</t>
  </si>
  <si>
    <t>Total Rider Dependency / Choice Rider</t>
  </si>
  <si>
    <t>Vacancy Rate and Occupancy Rate</t>
  </si>
  <si>
    <t>4.2 Invest in transportation and infrastructure systems that maximize safety, mobility, innovation, accessibility, and user satisfaction.</t>
  </si>
  <si>
    <t>where transportation investments are delivered</t>
  </si>
  <si>
    <t>4.3 Uphold a continuous, high-efficiency system for managing water, wastewater, and stormwater systems that adhere to strict compliance with environmental regulations.</t>
  </si>
  <si>
    <t>proper asset management  keeps the utility systems reliable and compliant</t>
  </si>
  <si>
    <t>systems directly tied to this objective</t>
  </si>
  <si>
    <t>4.4 Maintain and enhance DRO’s status as the key regional hub for aviation services by delivering safe, efficient, and sustainable airport operations and promoting a competitive airline environment.</t>
  </si>
  <si>
    <t>Airport Operations</t>
  </si>
  <si>
    <t>what keeps DRO a competitive regional hub</t>
  </si>
  <si>
    <t>4.5 Provide resources supporting maintenance, expansion, and ensuring reliable and secure IT infrastructure management.</t>
  </si>
  <si>
    <t>proper asset management  keeps the IT systems reliable and compliant</t>
  </si>
  <si>
    <t>shows how reliable and secure city it systems are</t>
  </si>
  <si>
    <t xml:space="preserve">4.6 Continue planned expansion of City surface transportation system and maintain existing assets within Right of Way </t>
  </si>
  <si>
    <t xml:space="preserve">streets and assets within the right of way </t>
  </si>
  <si>
    <t>Transit Services (ks14)</t>
  </si>
  <si>
    <t>shows how well the transportation system and right of way are being used</t>
  </si>
  <si>
    <t>Engaged and Informed Community</t>
  </si>
  <si>
    <t>5.1 Champion a systematic approach where community engagement, education, outreach and communication thrive as cornerstones of civic involvement.</t>
  </si>
  <si>
    <t>engagement on city channels shows whether outreach is drawing residents</t>
  </si>
  <si>
    <t>voter turnout and timely agenda posting show how well residents can take part in local government</t>
  </si>
  <si>
    <t xml:space="preserve">5.2 Cultivate and leverage communication systems through convenient, open, and accessible information. </t>
  </si>
  <si>
    <t>records request response times and agenda posting show how quickly residents can get pubhlic info</t>
  </si>
  <si>
    <t>website, socials, and newsletter reach show how easily residents can find city info</t>
  </si>
  <si>
    <t>shows residents have free, convenient access to info and learning resources</t>
  </si>
  <si>
    <t>financial transparency</t>
  </si>
  <si>
    <t>Strategic Workforce Development</t>
  </si>
  <si>
    <t>6.1 Foster a workplace culture designed to attract and retain diverse, skilled and engaged staff members, which enhances employee satisfaction, engagement and performance by offering an environment reflective of the City’s commitment to excellence and strategic alignment.</t>
  </si>
  <si>
    <t>Human Resources &amp; Workforce Development</t>
  </si>
  <si>
    <t>show if the city's workplace culture attracts and keeps skilled staff</t>
  </si>
  <si>
    <t>Employee Engagement Rate (EE survey)</t>
  </si>
  <si>
    <t>Retain &amp; develop: turnover rate by voluntary vs not</t>
  </si>
  <si>
    <t>affordability is a major factor is whether the city can attract and keep employees in durango</t>
  </si>
  <si>
    <t>6.2 Ensure a comprehensive career progression strategy that readies employees for key roles and leadership positions in alignment with the City’s long-term goals.</t>
  </si>
  <si>
    <t>Leadership programs prepare employees to step into key roles (CFT involvement and Strat Planning)</t>
  </si>
  <si>
    <t>shows whether employees are being developed for key leaderhip roles</t>
  </si>
  <si>
    <t xml:space="preserve">6.3 Facilitate workforce preparedness through management of City processes, capacity and capability, ensuring optimization of staff skill levels designed to meet operational needs and evolving municipal demands. </t>
  </si>
  <si>
    <t>security awareness and effective IT support show staff have the skills and tools to do their jobs</t>
  </si>
  <si>
    <t>safety training and DOT compliance keep staff certified, safe, and ready to work</t>
  </si>
  <si>
    <t>Org performance management and strat planning make sure city processes match operational needs</t>
  </si>
  <si>
    <t>shows how quickly the city can fill positions to meet operational needs</t>
  </si>
  <si>
    <t>efficiencies for processes that impact every department, and let departments run smoothly</t>
  </si>
  <si>
    <t xml:space="preserve">core city processes every department runs through and depends on </t>
  </si>
  <si>
    <t>KPI ID</t>
  </si>
  <si>
    <t>KPI Name</t>
  </si>
  <si>
    <t>Level</t>
  </si>
  <si>
    <t>Dashboard Item ID</t>
  </si>
  <si>
    <t>Item Name (auto)</t>
  </si>
  <si>
    <t>Also Show Under</t>
  </si>
  <si>
    <t>Also Under (auto)</t>
  </si>
  <si>
    <t>Unit</t>
  </si>
  <si>
    <t>Decimals</t>
  </si>
  <si>
    <t>Higher Is Better</t>
  </si>
  <si>
    <t>Status Based On</t>
  </si>
  <si>
    <t>On Track Within %</t>
  </si>
  <si>
    <t>Off Track Beyond %</t>
  </si>
  <si>
    <t>Drives Status</t>
  </si>
  <si>
    <t>Update Frequency</t>
  </si>
  <si>
    <t>Owner</t>
  </si>
  <si>
    <t>Source</t>
  </si>
  <si>
    <t>Description</t>
  </si>
  <si>
    <t>Footnote</t>
  </si>
  <si>
    <t>Gauge Role (auto)</t>
  </si>
  <si>
    <t>911-COMPLAINTRES</t>
  </si>
  <si>
    <t>number</t>
  </si>
  <si>
    <t>Yes</t>
  </si>
  <si>
    <t>Target</t>
  </si>
  <si>
    <t>Every year</t>
  </si>
  <si>
    <t>Chief of Police</t>
  </si>
  <si>
    <t>911-COMSATISFACTION</t>
  </si>
  <si>
    <t>911-DISPATCHTIME</t>
  </si>
  <si>
    <t xml:space="preserve">911 Answer Times; </t>
  </si>
  <si>
    <t>ks11</t>
  </si>
  <si>
    <t>911-NFPADROPTIME</t>
  </si>
  <si>
    <t>911-QAQC</t>
  </si>
  <si>
    <t>911-SERVICEUPTIME</t>
  </si>
  <si>
    <t xml:space="preserve">911 Services uptime (could roll up to system wide uptime under IT services); </t>
  </si>
  <si>
    <t>911-STAFFING</t>
  </si>
  <si>
    <t>Staffing metrics: Vacancy, turnover, internal promotion?</t>
  </si>
  <si>
    <t>CLERK-AGENDAPOST</t>
  </si>
  <si>
    <t>ks2</t>
  </si>
  <si>
    <t>CLERK-BIZLIC</t>
  </si>
  <si>
    <t>CLERK-CLICKTHRURATE</t>
  </si>
  <si>
    <t>CLERK-CORARESPRATE</t>
  </si>
  <si>
    <t>CLERK-LIQMARJLIC</t>
  </si>
  <si>
    <t>CLERK-LOGICTEST</t>
  </si>
  <si>
    <t>CLERK-QRESPRATE</t>
  </si>
  <si>
    <t>CLERK-SPECCOURT</t>
  </si>
  <si>
    <t># cases resolved through graduating from specialty court</t>
  </si>
  <si>
    <t>ks12</t>
  </si>
  <si>
    <t>CLERK-VOTERTURNOUT</t>
  </si>
  <si>
    <t>HR-ACCREVBOARD</t>
  </si>
  <si>
    <t>HR-APPPERREC</t>
  </si>
  <si>
    <t>Safety / Risk Administrator</t>
  </si>
  <si>
    <t>HR-CFT</t>
  </si>
  <si>
    <t>HR-COMPANDBEN</t>
  </si>
  <si>
    <t>HR-DOTCOMPSCORE</t>
  </si>
  <si>
    <t>HR-EMOD</t>
  </si>
  <si>
    <t>HR-EMPENG</t>
  </si>
  <si>
    <t>Employee engagement score</t>
  </si>
  <si>
    <t>ks5</t>
  </si>
  <si>
    <t>ob18, p24</t>
  </si>
  <si>
    <t>percent</t>
  </si>
  <si>
    <t>Every 2 years</t>
  </si>
  <si>
    <t>HR Director</t>
  </si>
  <si>
    <t>Employee Survey</t>
  </si>
  <si>
    <t>Overall engagement score from the City employee survey, compared with the survey benchmark.</t>
  </si>
  <si>
    <t>HR-INTPROMO</t>
  </si>
  <si>
    <t>HR-JOBPOSTVIEW</t>
  </si>
  <si>
    <t>No</t>
  </si>
  <si>
    <t>HR-LOSSRUNREPORT</t>
  </si>
  <si>
    <t>HR-OFFICERACC</t>
  </si>
  <si>
    <t>HR-PROFDEV</t>
  </si>
  <si>
    <t>HR-PROPCASCLAIM</t>
  </si>
  <si>
    <t>HR-RETENTION</t>
  </si>
  <si>
    <t>HR-SAFETYTRAINING</t>
  </si>
  <si>
    <t>HR-TIMETOHIRE</t>
  </si>
  <si>
    <t>HR-TRAFFICSOURCE</t>
  </si>
  <si>
    <t>HR-TUITIONREIMB</t>
  </si>
  <si>
    <t>HR-TURNRATE</t>
  </si>
  <si>
    <t>Retain &amp; develop: turnover rate by voluntary and involuntary</t>
  </si>
  <si>
    <t>HR-VACRATE</t>
  </si>
  <si>
    <t>IT-PHISHRATE</t>
  </si>
  <si>
    <t>ks7</t>
  </si>
  <si>
    <t>Every Quarter</t>
  </si>
  <si>
    <t>IT Director</t>
  </si>
  <si>
    <t>KnowBe4</t>
  </si>
  <si>
    <t>IT-PITSURV</t>
  </si>
  <si>
    <t>Point in time help desk survey</t>
  </si>
  <si>
    <t>SysAid</t>
  </si>
  <si>
    <t>IT-TIXSLA</t>
  </si>
  <si>
    <t>Help desk ticket SLA compliance</t>
  </si>
  <si>
    <t>IT-UPTIME</t>
  </si>
  <si>
    <t>Network uptime</t>
  </si>
  <si>
    <t>ks7, ob14</t>
  </si>
  <si>
    <t>Solar Winds</t>
  </si>
  <si>
    <t>LIB-CIRCULATION</t>
  </si>
  <si>
    <t>ks17</t>
  </si>
  <si>
    <t>Every Year</t>
  </si>
  <si>
    <t>Library Director</t>
  </si>
  <si>
    <t>LIB-COMPANDWIFI</t>
  </si>
  <si>
    <t>LIB-OUTREACHCON</t>
  </si>
  <si>
    <t>LIB-PATRONPPROG</t>
  </si>
  <si>
    <t>LIB-PROGATTEND</t>
  </si>
  <si>
    <t>LIB-REFQUEST</t>
  </si>
  <si>
    <t>LIB-ROOMRENTALS</t>
  </si>
  <si>
    <t>LIB-SOCIALENG</t>
  </si>
  <si>
    <t>LIB-VISITS</t>
  </si>
  <si>
    <t>PD-BGROUNDSVHIRED</t>
  </si>
  <si>
    <t>PD-CALLVOLUME</t>
  </si>
  <si>
    <t>PD-CASECLOSURERATE</t>
  </si>
  <si>
    <t>PD-CASESPROCESSED</t>
  </si>
  <si>
    <t>PD-CITATIONS</t>
  </si>
  <si>
    <t>PD-COMPLAINTS</t>
  </si>
  <si>
    <t>PD-CORAREQEUESTS</t>
  </si>
  <si>
    <t>PD-CORECASES</t>
  </si>
  <si>
    <t>PD-CRIMECLEARANCE</t>
  </si>
  <si>
    <t>PD-DIGITALFORENSICS</t>
  </si>
  <si>
    <t>PD-DRONEASAFR</t>
  </si>
  <si>
    <t>PD-DUIARRESTS</t>
  </si>
  <si>
    <t>PD-EVIDENCEFORDA</t>
  </si>
  <si>
    <t>PD-FATALCRASH</t>
  </si>
  <si>
    <t>PD-FELONYREVIEWS</t>
  </si>
  <si>
    <t>PD-INCIDENTS</t>
  </si>
  <si>
    <t>PD-OFFICERINITIATED</t>
  </si>
  <si>
    <t>PD-PROACTIVETIME</t>
  </si>
  <si>
    <t>PD-PROPERTYRECTIME</t>
  </si>
  <si>
    <t>PD-RESPONSETIME</t>
  </si>
  <si>
    <t>p49,p104</t>
  </si>
  <si>
    <t>PD-SAFETOTELL</t>
  </si>
  <si>
    <t>PD-TRAFFICINJURY</t>
  </si>
  <si>
    <t>PD-VIOLENTPROPCRIME</t>
  </si>
  <si>
    <t>PD-WILDLIFETRENDS</t>
  </si>
  <si>
    <t>PIO-AUDIENCEGROWTH</t>
  </si>
  <si>
    <t>PIO-ENGRATE</t>
  </si>
  <si>
    <t>ks3</t>
  </si>
  <si>
    <t>Public Information Officer</t>
  </si>
  <si>
    <t>Instagram, Facebook, LinkedIn, TikTok</t>
  </si>
  <si>
    <t>PIO-SEECLICKFIX</t>
  </si>
  <si>
    <t>PIO-VIEWERSHIP</t>
  </si>
  <si>
    <t>PROS-ALLCOMMEVENTS</t>
  </si>
  <si>
    <t>ks20</t>
  </si>
  <si>
    <t>Prosperity Officer</t>
  </si>
  <si>
    <t>PROS-COMMSURVEY</t>
  </si>
  <si>
    <t>PROS-GRANTAWARDED</t>
  </si>
  <si>
    <t>PROS-LOCALSPEND</t>
  </si>
  <si>
    <t>PROS-NIGHTONTOUR</t>
  </si>
  <si>
    <t>PROS-OCCRATE</t>
  </si>
  <si>
    <t>ks9</t>
  </si>
  <si>
    <t>p100, p43</t>
  </si>
  <si>
    <t>PROS-PERMITNUM</t>
  </si>
  <si>
    <t>PROS-PROP123</t>
  </si>
  <si>
    <t>Building Permits Issued Under Prop 123</t>
  </si>
  <si>
    <t>Benchmark is the goal of 99 by 2029</t>
  </si>
  <si>
    <t>PROS-REGULATEDUNITS</t>
  </si>
  <si>
    <t>ks8</t>
  </si>
  <si>
    <t>Counts homes with a formal affordability agreement on record with the City, by the year each property was completed. Mixed-income developments count only their income-restricted units. Another 114+ units are planned through City partnerships but not yet built.</t>
  </si>
  <si>
    <t>PROS-RESBUILPERMIT</t>
  </si>
  <si>
    <t>Total Residential Budilding Permits</t>
  </si>
  <si>
    <t>PROS-URAINCOME</t>
  </si>
  <si>
    <t>p100, p40</t>
  </si>
  <si>
    <t>PROS-VISITORSPEND</t>
  </si>
  <si>
    <t>p43, ks9</t>
  </si>
  <si>
    <t>PROS-WELCOMECENT</t>
  </si>
  <si>
    <t>TRAN-BIKEANDSWLINFT</t>
  </si>
  <si>
    <t>ks14</t>
  </si>
  <si>
    <t>Multimodal Manager</t>
  </si>
  <si>
    <t>TRAN-BIKEPEDCOUNT</t>
  </si>
  <si>
    <t>Total of average bike and pedestrian counts at 11 intersections, counted every two years. Shown from 2015, the first year all 11 locations were counted.</t>
  </si>
  <si>
    <t>TRAN-CITATIONCLOSE</t>
  </si>
  <si>
    <t>Parking Manager</t>
  </si>
  <si>
    <t>TRAN-COMPSCORE</t>
  </si>
  <si>
    <t>TRAN-CRASHDATA</t>
  </si>
  <si>
    <t>TRAN-CUSTSAT</t>
  </si>
  <si>
    <t>TRAN-DEPENDENCY</t>
  </si>
  <si>
    <t>TRAN-DESTANDORIGIN</t>
  </si>
  <si>
    <t>TRAN-FAREBOX</t>
  </si>
  <si>
    <t>TRAN-METDEMAND</t>
  </si>
  <si>
    <t>TRAN-MILEAGE</t>
  </si>
  <si>
    <t>TRAN-PASSTYPE</t>
  </si>
  <si>
    <t>TRAN-RIDERSHIP</t>
  </si>
  <si>
    <t>TRAN-TRIPDELIVER</t>
  </si>
  <si>
    <t>Trips Delivered/ ridership by type</t>
  </si>
  <si>
    <t>TRAN-VACRATE</t>
  </si>
  <si>
    <t>TRAN-WINDSHIELDRATE</t>
  </si>
  <si>
    <t>PIO-PUBCOMMENT</t>
  </si>
  <si>
    <t>PIO-NUMBOARDS</t>
  </si>
  <si>
    <t>PIO-BOARDVOLUNTEERS</t>
  </si>
  <si>
    <t>IT-LIAISONSURV</t>
  </si>
  <si>
    <t>IT-APPTICKETS</t>
  </si>
  <si>
    <t>IT-ADDRSLA</t>
  </si>
  <si>
    <t>Address Requests within SLA</t>
  </si>
  <si>
    <t>IT-NENANEW</t>
  </si>
  <si>
    <t>IT-NENAOVERALL</t>
  </si>
  <si>
    <t>IT-CRITTICKETS</t>
  </si>
  <si>
    <t>COMDEV-ANNEXACRES</t>
  </si>
  <si>
    <t>COMDEV-PERMIT48</t>
  </si>
  <si>
    <t>COMDEV-LANDUSEDAYS</t>
  </si>
  <si>
    <t>Land use permits: Median number of days for application submittal to approval/completion (extreme outliers) - pre app, sign permits, limited use permits</t>
  </si>
  <si>
    <t>COMDEV-PREAPPSLA</t>
  </si>
  <si>
    <t>COMDEV-REVIEW21</t>
  </si>
  <si>
    <t>COMDEV-QUICKPERMIT48</t>
  </si>
  <si>
    <t>COMDEV-DWELLINGGROWTH</t>
  </si>
  <si>
    <t>COMDEV-ADUCOMPLY</t>
  </si>
  <si>
    <t>ADU Owner Occupancy Compliance</t>
  </si>
  <si>
    <t>COMDEV-ALTCERTS</t>
  </si>
  <si>
    <t>PD-COMPLAINTTRENDS</t>
  </si>
  <si>
    <t>COURT-TRAFFICCASES</t>
  </si>
  <si>
    <t>COURT-JUVCASES</t>
  </si>
  <si>
    <t>COURT-CRIMCASES</t>
  </si>
  <si>
    <t>TRAN-TOTALRIDERSHIP</t>
  </si>
  <si>
    <t>Total Transit Ridership (fixed, para, and micro)</t>
  </si>
  <si>
    <t>PR-PARKBUDGETACRE</t>
  </si>
  <si>
    <t>Ops/capital budget per acre of park space (overlay CoD population)</t>
  </si>
  <si>
    <t>ks18</t>
  </si>
  <si>
    <t>PR-OSBUDGET1000</t>
  </si>
  <si>
    <t>Ops/capital budget per 1,000 acres of open space (overlay CoD population)</t>
  </si>
  <si>
    <t>PR-QUALITYSURVEY</t>
  </si>
  <si>
    <t>Community survey: quality of experience results</t>
  </si>
  <si>
    <t>PR-RESPERPARK</t>
  </si>
  <si>
    <t>PR-PARKACRES1000</t>
  </si>
  <si>
    <t>PR-CREMVSBURIAL</t>
  </si>
  <si>
    <t>PR-CEMSALES</t>
  </si>
  <si>
    <t>PR-TRAILMILES</t>
  </si>
  <si>
    <t>PR-LNHPASSRET</t>
  </si>
  <si>
    <t>Pass Retention - Lake Nighthorse</t>
  </si>
  <si>
    <t>PR-LNHCAPACITY</t>
  </si>
  <si>
    <t>Program Capacity - Lake Nighthorse</t>
  </si>
  <si>
    <t>PR-OSSURVEY</t>
  </si>
  <si>
    <t>Community survey: Parks results</t>
  </si>
  <si>
    <t>PR-OSFTEBUDGET</t>
  </si>
  <si>
    <t>FTEs per 1,000 acres of open space + ops/capital budget per 1,000 acres of open space</t>
  </si>
  <si>
    <t>PR-TREECANOPY</t>
  </si>
  <si>
    <t>PR-TREERISK</t>
  </si>
  <si>
    <t>REC-PASSRETTOTAL</t>
  </si>
  <si>
    <t>REC-CAPTOTAL</t>
  </si>
  <si>
    <t>REC-SURVEY</t>
  </si>
  <si>
    <t>Community survey results (with service population or another metric)</t>
  </si>
  <si>
    <t>REC-SOCIALENG</t>
  </si>
  <si>
    <t>REC-PASSRETRC</t>
  </si>
  <si>
    <t>REC-CAPRC</t>
  </si>
  <si>
    <t>REC-CAPYOUTH</t>
  </si>
  <si>
    <t>REC-CAPADULT</t>
  </si>
  <si>
    <t>REC-PASSRETCH</t>
  </si>
  <si>
    <t>REC-CAPCH</t>
  </si>
  <si>
    <t>REC-CAPGYM</t>
  </si>
  <si>
    <t>REC-CAPCHILD</t>
  </si>
  <si>
    <t>Period</t>
  </si>
  <si>
    <t>Segment</t>
  </si>
  <si>
    <t>Value</t>
  </si>
  <si>
    <t>Benchmark</t>
  </si>
  <si>
    <t>X</t>
  </si>
  <si>
    <t>2022</t>
  </si>
  <si>
    <t>Full-time employees only</t>
  </si>
  <si>
    <t>2024</t>
  </si>
  <si>
    <t>2026</t>
  </si>
  <si>
    <t>Full-time</t>
  </si>
  <si>
    <t>PT/Seasonal</t>
  </si>
  <si>
    <t>2020</t>
  </si>
  <si>
    <t>2021</t>
  </si>
  <si>
    <t>2023</t>
  </si>
  <si>
    <t>2025</t>
  </si>
  <si>
    <t>Minor</t>
  </si>
  <si>
    <t>Normal</t>
  </si>
  <si>
    <t>Urgent</t>
  </si>
  <si>
    <t>Critical</t>
  </si>
  <si>
    <t>2020-Q1</t>
  </si>
  <si>
    <t>2020-Q2</t>
  </si>
  <si>
    <t>2022-Q2</t>
  </si>
  <si>
    <t>2022-Q3</t>
  </si>
  <si>
    <t>2022-Q4</t>
  </si>
  <si>
    <t>2023-Q1</t>
  </si>
  <si>
    <t>2023-Q2</t>
  </si>
  <si>
    <t>2023-Q3</t>
  </si>
  <si>
    <t>2023-Q4</t>
  </si>
  <si>
    <t>2024-Q1</t>
  </si>
  <si>
    <t>2024-Q2</t>
  </si>
  <si>
    <t>2024-Q3</t>
  </si>
  <si>
    <t>2024-Q4</t>
  </si>
  <si>
    <t>2025-Q1</t>
  </si>
  <si>
    <t>2025-Q2</t>
  </si>
  <si>
    <t>2025-Q3</t>
  </si>
  <si>
    <t>2025-Q4</t>
  </si>
  <si>
    <t>2026-Q1</t>
  </si>
  <si>
    <t>2026-Q2</t>
  </si>
  <si>
    <t>2026-Q3</t>
  </si>
  <si>
    <t>Digital</t>
  </si>
  <si>
    <t>Physical</t>
  </si>
  <si>
    <t>Instagram</t>
  </si>
  <si>
    <t>Facebook</t>
  </si>
  <si>
    <t>TikTok</t>
  </si>
  <si>
    <t>maintain</t>
  </si>
  <si>
    <t>2015</t>
  </si>
  <si>
    <t>2018</t>
  </si>
  <si>
    <t>2019</t>
  </si>
  <si>
    <t>2009</t>
  </si>
  <si>
    <t>E. 2nd Ave. and E. 15th St.</t>
  </si>
  <si>
    <t>2011</t>
  </si>
  <si>
    <t>2013</t>
  </si>
  <si>
    <t>2017</t>
  </si>
  <si>
    <t>E. 32nd St. and N. Main Ave.</t>
  </si>
  <si>
    <t>CR 250 and Florida Rd.</t>
  </si>
  <si>
    <t>E. 3rd Ave./E. 15th St./Florida Rd.</t>
  </si>
  <si>
    <t>W. 3rd St. &amp; W. Park Ave.</t>
  </si>
  <si>
    <t>22nd St. and N. Main Ave.</t>
  </si>
  <si>
    <t>Camino del Rio and 9th St.</t>
  </si>
  <si>
    <t>Three Springs Blvd @ Hwy 160</t>
  </si>
  <si>
    <t>E. College Dr. and E. 8th Ave.</t>
  </si>
  <si>
    <t>HAWK @ W. 12th St. &amp; Camino del Rio</t>
  </si>
  <si>
    <t>Location not counted this year</t>
  </si>
  <si>
    <t>E. 8th Ave and E. 3rd St.</t>
  </si>
  <si>
    <t>ID</t>
  </si>
  <si>
    <t>Name</t>
  </si>
  <si>
    <t>Key Service (for Programs)</t>
  </si>
  <si>
    <t>Work System</t>
  </si>
  <si>
    <t>Goal (for Objectives)</t>
  </si>
  <si>
    <t>ws1</t>
  </si>
  <si>
    <t>Leadership and Governance</t>
  </si>
  <si>
    <t>ws2</t>
  </si>
  <si>
    <t>Financial and Internal Services</t>
  </si>
  <si>
    <t>ws3</t>
  </si>
  <si>
    <t>Community Growth and Economic Vitality</t>
  </si>
  <si>
    <t>ws4</t>
  </si>
  <si>
    <t>Public Safety</t>
  </si>
  <si>
    <t>ws5</t>
  </si>
  <si>
    <t>Infrastructure</t>
  </si>
  <si>
    <t>ws6</t>
  </si>
  <si>
    <t>Parks, Recreation and Cultural Services</t>
  </si>
  <si>
    <t>ks1</t>
  </si>
  <si>
    <t>Administrative Leadership &amp; Governance</t>
  </si>
  <si>
    <t>City Clerk &amp; Records Management</t>
  </si>
  <si>
    <t>ks4</t>
  </si>
  <si>
    <t>ks6</t>
  </si>
  <si>
    <t>Economic Prosperity &amp; Business Support</t>
  </si>
  <si>
    <t>ks10</t>
  </si>
  <si>
    <t>ks13</t>
  </si>
  <si>
    <t>Public Works &amp; Municipal Services</t>
  </si>
  <si>
    <t>ks15</t>
  </si>
  <si>
    <t>ks16</t>
  </si>
  <si>
    <t>Parks &amp; Open Space Management</t>
  </si>
  <si>
    <t>g1</t>
  </si>
  <si>
    <t>Goal</t>
  </si>
  <si>
    <t>Organizational Stewardship addresses the key infrastructure and foundational processes in the organization that serve as a framework for success, ensuring the organization has the resources and approaches in place to support strategic and operational focus. This goal area ensures the integration of organizational efforts and critical factors for short-term success and long-term sustainability.</t>
  </si>
  <si>
    <t>g2</t>
  </si>
  <si>
    <t>Innovative Housing &amp; Economic Development (IHED) aims to advance the city’s housing and economic landscape through strategic partnerships and innovative solutions that bridge the affordability gap and support a multigenerational community. This goal area strives to propel economic progress by encouraging regional collaboration, entrepreneurship, and business growth, underpinned by city-supported initiatives. It also aims to enhance Durango’s unique charm and economic competitiveness by promoting community involvement, strategic infrastructure development, and robust public-private collaborations.</t>
  </si>
  <si>
    <t>g3</t>
  </si>
  <si>
    <t>Safety &amp; Quality of Life</t>
  </si>
  <si>
    <t>Safety &amp; Quality of Life (SQL) focuses on fostering a safe and vibrant community by ensuring the continuous enhancement of police, emergency response, and code enforcement services. This goal area emphasizes the importance of sustainable cultural, artistic, literary, and recreational programs that meet diverse community needs, and the ongoing stewardship of parks, trails, and natural lands to enhance the community’s quality of life.</t>
  </si>
  <si>
    <t>g4</t>
  </si>
  <si>
    <t>Reliable Infrastructure &amp; Community Connectivity (RICC) focuses on establishing a resilient and efficient infrastructure network that supports safe and accessible transportation, innovative utility management, and reliable IT systems. This goal area is committed to enhancing the city’s transportation infrastructure, ensuring compliance with environmental standards, maintaining the regional airport as a key aviation hub, and improving existing infrastructure.</t>
  </si>
  <si>
    <t>g5</t>
  </si>
  <si>
    <t>Engaged &amp; Informed Community (EIC) is dedicated to creating a vibrant civic culture by championing systematic approaches to community engagement, education, and outreach. EIC is focused on cultivating effective communication channels that offer open and accessible information, thereby empowering residents to be actively involved in community affairs and contributing to well-connected and informed citizens.</t>
  </si>
  <si>
    <t>g6</t>
  </si>
  <si>
    <t>Strategic Workforce Development (SWD) is dedicated to enhancing the skills, capabilities, and satisfaction of Durango’s employees. By investing in comprehensive training programs and career development opportunities, SWD aims to build a resilient and adaptable workforce. This goal area underpins the strategic deployment of human resources, ensuring alignment with the city’s long-term objectives and immediate operational needs, thereby strengthening the foundation for sustainable growth and innovation.</t>
  </si>
  <si>
    <t>ob1</t>
  </si>
  <si>
    <t>1.1 Financial Sustainability and Innovation</t>
  </si>
  <si>
    <t>Ensure a financially sustainable and innovation-led framework that thrives on building effective partnerships to alleviate city costs, and harnesses the power of technology for efficiency.</t>
  </si>
  <si>
    <t>ob2</t>
  </si>
  <si>
    <t>1.2 Community Partnerships and Inclusion</t>
  </si>
  <si>
    <t>Foster strong community group partnerships through effective communication and a commitment to diversity, equity, and inclusivity efforts while focusing on increased accessibility of services for underserved communities.</t>
  </si>
  <si>
    <t>ob3</t>
  </si>
  <si>
    <t>1.3 Environmental Stewardship</t>
  </si>
  <si>
    <t>Advance a systematic approach toward environmental sustainability through focused efforts to conserve resources and mitigate environmental stressors by meeting or exceeding local, state, and national standards.</t>
  </si>
  <si>
    <t>ob4</t>
  </si>
  <si>
    <t>2.1 Affordable, Multigenerational Housing</t>
  </si>
  <si>
    <t>Cultivate innovative housing solutions and partnerships to advance the development of a variety of housing options to support a multigenerational and mixed-income community by narrowing the gap between income levels and housing affordability.</t>
  </si>
  <si>
    <t>ob5</t>
  </si>
  <si>
    <t>2.2 Economic Growth and Entrepreneurship</t>
  </si>
  <si>
    <t>Stimulate economic progress and resiliency through strategic collaboration, nurturing entrepreneurship and supporting business growth through well-designed City services and programs.</t>
  </si>
  <si>
    <t>ob6</t>
  </si>
  <si>
    <t>2.3 Community Character and Investments</t>
  </si>
  <si>
    <t>Preserve and enhance Durango’s distinctive appeal and competitive edge as an attractive community by engaging in community-driven planning, strategic infrastructure investments, and partnerships between the public and private sectors.</t>
  </si>
  <si>
    <t>ob7</t>
  </si>
  <si>
    <t>3.1 Public Safety and Emergency Services</t>
  </si>
  <si>
    <t>Ensure the seamless operation and continual enhancement of police, code enforcement, 911 communications, and contracted emergency services to advance public safety measures, and cooperative emergency preparedness to reinforce community trust to reduce targeted crime rates and enhance the overall sense of safety.</t>
  </si>
  <si>
    <t>ob8</t>
  </si>
  <si>
    <t>3.2 Arts, Culture, and Recreation</t>
  </si>
  <si>
    <t>Provide sustainable and inclusive arts, literacy, culture, and recreation opportunities by listening to the community’s diverse needs.</t>
  </si>
  <si>
    <t>ob9</t>
  </si>
  <si>
    <t>3.3 Parks, Trails and Natural Lands</t>
  </si>
  <si>
    <t>Continue the ongoing maintenance, preservation, and acquisition of quality parks, trails, and natural lands.</t>
  </si>
  <si>
    <t>ob10</t>
  </si>
  <si>
    <t>4.1 Safe, Accessible Mobility</t>
  </si>
  <si>
    <t>Provide consistently safe, reliable, and accessible mobility and transportation services throughout the community.</t>
  </si>
  <si>
    <t>ob11</t>
  </si>
  <si>
    <t>4.2 Transportation Infrastructure Investment</t>
  </si>
  <si>
    <t>Invest in transportation and infrastructure systems that maximize safety, mobility, innovation, accessibility, and user satisfaction.</t>
  </si>
  <si>
    <t>ob12</t>
  </si>
  <si>
    <t>4.3 Water and Wastewater Systems</t>
  </si>
  <si>
    <t>Uphold a continuous, high-efficiency system for managing water, wastewater, and stormwater systems that adhere to strict compliance with environmental regulations.</t>
  </si>
  <si>
    <t>ob13</t>
  </si>
  <si>
    <t>4.4 Airport and Aviation Hubs</t>
  </si>
  <si>
    <t>Maintain and enhance DRO’s status as the key regional hub for aviation services by delivering safe, efficient, and sustainable airport operations and promoting a competitive airline environment.</t>
  </si>
  <si>
    <t>ob14</t>
  </si>
  <si>
    <t>4.5 Reliable and Secure IT Infrastrucutre</t>
  </si>
  <si>
    <t>Provide resources supporting maintenance, expansion, and ensuring reliable and secure IT infrastructure management.</t>
  </si>
  <si>
    <t>ob15</t>
  </si>
  <si>
    <t>4.6 City surface Transit and Right of Way</t>
  </si>
  <si>
    <t>Continue planned expansion of City surface transportation system and maintain existing assets within Right of Way</t>
  </si>
  <si>
    <t>ob16</t>
  </si>
  <si>
    <t>5.1 Civic and Engaged Communication</t>
  </si>
  <si>
    <t>Champion a systematic approach where community engagement, education, outreach and communication thrive as cornerstones of civic involvement.</t>
  </si>
  <si>
    <t>ob17</t>
  </si>
  <si>
    <t>5.2 Open and Accessible Information Communication</t>
  </si>
  <si>
    <t>Cultivate and leverage communication systems through convenient, open, and accessible information.</t>
  </si>
  <si>
    <t>ob18</t>
  </si>
  <si>
    <t>6.1 Employee Growth and Retention</t>
  </si>
  <si>
    <t>Foster a workplace culture designed to attract and retain diverse, skilled and engaged staff members, which enhances employee satisfaction, engagement and performance by offering an environment reflective of the City’s commitment to excellence and strategic alignment.</t>
  </si>
  <si>
    <t>ob19</t>
  </si>
  <si>
    <t>6.2 Comprehensive Career Progression Strategy</t>
  </si>
  <si>
    <t>Ensure a comprehensive career progression strategy that readies employees for key roles and leadership positions in alignment with the City’s long-term goals.</t>
  </si>
  <si>
    <t>ob20</t>
  </si>
  <si>
    <t>6.3 Workforce Preparedness and Optimization</t>
  </si>
  <si>
    <t>Facilitate workforce preparedness through management of City processes, capacity and capability, ensuring optimization of staff skill levels designed to meet operational needs and evolving municipal demands.</t>
  </si>
  <si>
    <t>This list mirrors data.json as of 16 October 2026 (Program names match the Metric Wireframe (work system) sheet). Goal and Objective descriptions are council-adopted wording from the 2024 Strategic Plan; do not edit them.</t>
  </si>
  <si>
    <t>Key Service ID</t>
  </si>
  <si>
    <t>Key Service (auto)</t>
  </si>
  <si>
    <t>Work System (auto)</t>
  </si>
  <si>
    <t>Objective ID</t>
  </si>
  <si>
    <t>Objective (auto)</t>
  </si>
  <si>
    <t>Goal (auto)</t>
  </si>
  <si>
    <t>PC and Desktops Replaced within lifecycle</t>
  </si>
  <si>
    <t>total regulated affordable housing units</t>
  </si>
  <si>
    <t>building permits issued under prop 123</t>
  </si>
  <si>
    <t>total residential building permits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</si>
</sst>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sz val="11"/>
      <color theme="0"/>
      <name val="Calibri"/>
      <family val="2"/>
      <charset val="1"/>
    </font>
    <font>
      <sz val="11"/>
      <color theme="3"/>
      <name val="Calibri"/>
      <family val="2"/>
      <charset val="1"/>
    </font>
    <font>
      <sz val="10"/>
      <color rgb="FF14181F"/>
      <name val="Calibri"/>
      <family val="2"/>
      <charset val="1"/>
    </font>
    <font>
      <sz val="10"/>
      <name val="Arial"/>
      <family val="2"/>
    </font>
    <font>
      <b/>
      <sz val="11"/>
      <color theme="0" tint="-4.9989318521683403E-2"/>
      <name val="Arial"/>
      <family val="2"/>
      <charset val="1"/>
    </font>
    <font>
      <sz val="11"/>
      <color theme="0" tint="-4.9989318521683403E-2"/>
      <name val="Arial"/>
      <family val="2"/>
      <charset val="1"/>
    </font>
    <font>
      <b/>
      <sz val="10"/>
      <color theme="0" tint="-4.9989318521683403E-2"/>
      <name val="Aptos"/>
      <charset val="1"/>
    </font>
    <font>
      <b/>
      <sz val="12"/>
      <color rgb="FFFFFFFF"/>
      <name val="Arial"/>
      <family val="2"/>
      <charset val="1"/>
    </font>
    <font>
      <sz val="11"/>
      <color rgb="FF1E1E1E"/>
      <name val="Arial"/>
      <family val="2"/>
      <charset val="1"/>
    </font>
    <font>
      <sz val="10"/>
      <color rgb="FF1E1E1E"/>
      <name val="Arial"/>
      <family val="2"/>
      <charset val="1"/>
    </font>
    <font>
      <sz val="10"/>
      <color rgb="FF8A2E26"/>
      <name val="Arial"/>
      <family val="2"/>
      <charset val="1"/>
    </font>
    <font>
      <sz val="10"/>
      <color theme="1"/>
      <name val="Aptos"/>
      <charset val="1"/>
    </font>
    <font>
      <b/>
      <sz val="10"/>
      <color rgb="FFFFFFFF"/>
      <name val="Aptos"/>
      <charset val="1"/>
    </font>
    <font>
      <sz val="10"/>
      <color rgb="FF1E1E1E"/>
      <name val="Aptos"/>
      <charset val="1"/>
    </font>
    <font>
      <u/>
      <sz val="10"/>
      <color rgb="FF1E1E1E"/>
      <name val="Aptos"/>
      <charset val="1"/>
    </font>
    <font>
      <u/>
      <sz val="10"/>
      <color theme="1"/>
      <name val="Aptos"/>
      <charset val="1"/>
    </font>
    <font>
      <b/>
      <sz val="10"/>
      <color rgb="FFFFFFFF"/>
      <name val="Arial"/>
      <family val="2"/>
      <charset val="1"/>
    </font>
    <font>
      <sz val="10"/>
      <name val="Arial"/>
      <family val="2"/>
      <charset val="1"/>
    </font>
    <font>
      <sz val="12"/>
      <color rgb="FF000000"/>
      <name val="Calibri"/>
      <family val="2"/>
      <charset val="1"/>
    </font>
    <font>
      <sz val="10"/>
      <color rgb="FF5B6B67"/>
      <name val="Arial"/>
      <family val="2"/>
      <charset val="1"/>
    </font>
    <font>
      <sz val="10"/>
      <name val="Trebuchet MS"/>
      <family val="2"/>
      <charset val="1"/>
    </font>
    <font>
      <i/>
      <sz val="10"/>
      <name val="Arial"/>
      <family val="2"/>
      <charset val="1"/>
    </font>
  </fonts>
  <fills count="46">
    <fill>
      <patternFill patternType="none"/>
    </fill>
    <fill>
      <patternFill patternType="gray125"/>
    </fill>
    <fill>
      <patternFill patternType="solid">
        <fgColor theme="3"/>
        <bgColor rgb="FF006A53"/>
      </patternFill>
    </fill>
    <fill>
      <patternFill patternType="solid">
        <fgColor rgb="FF92D050"/>
        <bgColor rgb="FF9BBB59"/>
      </patternFill>
    </fill>
    <fill>
      <patternFill patternType="solid">
        <fgColor theme="0" tint="-0.499984740745262"/>
        <bgColor rgb="FF867971"/>
      </patternFill>
    </fill>
    <fill>
      <patternFill patternType="solid">
        <fgColor theme="9"/>
        <bgColor rgb="FFFCAD70"/>
      </patternFill>
    </fill>
    <fill>
      <patternFill patternType="solid">
        <fgColor theme="9" tint="0.39988402966399123"/>
        <bgColor rgb="FFFCAD70"/>
      </patternFill>
    </fill>
    <fill>
      <patternFill patternType="solid">
        <fgColor theme="9" tint="0.79989013336588644"/>
        <bgColor rgb="FFFDE9D9"/>
      </patternFill>
    </fill>
    <fill>
      <patternFill patternType="solid">
        <fgColor theme="8"/>
        <bgColor rgb="FF42AC9E"/>
      </patternFill>
    </fill>
    <fill>
      <patternFill patternType="solid">
        <fgColor theme="8" tint="0.39988402966399123"/>
        <bgColor rgb="FF99C3BA"/>
      </patternFill>
    </fill>
    <fill>
      <patternFill patternType="solid">
        <fgColor theme="8" tint="0.79989013336588644"/>
        <bgColor rgb="FFDCE6F2"/>
      </patternFill>
    </fill>
    <fill>
      <patternFill patternType="solid">
        <fgColor theme="7"/>
        <bgColor rgb="FF867971"/>
      </patternFill>
    </fill>
    <fill>
      <patternFill patternType="solid">
        <fgColor theme="7" tint="0.39988402966399123"/>
        <bgColor rgb="FFB8A49B"/>
      </patternFill>
    </fill>
    <fill>
      <patternFill patternType="solid">
        <fgColor theme="7" tint="0.79989013336588644"/>
        <bgColor rgb="FFDCE6F2"/>
      </patternFill>
    </fill>
    <fill>
      <patternFill patternType="solid">
        <fgColor theme="6"/>
        <bgColor rgb="FF92D050"/>
      </patternFill>
    </fill>
    <fill>
      <patternFill patternType="solid">
        <fgColor theme="6" tint="0.39988402966399123"/>
        <bgColor rgb="FFDDD9C3"/>
      </patternFill>
    </fill>
    <fill>
      <patternFill patternType="solid">
        <fgColor theme="6" tint="0.79989013336588644"/>
        <bgColor rgb="FFEAF2EF"/>
      </patternFill>
    </fill>
    <fill>
      <patternFill patternType="solid">
        <fgColor theme="5"/>
        <bgColor rgb="FFDA4949"/>
      </patternFill>
    </fill>
    <fill>
      <patternFill patternType="solid">
        <fgColor theme="5" tint="0.39988402966399123"/>
        <bgColor rgb="FFDB8A8A"/>
      </patternFill>
    </fill>
    <fill>
      <patternFill patternType="solid">
        <fgColor theme="5" tint="0.79989013336588644"/>
        <bgColor rgb="FFE6E0EC"/>
      </patternFill>
    </fill>
    <fill>
      <patternFill patternType="solid">
        <fgColor theme="4"/>
        <bgColor rgb="FF476FB5"/>
      </patternFill>
    </fill>
    <fill>
      <patternFill patternType="solid">
        <fgColor theme="4" tint="0.39988402966399123"/>
        <bgColor rgb="FF8FACDE"/>
      </patternFill>
    </fill>
    <fill>
      <patternFill patternType="solid">
        <fgColor theme="4" tint="0.79989013336588644"/>
        <bgColor rgb="FFDBEEF4"/>
      </patternFill>
    </fill>
    <fill>
      <patternFill patternType="solid">
        <fgColor rgb="FFB14C93"/>
        <bgColor rgb="FFC0504D"/>
      </patternFill>
    </fill>
    <fill>
      <patternFill patternType="solid">
        <fgColor rgb="FFDB89C9"/>
        <bgColor rgb="FFD99694"/>
      </patternFill>
    </fill>
    <fill>
      <patternFill patternType="solid">
        <fgColor rgb="FFFAD6F6"/>
        <bgColor rgb="FFF2DCDB"/>
      </patternFill>
    </fill>
    <fill>
      <patternFill patternType="solid">
        <fgColor rgb="FFFFFF00"/>
        <bgColor rgb="FFFAC090"/>
      </patternFill>
    </fill>
    <fill>
      <patternFill patternType="solid">
        <fgColor rgb="FFD86528"/>
        <bgColor rgb="FFDA4949"/>
      </patternFill>
    </fill>
    <fill>
      <patternFill patternType="solid">
        <fgColor rgb="FFFCAD70"/>
        <bgColor rgb="FFFAC090"/>
      </patternFill>
    </fill>
    <fill>
      <patternFill patternType="solid">
        <fgColor rgb="FFFFE6D2"/>
        <bgColor rgb="FFFDE9D9"/>
      </patternFill>
    </fill>
    <fill>
      <patternFill patternType="solid">
        <fgColor rgb="FF42AC9E"/>
        <bgColor rgb="FF4BACC6"/>
      </patternFill>
    </fill>
    <fill>
      <patternFill patternType="solid">
        <fgColor rgb="FF79D2C6"/>
        <bgColor rgb="FF93CDDD"/>
      </patternFill>
    </fill>
    <fill>
      <patternFill patternType="solid">
        <fgColor rgb="FFC1F5E1"/>
        <bgColor rgb="FFDBEEF4"/>
      </patternFill>
    </fill>
    <fill>
      <patternFill patternType="solid">
        <fgColor rgb="FF476FB5"/>
        <bgColor rgb="FF4F81BD"/>
      </patternFill>
    </fill>
    <fill>
      <patternFill patternType="solid">
        <fgColor rgb="FF8FACDE"/>
        <bgColor rgb="FF95B3D7"/>
      </patternFill>
    </fill>
    <fill>
      <patternFill patternType="solid">
        <fgColor rgb="FFCCD0FD"/>
        <bgColor rgb="FFC6D9F1"/>
      </patternFill>
    </fill>
    <fill>
      <patternFill patternType="solid">
        <fgColor rgb="FFDA4949"/>
        <bgColor rgb="FFC0504D"/>
      </patternFill>
    </fill>
    <fill>
      <patternFill patternType="solid">
        <fgColor rgb="FFDB8A8A"/>
        <bgColor rgb="FFD99694"/>
      </patternFill>
    </fill>
    <fill>
      <patternFill patternType="solid">
        <fgColor rgb="FF867971"/>
        <bgColor rgb="FF808080"/>
      </patternFill>
    </fill>
    <fill>
      <patternFill patternType="solid">
        <fgColor rgb="FFB8A49B"/>
        <bgColor rgb="FFCAABB1"/>
      </patternFill>
    </fill>
    <fill>
      <patternFill patternType="solid">
        <fgColor rgb="FFDBC3B8"/>
        <bgColor rgb="FFD0B7A0"/>
      </patternFill>
    </fill>
    <fill>
      <patternFill patternType="solid">
        <fgColor rgb="FF006A53"/>
        <bgColor rgb="FF1F497D"/>
      </patternFill>
    </fill>
    <fill>
      <patternFill patternType="solid">
        <fgColor rgb="FFFDE9D9"/>
        <bgColor rgb="FFFDEADA"/>
      </patternFill>
    </fill>
    <fill>
      <patternFill patternType="solid">
        <fgColor theme="2" tint="-9.9978637043366805E-2"/>
        <bgColor rgb="FFF2DCDB"/>
      </patternFill>
    </fill>
    <fill>
      <patternFill patternType="solid">
        <fgColor theme="3" tint="0.79979857783745845"/>
        <bgColor rgb="FFCCD0FD"/>
      </patternFill>
    </fill>
    <fill>
      <patternFill patternType="solid">
        <fgColor rgb="FFEAF2EF"/>
        <bgColor rgb="FFF2F2F2"/>
      </patternFill>
    </fill>
  </fills>
  <borders count="21">
    <border>
      <left/>
      <right/>
      <top/>
      <bottom/>
      <diagonal/>
    </border>
    <border>
      <left/>
      <right/>
      <top/>
      <bottom style="thin">
        <color rgb="FFFFFFFF"/>
      </bottom>
      <diagonal/>
    </border>
    <border>
      <left/>
      <right/>
      <top/>
      <bottom style="thin">
        <color rgb="FFA5B8C9"/>
      </bottom>
      <diagonal/>
    </border>
    <border>
      <left/>
      <right/>
      <top style="thin">
        <color rgb="FFFFFFFF"/>
      </top>
      <bottom style="thin">
        <color rgb="FFFFFFFF"/>
      </bottom>
      <diagonal/>
    </border>
    <border>
      <left/>
      <right/>
      <top style="thin">
        <color rgb="FFA5B8C9"/>
      </top>
      <bottom style="thin">
        <color rgb="FFA5B8C9"/>
      </bottom>
      <diagonal/>
    </border>
    <border>
      <left/>
      <right/>
      <top style="thin">
        <color rgb="FFA5B8C9"/>
      </top>
      <bottom/>
      <diagonal/>
    </border>
    <border>
      <left/>
      <right/>
      <top/>
      <bottom style="thin">
        <color rgb="FF99C3BA"/>
      </bottom>
      <diagonal/>
    </border>
    <border>
      <left/>
      <right/>
      <top style="thin">
        <color rgb="FF99C3BA"/>
      </top>
      <bottom style="thin">
        <color rgb="FF99C3BA"/>
      </bottom>
      <diagonal/>
    </border>
    <border>
      <left/>
      <right/>
      <top style="thin">
        <color rgb="FF99C3BA"/>
      </top>
      <bottom style="thin">
        <color rgb="FFD0B7A0"/>
      </bottom>
      <diagonal/>
    </border>
    <border>
      <left/>
      <right/>
      <top/>
      <bottom style="thin">
        <color rgb="FFD0B7A0"/>
      </bottom>
      <diagonal/>
    </border>
    <border>
      <left/>
      <right/>
      <top style="thin">
        <color rgb="FFD0B7A0"/>
      </top>
      <bottom style="thin">
        <color rgb="FFD0B7A0"/>
      </bottom>
      <diagonal/>
    </border>
    <border>
      <left/>
      <right/>
      <top style="thin">
        <color rgb="FFD0B7A0"/>
      </top>
      <bottom/>
      <diagonal/>
    </border>
    <border>
      <left/>
      <right/>
      <top style="thin">
        <color rgb="FFD0B7A0"/>
      </top>
      <bottom style="thin">
        <color rgb="FFCAABB1"/>
      </bottom>
      <diagonal/>
    </border>
    <border>
      <left/>
      <right/>
      <top/>
      <bottom style="thin">
        <color rgb="FFCAABB1"/>
      </bottom>
      <diagonal/>
    </border>
    <border>
      <left/>
      <right/>
      <top style="thin">
        <color rgb="FFCAABB1"/>
      </top>
      <bottom style="thin">
        <color rgb="FFCAABB1"/>
      </bottom>
      <diagonal/>
    </border>
    <border>
      <left/>
      <right/>
      <top/>
      <bottom style="thin">
        <color rgb="FFB7BBC1"/>
      </bottom>
      <diagonal/>
    </border>
    <border>
      <left/>
      <right/>
      <top style="thin">
        <color rgb="FFB7BBC1"/>
      </top>
      <bottom style="thin">
        <color rgb="FFB7BBC1"/>
      </bottom>
      <diagonal/>
    </border>
    <border>
      <left/>
      <right/>
      <top/>
      <bottom style="thin">
        <color rgb="FFBDB7D0"/>
      </bottom>
      <diagonal/>
    </border>
    <border>
      <left/>
      <right/>
      <top style="thin">
        <color rgb="FFBDB7D0"/>
      </top>
      <bottom style="thin">
        <color rgb="FFBDB7D0"/>
      </bottom>
      <diagonal/>
    </border>
    <border>
      <left/>
      <right/>
      <top style="thin">
        <color rgb="FFFFFFFF"/>
      </top>
      <bottom/>
      <diagonal/>
    </border>
    <border>
      <left style="thin">
        <color auto="1"/>
      </left>
      <right style="thin">
        <color auto="1"/>
      </right>
      <top/>
      <bottom/>
      <diagonal/>
    </border>
  </borders>
  <cellStyleXfs count="1">
    <xf numFmtId="0" fontId="0" fillId="0" borderId="0"/>
  </cellStyleXfs>
  <cellXfs count="209">
    <xf numFmtId="0" fontId="0" fillId="0" borderId="0" xfId="0"/>
    <xf numFmtId="0" fontId="14" fillId="29" borderId="5" xfId="0" applyFont="1" applyFill="1" applyBorder="1" applyAlignment="1">
      <alignment horizontal="left" vertical="center" wrapText="1"/>
    </xf>
    <xf numFmtId="0" fontId="14" fillId="29" borderId="5" xfId="0" applyFont="1" applyFill="1" applyBorder="1" applyAlignment="1">
      <alignment horizontal="center" vertical="center" wrapText="1"/>
    </xf>
    <xf numFmtId="0" fontId="14" fillId="28" borderId="3" xfId="0" applyFont="1" applyFill="1" applyBorder="1" applyAlignment="1">
      <alignment horizontal="center" vertical="center" wrapText="1"/>
    </xf>
    <xf numFmtId="0" fontId="14" fillId="29" borderId="4" xfId="0" applyFont="1" applyFill="1" applyBorder="1" applyAlignment="1">
      <alignment horizontal="left" vertical="center" wrapText="1"/>
    </xf>
    <xf numFmtId="0" fontId="14" fillId="29" borderId="4" xfId="0" applyFont="1" applyFill="1" applyBorder="1" applyAlignment="1">
      <alignment horizontal="center" vertical="center" wrapText="1"/>
    </xf>
    <xf numFmtId="0" fontId="14" fillId="28" borderId="19" xfId="0" applyFont="1" applyFill="1" applyBorder="1" applyAlignment="1">
      <alignment horizontal="center" vertical="center" wrapText="1"/>
    </xf>
    <xf numFmtId="0" fontId="13" fillId="27" borderId="0" xfId="0" applyFont="1" applyFill="1" applyAlignment="1">
      <alignment horizontal="center" vertical="center" wrapText="1"/>
    </xf>
    <xf numFmtId="0" fontId="14" fillId="24" borderId="0" xfId="0" applyFont="1" applyFill="1" applyAlignment="1">
      <alignment horizontal="center" vertical="center" wrapText="1"/>
    </xf>
    <xf numFmtId="0" fontId="14" fillId="25" borderId="4" xfId="0" applyFont="1" applyFill="1" applyBorder="1" applyAlignment="1">
      <alignment horizontal="left" vertical="center" wrapText="1"/>
    </xf>
    <xf numFmtId="0" fontId="14" fillId="25" borderId="4" xfId="0" applyFont="1" applyFill="1" applyBorder="1" applyAlignment="1">
      <alignment horizontal="center" vertical="center" wrapText="1"/>
    </xf>
    <xf numFmtId="0" fontId="14" fillId="25" borderId="2" xfId="0" applyFont="1" applyFill="1" applyBorder="1" applyAlignment="1">
      <alignment horizontal="left" vertical="center" wrapText="1"/>
    </xf>
    <xf numFmtId="0" fontId="14" fillId="25" borderId="2" xfId="0" applyFont="1" applyFill="1" applyBorder="1" applyAlignment="1">
      <alignment horizontal="center" vertical="center" wrapText="1"/>
    </xf>
    <xf numFmtId="0" fontId="14" fillId="24" borderId="3" xfId="0" applyFont="1" applyFill="1" applyBorder="1" applyAlignment="1">
      <alignment horizontal="center" vertical="center" wrapText="1"/>
    </xf>
    <xf numFmtId="0" fontId="13" fillId="23" borderId="0" xfId="0" applyFont="1" applyFill="1" applyAlignment="1">
      <alignment horizontal="center" vertical="center" wrapText="1"/>
    </xf>
    <xf numFmtId="0" fontId="0" fillId="0" borderId="0" xfId="0" applyAlignment="1">
      <alignment horizontal="center"/>
    </xf>
    <xf numFmtId="0" fontId="1" fillId="2" borderId="0" xfId="0" applyFont="1" applyFill="1" applyAlignment="1">
      <alignment horizontal="center"/>
    </xf>
    <xf numFmtId="0" fontId="1" fillId="2" borderId="0" xfId="0" applyFont="1" applyFill="1"/>
    <xf numFmtId="0" fontId="2" fillId="0" borderId="0" xfId="0" applyFont="1" applyAlignment="1">
      <alignment horizontal="center"/>
    </xf>
    <xf numFmtId="0" fontId="3" fillId="0" borderId="0" xfId="0" applyFont="1" applyAlignment="1">
      <alignment horizontal="center"/>
    </xf>
    <xf numFmtId="0" fontId="0" fillId="3" borderId="0" xfId="0" applyFill="1"/>
    <xf numFmtId="16" fontId="0" fillId="3" borderId="0" xfId="0" applyNumberFormat="1" applyFill="1"/>
    <xf numFmtId="0" fontId="0" fillId="0" borderId="0" xfId="0" applyAlignment="1">
      <alignment horizontal="center" vertical="center"/>
    </xf>
    <xf numFmtId="0" fontId="0" fillId="0" borderId="0" xfId="0" applyAlignment="1">
      <alignment horizontal="left"/>
    </xf>
    <xf numFmtId="0" fontId="5" fillId="4" borderId="0" xfId="0" applyFont="1" applyFill="1" applyAlignment="1">
      <alignment horizontal="center" vertical="center" wrapText="1"/>
    </xf>
    <xf numFmtId="0" fontId="6" fillId="4" borderId="0" xfId="0" applyFont="1" applyFill="1" applyAlignment="1">
      <alignment horizontal="center" vertical="center" wrapText="1"/>
    </xf>
    <xf numFmtId="0" fontId="5" fillId="4" borderId="0" xfId="0" applyFont="1" applyFill="1" applyAlignment="1">
      <alignment vertical="center" wrapText="1"/>
    </xf>
    <xf numFmtId="0" fontId="5" fillId="4" borderId="0" xfId="0" applyFont="1" applyFill="1" applyAlignment="1">
      <alignment horizontal="left" vertical="center"/>
    </xf>
    <xf numFmtId="0" fontId="7" fillId="4" borderId="0" xfId="0" applyFont="1" applyFill="1" applyAlignment="1">
      <alignment horizontal="left" vertical="center" wrapText="1"/>
    </xf>
    <xf numFmtId="0" fontId="7" fillId="4" borderId="0" xfId="0" applyFont="1" applyFill="1" applyAlignment="1">
      <alignment horizontal="center" vertical="center" wrapText="1"/>
    </xf>
    <xf numFmtId="0" fontId="8" fillId="5" borderId="0" xfId="0" applyFont="1" applyFill="1" applyAlignment="1">
      <alignment horizontal="center" vertical="center" wrapText="1"/>
    </xf>
    <xf numFmtId="0" fontId="10" fillId="7" borderId="2" xfId="0" applyFont="1" applyFill="1" applyBorder="1" applyAlignment="1">
      <alignment horizontal="left" vertical="center" wrapText="1"/>
    </xf>
    <xf numFmtId="0" fontId="10" fillId="7" borderId="2" xfId="0" applyFont="1" applyFill="1" applyBorder="1" applyAlignment="1">
      <alignment horizontal="center" vertical="center" wrapText="1"/>
    </xf>
    <xf numFmtId="0" fontId="10" fillId="7" borderId="2" xfId="0" applyFont="1" applyFill="1" applyBorder="1" applyAlignment="1">
      <alignment horizontal="left" vertical="center"/>
    </xf>
    <xf numFmtId="0" fontId="11" fillId="7" borderId="2" xfId="0" applyFont="1" applyFill="1" applyBorder="1" applyAlignment="1">
      <alignment horizontal="left" vertical="center" wrapText="1"/>
    </xf>
    <xf numFmtId="0" fontId="10" fillId="7" borderId="0" xfId="0" applyFont="1" applyFill="1" applyAlignment="1">
      <alignment horizontal="center" vertical="center" wrapText="1"/>
    </xf>
    <xf numFmtId="0" fontId="10" fillId="7" borderId="0" xfId="0" applyFont="1" applyFill="1" applyAlignment="1">
      <alignment horizontal="left" vertical="center" wrapText="1"/>
    </xf>
    <xf numFmtId="0" fontId="10" fillId="10" borderId="6" xfId="0" applyFont="1" applyFill="1" applyBorder="1" applyAlignment="1">
      <alignment horizontal="left" vertical="center" wrapText="1"/>
    </xf>
    <xf numFmtId="0" fontId="10" fillId="10" borderId="6" xfId="0" applyFont="1" applyFill="1" applyBorder="1" applyAlignment="1">
      <alignment horizontal="center" vertical="center" wrapText="1"/>
    </xf>
    <xf numFmtId="0" fontId="10" fillId="10" borderId="6" xfId="0" applyFont="1" applyFill="1" applyBorder="1" applyAlignment="1">
      <alignment horizontal="left" vertical="center"/>
    </xf>
    <xf numFmtId="0" fontId="10" fillId="13" borderId="9" xfId="0" applyFont="1" applyFill="1" applyBorder="1" applyAlignment="1">
      <alignment horizontal="center" vertical="center" wrapText="1"/>
    </xf>
    <xf numFmtId="0" fontId="10" fillId="13" borderId="9" xfId="0" applyFont="1" applyFill="1" applyBorder="1" applyAlignment="1">
      <alignment horizontal="left" vertical="center"/>
    </xf>
    <xf numFmtId="0" fontId="10" fillId="13" borderId="9" xfId="0" applyFont="1" applyFill="1" applyBorder="1" applyAlignment="1">
      <alignment horizontal="left" vertical="center" wrapText="1"/>
    </xf>
    <xf numFmtId="0" fontId="10" fillId="13" borderId="11" xfId="0" applyFont="1" applyFill="1" applyBorder="1" applyAlignment="1">
      <alignment horizontal="left" vertical="center" wrapText="1"/>
    </xf>
    <xf numFmtId="0" fontId="10" fillId="16" borderId="13" xfId="0" applyFont="1" applyFill="1" applyBorder="1" applyAlignment="1">
      <alignment horizontal="center" vertical="center" wrapText="1"/>
    </xf>
    <xf numFmtId="0" fontId="10" fillId="16" borderId="13" xfId="0" applyFont="1" applyFill="1" applyBorder="1" applyAlignment="1">
      <alignment horizontal="left" vertical="center"/>
    </xf>
    <xf numFmtId="0" fontId="10" fillId="16" borderId="13" xfId="0" applyFont="1" applyFill="1" applyBorder="1" applyAlignment="1">
      <alignment horizontal="left" vertical="center" wrapText="1"/>
    </xf>
    <xf numFmtId="0" fontId="11" fillId="16" borderId="13" xfId="0" applyFont="1" applyFill="1" applyBorder="1" applyAlignment="1">
      <alignment horizontal="left" vertical="center" wrapText="1"/>
    </xf>
    <xf numFmtId="0" fontId="10" fillId="19" borderId="15" xfId="0" applyFont="1" applyFill="1" applyBorder="1" applyAlignment="1">
      <alignment horizontal="left" vertical="center" wrapText="1"/>
    </xf>
    <xf numFmtId="0" fontId="10" fillId="19" borderId="15" xfId="0" applyFont="1" applyFill="1" applyBorder="1" applyAlignment="1">
      <alignment horizontal="center" vertical="center" wrapText="1"/>
    </xf>
    <xf numFmtId="0" fontId="10" fillId="19" borderId="15" xfId="0" applyFont="1" applyFill="1" applyBorder="1" applyAlignment="1">
      <alignment horizontal="left" vertical="center"/>
    </xf>
    <xf numFmtId="0" fontId="11" fillId="19" borderId="15" xfId="0" applyFont="1" applyFill="1" applyBorder="1" applyAlignment="1">
      <alignment horizontal="left" vertical="center" wrapText="1"/>
    </xf>
    <xf numFmtId="0" fontId="10" fillId="22" borderId="17" xfId="0" applyFont="1" applyFill="1" applyBorder="1" applyAlignment="1">
      <alignment horizontal="left" vertical="center" wrapText="1"/>
    </xf>
    <xf numFmtId="0" fontId="10" fillId="22" borderId="17" xfId="0" applyFont="1" applyFill="1" applyBorder="1" applyAlignment="1">
      <alignment horizontal="center" vertical="center" wrapText="1"/>
    </xf>
    <xf numFmtId="0" fontId="10" fillId="22" borderId="17" xfId="0" applyFont="1" applyFill="1" applyBorder="1" applyAlignment="1">
      <alignment horizontal="left" vertical="center"/>
    </xf>
    <xf numFmtId="0" fontId="11" fillId="22" borderId="17" xfId="0" applyFont="1" applyFill="1" applyBorder="1" applyAlignment="1">
      <alignment horizontal="left"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left"/>
    </xf>
    <xf numFmtId="0" fontId="12" fillId="0" borderId="0" xfId="0" applyFont="1"/>
    <xf numFmtId="0" fontId="7" fillId="4" borderId="0" xfId="0" applyFont="1" applyFill="1" applyAlignment="1">
      <alignment horizontal="center" vertical="center"/>
    </xf>
    <xf numFmtId="0" fontId="14" fillId="25" borderId="2" xfId="0" applyFont="1" applyFill="1" applyBorder="1" applyAlignment="1">
      <alignment horizontal="center" vertical="center" wrapText="1"/>
    </xf>
    <xf numFmtId="0" fontId="14" fillId="25" borderId="2" xfId="0" applyFont="1" applyFill="1" applyBorder="1" applyAlignment="1">
      <alignment horizontal="left" vertical="center" wrapText="1"/>
    </xf>
    <xf numFmtId="0" fontId="14" fillId="26" borderId="2" xfId="0" applyFont="1" applyFill="1" applyBorder="1" applyAlignment="1">
      <alignment horizontal="left" vertical="center" wrapText="1"/>
    </xf>
    <xf numFmtId="0" fontId="14" fillId="25" borderId="2" xfId="0" applyFont="1" applyFill="1" applyBorder="1" applyAlignment="1">
      <alignment horizontal="left" vertical="center"/>
    </xf>
    <xf numFmtId="0" fontId="15" fillId="25" borderId="2" xfId="0" applyFont="1" applyFill="1" applyBorder="1" applyAlignment="1">
      <alignment horizontal="left" vertical="center" wrapText="1"/>
    </xf>
    <xf numFmtId="0" fontId="15" fillId="25" borderId="2" xfId="0" applyFont="1" applyFill="1" applyBorder="1" applyAlignment="1">
      <alignment horizontal="left" vertical="center"/>
    </xf>
    <xf numFmtId="0" fontId="16" fillId="0" borderId="0" xfId="0" applyFont="1"/>
    <xf numFmtId="0" fontId="14" fillId="29" borderId="2" xfId="0" applyFont="1" applyFill="1" applyBorder="1" applyAlignment="1">
      <alignment horizontal="left" vertical="center" wrapText="1"/>
    </xf>
    <xf numFmtId="0" fontId="14" fillId="29" borderId="2" xfId="0" applyFont="1" applyFill="1" applyBorder="1" applyAlignment="1">
      <alignment horizontal="left" vertical="center"/>
    </xf>
    <xf numFmtId="0" fontId="14" fillId="32" borderId="2" xfId="0" applyFont="1" applyFill="1" applyBorder="1" applyAlignment="1">
      <alignment horizontal="center" vertical="center" wrapText="1"/>
    </xf>
    <xf numFmtId="0" fontId="14" fillId="32" borderId="2" xfId="0" applyFont="1" applyFill="1" applyBorder="1" applyAlignment="1">
      <alignment horizontal="left" vertical="center" wrapText="1"/>
    </xf>
    <xf numFmtId="0" fontId="14" fillId="32" borderId="2" xfId="0" applyFont="1" applyFill="1" applyBorder="1" applyAlignment="1">
      <alignment horizontal="left" vertical="center"/>
    </xf>
    <xf numFmtId="0" fontId="14" fillId="34" borderId="19" xfId="0" applyFont="1" applyFill="1" applyBorder="1" applyAlignment="1">
      <alignment horizontal="center" vertical="center" wrapText="1"/>
    </xf>
    <xf numFmtId="0" fontId="14" fillId="26" borderId="19" xfId="0" applyFont="1" applyFill="1" applyBorder="1" applyAlignment="1">
      <alignment vertical="center" wrapText="1"/>
    </xf>
    <xf numFmtId="0" fontId="14" fillId="35" borderId="19" xfId="0" applyFont="1" applyFill="1" applyBorder="1" applyAlignment="1">
      <alignment vertical="center" wrapText="1"/>
    </xf>
    <xf numFmtId="0" fontId="14" fillId="35" borderId="19" xfId="0" applyFont="1" applyFill="1" applyBorder="1" applyAlignment="1">
      <alignment vertical="center"/>
    </xf>
    <xf numFmtId="0" fontId="14" fillId="35" borderId="19" xfId="0" applyFont="1" applyFill="1" applyBorder="1" applyAlignment="1">
      <alignment horizontal="center" vertical="center" wrapText="1"/>
    </xf>
    <xf numFmtId="0" fontId="14" fillId="35" borderId="19" xfId="0" applyFont="1" applyFill="1" applyBorder="1" applyAlignment="1">
      <alignment horizontal="left" vertical="center" wrapText="1"/>
    </xf>
    <xf numFmtId="0" fontId="14" fillId="19" borderId="19" xfId="0" applyFont="1" applyFill="1" applyBorder="1" applyAlignment="1">
      <alignment horizontal="center" vertical="center" wrapText="1"/>
    </xf>
    <xf numFmtId="0" fontId="14" fillId="19" borderId="19" xfId="0" applyFont="1" applyFill="1" applyBorder="1" applyAlignment="1">
      <alignment horizontal="left" vertical="center" wrapText="1"/>
    </xf>
    <xf numFmtId="0" fontId="14" fillId="19" borderId="19" xfId="0" applyFont="1" applyFill="1" applyBorder="1" applyAlignment="1">
      <alignment vertical="center" wrapText="1"/>
    </xf>
    <xf numFmtId="0" fontId="14" fillId="19" borderId="19" xfId="0" applyFont="1" applyFill="1" applyBorder="1" applyAlignment="1">
      <alignment vertical="center"/>
    </xf>
    <xf numFmtId="0" fontId="14" fillId="19" borderId="19" xfId="0" applyFont="1" applyFill="1" applyBorder="1" applyAlignment="1">
      <alignment horizontal="left" vertical="center"/>
    </xf>
    <xf numFmtId="0" fontId="14" fillId="40" borderId="19" xfId="0" applyFont="1" applyFill="1" applyBorder="1" applyAlignment="1">
      <alignment vertical="center" wrapText="1"/>
    </xf>
    <xf numFmtId="0" fontId="14" fillId="40" borderId="19" xfId="0" applyFont="1" applyFill="1" applyBorder="1" applyAlignment="1">
      <alignment vertical="center"/>
    </xf>
    <xf numFmtId="0" fontId="14" fillId="40" borderId="19" xfId="0" applyFont="1" applyFill="1" applyBorder="1" applyAlignment="1">
      <alignment horizontal="center" vertical="center" wrapText="1"/>
    </xf>
    <xf numFmtId="0" fontId="14" fillId="40" borderId="19" xfId="0" applyFont="1" applyFill="1" applyBorder="1" applyAlignment="1">
      <alignment horizontal="left" vertical="center"/>
    </xf>
    <xf numFmtId="0" fontId="14" fillId="40" borderId="19" xfId="0" applyFont="1" applyFill="1" applyBorder="1" applyAlignment="1">
      <alignment horizontal="left" vertical="center" wrapText="1"/>
    </xf>
    <xf numFmtId="0" fontId="12" fillId="0" borderId="0" xfId="0" applyFont="1" applyAlignment="1">
      <alignment wrapText="1"/>
    </xf>
    <xf numFmtId="0" fontId="12" fillId="0" borderId="0" xfId="0" applyFont="1" applyAlignment="1">
      <alignment horizontal="center"/>
    </xf>
    <xf numFmtId="0" fontId="17" fillId="41" borderId="0" xfId="0" applyFont="1" applyFill="1" applyAlignment="1">
      <alignment horizontal="left" vertical="center"/>
    </xf>
    <xf numFmtId="0" fontId="17" fillId="41" borderId="0" xfId="0" applyFont="1" applyFill="1" applyAlignment="1">
      <alignment vertical="center" wrapText="1"/>
    </xf>
    <xf numFmtId="0" fontId="0" fillId="7" borderId="0" xfId="0" applyFill="1" applyAlignment="1">
      <alignment horizontal="left"/>
    </xf>
    <xf numFmtId="0" fontId="18" fillId="7" borderId="0" xfId="0" applyFont="1" applyFill="1" applyAlignment="1">
      <alignment horizontal="left" vertical="top"/>
    </xf>
    <xf numFmtId="0" fontId="19" fillId="7" borderId="0" xfId="0" applyFont="1" applyFill="1" applyAlignment="1">
      <alignment wrapText="1"/>
    </xf>
    <xf numFmtId="0" fontId="20" fillId="7" borderId="0" xfId="0" applyFont="1" applyFill="1" applyAlignment="1">
      <alignment horizontal="left" vertical="top"/>
    </xf>
    <xf numFmtId="49" fontId="18" fillId="7" borderId="0" xfId="0" applyNumberFormat="1" applyFont="1" applyFill="1" applyAlignment="1">
      <alignment horizontal="left" vertical="top"/>
    </xf>
    <xf numFmtId="0" fontId="20" fillId="0" borderId="0" xfId="0" applyFont="1"/>
    <xf numFmtId="0" fontId="19" fillId="7" borderId="0" xfId="0" applyFont="1" applyFill="1"/>
    <xf numFmtId="0" fontId="18" fillId="16" borderId="0" xfId="0" applyFont="1" applyFill="1" applyAlignment="1">
      <alignment horizontal="left" vertical="top"/>
    </xf>
    <xf numFmtId="0" fontId="19" fillId="16" borderId="0" xfId="0" applyFont="1" applyFill="1" applyAlignment="1">
      <alignment horizontal="left"/>
    </xf>
    <xf numFmtId="0" fontId="20" fillId="16" borderId="0" xfId="0" applyFont="1" applyFill="1" applyAlignment="1">
      <alignment horizontal="left" vertical="top"/>
    </xf>
    <xf numFmtId="49" fontId="18" fillId="16" borderId="0" xfId="0" applyNumberFormat="1" applyFont="1" applyFill="1" applyAlignment="1">
      <alignment horizontal="left" vertical="top"/>
    </xf>
    <xf numFmtId="0" fontId="19" fillId="7" borderId="0" xfId="0" applyFont="1" applyFill="1" applyAlignment="1">
      <alignment horizontal="left"/>
    </xf>
    <xf numFmtId="0" fontId="18" fillId="42" borderId="0" xfId="0" applyFont="1" applyFill="1" applyAlignment="1">
      <alignment horizontal="left" vertical="top"/>
    </xf>
    <xf numFmtId="0" fontId="0" fillId="10" borderId="0" xfId="0" applyFill="1" applyAlignment="1">
      <alignment horizontal="left"/>
    </xf>
    <xf numFmtId="0" fontId="18" fillId="7" borderId="0" xfId="0" applyFont="1" applyFill="1" applyAlignment="1">
      <alignment vertical="top" wrapText="1"/>
    </xf>
    <xf numFmtId="0" fontId="0" fillId="13" borderId="0" xfId="0" applyFill="1" applyAlignment="1">
      <alignment horizontal="left"/>
    </xf>
    <xf numFmtId="0" fontId="0" fillId="16" borderId="0" xfId="0" applyFill="1" applyAlignment="1">
      <alignment horizontal="left"/>
    </xf>
    <xf numFmtId="0" fontId="18" fillId="10" borderId="0" xfId="0" applyFont="1" applyFill="1" applyAlignment="1">
      <alignment horizontal="left" vertical="top"/>
    </xf>
    <xf numFmtId="0" fontId="20" fillId="10" borderId="0" xfId="0" applyFont="1" applyFill="1" applyAlignment="1">
      <alignment horizontal="left" vertical="top"/>
    </xf>
    <xf numFmtId="49" fontId="18" fillId="10" borderId="0" xfId="0" applyNumberFormat="1" applyFont="1" applyFill="1" applyAlignment="1">
      <alignment horizontal="left" vertical="top"/>
    </xf>
    <xf numFmtId="0" fontId="19" fillId="10" borderId="0" xfId="0" applyFont="1" applyFill="1" applyAlignment="1">
      <alignment horizontal="left"/>
    </xf>
    <xf numFmtId="0" fontId="18" fillId="13" borderId="0" xfId="0" applyFont="1" applyFill="1" applyAlignment="1">
      <alignment horizontal="left" vertical="top"/>
    </xf>
    <xf numFmtId="0" fontId="19" fillId="13" borderId="0" xfId="0" applyFont="1" applyFill="1" applyAlignment="1">
      <alignment horizontal="left"/>
    </xf>
    <xf numFmtId="0" fontId="20" fillId="13" borderId="0" xfId="0" applyFont="1" applyFill="1" applyAlignment="1">
      <alignment horizontal="left" vertical="top"/>
    </xf>
    <xf numFmtId="49" fontId="18" fillId="13" borderId="0" xfId="0" applyNumberFormat="1" applyFont="1" applyFill="1" applyAlignment="1">
      <alignment horizontal="left" vertical="top"/>
    </xf>
    <xf numFmtId="0" fontId="0" fillId="19" borderId="0" xfId="0" applyFill="1" applyAlignment="1">
      <alignment horizontal="left"/>
    </xf>
    <xf numFmtId="0" fontId="0" fillId="22" borderId="0" xfId="0" applyFill="1" applyAlignment="1">
      <alignment horizontal="left"/>
    </xf>
    <xf numFmtId="0" fontId="0" fillId="43" borderId="0" xfId="0" applyFill="1" applyAlignment="1">
      <alignment horizontal="left"/>
    </xf>
    <xf numFmtId="0" fontId="18" fillId="43" borderId="0" xfId="0" applyFont="1" applyFill="1" applyAlignment="1">
      <alignment horizontal="left" vertical="top"/>
    </xf>
    <xf numFmtId="0" fontId="19" fillId="43" borderId="0" xfId="0" applyFont="1" applyFill="1"/>
    <xf numFmtId="49" fontId="18" fillId="43" borderId="0" xfId="0" applyNumberFormat="1" applyFont="1" applyFill="1" applyAlignment="1">
      <alignment horizontal="left" vertical="top"/>
    </xf>
    <xf numFmtId="0" fontId="20" fillId="43" borderId="0" xfId="0" applyFont="1" applyFill="1" applyAlignment="1">
      <alignment horizontal="left" vertical="top"/>
    </xf>
    <xf numFmtId="0" fontId="0" fillId="44" borderId="0" xfId="0" applyFill="1" applyAlignment="1">
      <alignment horizontal="left"/>
    </xf>
    <xf numFmtId="0" fontId="18" fillId="19" borderId="0" xfId="0" applyFont="1" applyFill="1" applyAlignment="1">
      <alignment horizontal="left" vertical="top"/>
    </xf>
    <xf numFmtId="0" fontId="20" fillId="19" borderId="0" xfId="0" applyFont="1" applyFill="1" applyAlignment="1">
      <alignment horizontal="left" vertical="top"/>
    </xf>
    <xf numFmtId="49" fontId="18" fillId="19" borderId="0" xfId="0" applyNumberFormat="1" applyFont="1" applyFill="1" applyAlignment="1">
      <alignment horizontal="left" vertical="top"/>
    </xf>
    <xf numFmtId="0" fontId="18" fillId="44" borderId="0" xfId="0" applyFont="1" applyFill="1" applyAlignment="1">
      <alignment horizontal="left" vertical="top"/>
    </xf>
    <xf numFmtId="0" fontId="19" fillId="44" borderId="0" xfId="0" applyFont="1" applyFill="1" applyAlignment="1">
      <alignment horizontal="left"/>
    </xf>
    <xf numFmtId="0" fontId="20" fillId="44" borderId="0" xfId="0" applyFont="1" applyFill="1" applyAlignment="1">
      <alignment horizontal="left" vertical="top"/>
    </xf>
    <xf numFmtId="49" fontId="18" fillId="44" borderId="0" xfId="0" applyNumberFormat="1" applyFont="1" applyFill="1" applyAlignment="1">
      <alignment horizontal="left" vertical="top"/>
    </xf>
    <xf numFmtId="0" fontId="18" fillId="22" borderId="0" xfId="0" applyFont="1" applyFill="1" applyAlignment="1">
      <alignment horizontal="left" vertical="top"/>
    </xf>
    <xf numFmtId="0" fontId="20" fillId="22" borderId="0" xfId="0" applyFont="1" applyFill="1" applyAlignment="1">
      <alignment horizontal="left" vertical="top"/>
    </xf>
    <xf numFmtId="49" fontId="18" fillId="22" borderId="0" xfId="0" applyNumberFormat="1" applyFont="1" applyFill="1" applyAlignment="1">
      <alignment horizontal="left" vertical="top"/>
    </xf>
    <xf numFmtId="0" fontId="18" fillId="0" borderId="0" xfId="0" applyFont="1" applyAlignment="1">
      <alignment horizontal="left" vertical="top"/>
    </xf>
    <xf numFmtId="0" fontId="20" fillId="45" borderId="0" xfId="0" applyFont="1" applyFill="1" applyAlignment="1">
      <alignment horizontal="left" vertical="top"/>
    </xf>
    <xf numFmtId="49" fontId="18" fillId="0" borderId="0" xfId="0" applyNumberFormat="1" applyFont="1" applyAlignment="1">
      <alignment horizontal="left" vertical="top"/>
    </xf>
    <xf numFmtId="0" fontId="17" fillId="41" borderId="0" xfId="0" applyFont="1" applyFill="1" applyAlignment="1">
      <alignment wrapText="1"/>
    </xf>
    <xf numFmtId="0" fontId="18" fillId="16" borderId="0" xfId="0" applyFont="1" applyFill="1" applyAlignment="1">
      <alignment vertical="top" wrapText="1"/>
    </xf>
    <xf numFmtId="0" fontId="18" fillId="16" borderId="0" xfId="0" applyFont="1" applyFill="1" applyAlignment="1">
      <alignment horizontal="center" vertical="top" wrapText="1"/>
    </xf>
    <xf numFmtId="0" fontId="18" fillId="7" borderId="0" xfId="0" applyFont="1" applyFill="1" applyAlignment="1">
      <alignment horizontal="center" vertical="top" wrapText="1"/>
    </xf>
    <xf numFmtId="0" fontId="18" fillId="10" borderId="0" xfId="0" applyFont="1" applyFill="1" applyAlignment="1">
      <alignment vertical="top"/>
    </xf>
    <xf numFmtId="0" fontId="18" fillId="10" borderId="0" xfId="0" applyFont="1" applyFill="1"/>
    <xf numFmtId="49" fontId="18" fillId="10" borderId="0" xfId="0" applyNumberFormat="1" applyFont="1" applyFill="1" applyAlignment="1">
      <alignment horizontal="center" vertical="top"/>
    </xf>
    <xf numFmtId="0" fontId="18" fillId="10" borderId="0" xfId="0" applyFont="1" applyFill="1" applyAlignment="1">
      <alignment horizontal="center" vertical="top"/>
    </xf>
    <xf numFmtId="0" fontId="18" fillId="10" borderId="0" xfId="0" applyFont="1" applyFill="1" applyAlignment="1">
      <alignment vertical="top" wrapText="1"/>
    </xf>
    <xf numFmtId="0" fontId="0" fillId="10" borderId="0" xfId="0" applyFill="1"/>
    <xf numFmtId="0" fontId="0" fillId="10" borderId="0" xfId="0" applyFill="1" applyAlignment="1">
      <alignment horizontal="center"/>
    </xf>
    <xf numFmtId="0" fontId="18" fillId="10" borderId="0" xfId="0" applyFont="1" applyFill="1" applyAlignment="1">
      <alignment horizontal="center" vertical="top" wrapText="1"/>
    </xf>
    <xf numFmtId="0" fontId="18" fillId="13" borderId="0" xfId="0" applyFont="1" applyFill="1" applyAlignment="1">
      <alignment wrapText="1"/>
    </xf>
    <xf numFmtId="0" fontId="18" fillId="13" borderId="0" xfId="0" applyFont="1" applyFill="1" applyAlignment="1">
      <alignment horizontal="center" wrapText="1"/>
    </xf>
    <xf numFmtId="0" fontId="18" fillId="19" borderId="0" xfId="0" applyFont="1" applyFill="1" applyAlignment="1">
      <alignment wrapText="1"/>
    </xf>
    <xf numFmtId="0" fontId="18" fillId="19" borderId="0" xfId="0" applyFont="1" applyFill="1" applyAlignment="1">
      <alignment horizontal="center" wrapText="1"/>
    </xf>
    <xf numFmtId="0" fontId="18" fillId="26" borderId="0" xfId="0" applyFont="1" applyFill="1" applyAlignment="1">
      <alignment horizontal="center" wrapText="1"/>
    </xf>
    <xf numFmtId="49" fontId="18" fillId="22" borderId="0" xfId="0" applyNumberFormat="1" applyFont="1" applyFill="1" applyAlignment="1">
      <alignment vertical="top"/>
    </xf>
    <xf numFmtId="49" fontId="18" fillId="22" borderId="0" xfId="0" applyNumberFormat="1" applyFont="1" applyFill="1" applyAlignment="1">
      <alignment horizontal="center" vertical="top"/>
    </xf>
    <xf numFmtId="49" fontId="18" fillId="0" borderId="0" xfId="0" applyNumberFormat="1" applyFont="1" applyAlignment="1">
      <alignment horizontal="center" vertical="top"/>
    </xf>
    <xf numFmtId="0" fontId="18" fillId="0" borderId="0" xfId="0" applyFont="1" applyAlignment="1">
      <alignment horizontal="center" vertical="top"/>
    </xf>
    <xf numFmtId="0" fontId="18" fillId="0" borderId="0" xfId="0" applyFont="1" applyAlignment="1">
      <alignment vertical="top" wrapText="1"/>
    </xf>
    <xf numFmtId="0" fontId="21" fillId="0" borderId="20" xfId="0" applyFont="1" applyBorder="1"/>
    <xf numFmtId="0" fontId="18" fillId="0" borderId="0" xfId="0" applyFont="1"/>
    <xf numFmtId="0" fontId="22" fillId="0" borderId="0" xfId="0" applyFont="1"/>
    <xf numFmtId="0" fontId="13" fillId="30" borderId="0" xfId="0" applyFont="1" applyFill="1" applyAlignment="1">
      <alignment horizontal="center" vertical="center" wrapText="1"/>
    </xf>
    <xf numFmtId="0" fontId="14" fillId="31" borderId="19"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4" xfId="0" applyFont="1" applyFill="1" applyBorder="1" applyAlignment="1">
      <alignment horizontal="left" vertical="center" wrapText="1"/>
    </xf>
    <xf numFmtId="0" fontId="12" fillId="32" borderId="5" xfId="0" applyFont="1" applyFill="1" applyBorder="1" applyAlignment="1">
      <alignment horizontal="center" vertical="center"/>
    </xf>
    <xf numFmtId="0" fontId="12" fillId="32" borderId="5" xfId="0" applyFont="1" applyFill="1" applyBorder="1" applyAlignment="1">
      <alignment horizontal="left" vertical="center"/>
    </xf>
    <xf numFmtId="0" fontId="13" fillId="33" borderId="0" xfId="0" applyFont="1" applyFill="1" applyAlignment="1">
      <alignment horizontal="center" vertical="center" wrapText="1"/>
    </xf>
    <xf numFmtId="0" fontId="14" fillId="34" borderId="19" xfId="0" applyFont="1" applyFill="1" applyBorder="1" applyAlignment="1">
      <alignment horizontal="center" vertical="center" wrapText="1"/>
    </xf>
    <xf numFmtId="0" fontId="14" fillId="35" borderId="3" xfId="0" applyFont="1" applyFill="1" applyBorder="1" applyAlignment="1">
      <alignment horizontal="center" vertical="center" wrapText="1"/>
    </xf>
    <xf numFmtId="0" fontId="14" fillId="35" borderId="3" xfId="0" applyFont="1" applyFill="1" applyBorder="1" applyAlignment="1">
      <alignment horizontal="left" vertical="center" wrapText="1"/>
    </xf>
    <xf numFmtId="0" fontId="13" fillId="36" borderId="0" xfId="0" applyFont="1" applyFill="1" applyAlignment="1">
      <alignment horizontal="center" vertical="center" wrapText="1"/>
    </xf>
    <xf numFmtId="0" fontId="14" fillId="37" borderId="19" xfId="0" applyFont="1" applyFill="1" applyBorder="1" applyAlignment="1">
      <alignment horizontal="center" vertical="center" wrapText="1"/>
    </xf>
    <xf numFmtId="0" fontId="14" fillId="19" borderId="19" xfId="0" applyFont="1" applyFill="1" applyBorder="1" applyAlignment="1">
      <alignment horizontal="center" vertical="center" wrapText="1"/>
    </xf>
    <xf numFmtId="0" fontId="14" fillId="19" borderId="19" xfId="0" applyFont="1" applyFill="1" applyBorder="1" applyAlignment="1">
      <alignment horizontal="left" vertical="center" wrapText="1"/>
    </xf>
    <xf numFmtId="0" fontId="14" fillId="19" borderId="3" xfId="0" applyFont="1" applyFill="1" applyBorder="1" applyAlignment="1">
      <alignment horizontal="center" vertical="center" wrapText="1"/>
    </xf>
    <xf numFmtId="0" fontId="14" fillId="19" borderId="3" xfId="0" applyFont="1" applyFill="1" applyBorder="1" applyAlignment="1">
      <alignment horizontal="left" vertical="center" wrapText="1"/>
    </xf>
    <xf numFmtId="0" fontId="13" fillId="38" borderId="0" xfId="0" applyFont="1" applyFill="1" applyAlignment="1">
      <alignment horizontal="center" vertical="center" wrapText="1"/>
    </xf>
    <xf numFmtId="0" fontId="14" fillId="39" borderId="3" xfId="0" applyFont="1" applyFill="1" applyBorder="1" applyAlignment="1">
      <alignment horizontal="center" vertical="center" wrapText="1"/>
    </xf>
    <xf numFmtId="0" fontId="14" fillId="40" borderId="3" xfId="0" applyFont="1" applyFill="1" applyBorder="1" applyAlignment="1">
      <alignment horizontal="center" vertical="center" wrapText="1"/>
    </xf>
    <xf numFmtId="0" fontId="14" fillId="40" borderId="3" xfId="0" applyFont="1" applyFill="1" applyBorder="1" applyAlignment="1">
      <alignment horizontal="left" vertical="center" wrapText="1"/>
    </xf>
    <xf numFmtId="0" fontId="14" fillId="39" borderId="19" xfId="0" applyFont="1" applyFill="1" applyBorder="1" applyAlignment="1">
      <alignment horizontal="center" vertical="center" wrapText="1"/>
    </xf>
    <xf numFmtId="0" fontId="8" fillId="5" borderId="0" xfId="0" applyFont="1" applyFill="1" applyAlignment="1">
      <alignment horizontal="center" vertical="center" wrapText="1"/>
    </xf>
    <xf numFmtId="0" fontId="9" fillId="6" borderId="1"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0" fillId="7" borderId="4" xfId="0" applyFont="1" applyFill="1" applyBorder="1" applyAlignment="1">
      <alignment horizontal="left" vertical="center" wrapText="1"/>
    </xf>
    <xf numFmtId="0" fontId="10" fillId="7" borderId="5" xfId="0" applyFont="1" applyFill="1" applyBorder="1" applyAlignment="1">
      <alignment horizontal="left" vertical="center" wrapText="1"/>
    </xf>
    <xf numFmtId="0" fontId="8" fillId="8" borderId="0" xfId="0" applyFont="1" applyFill="1" applyAlignment="1">
      <alignment horizontal="center" vertical="center" wrapText="1"/>
    </xf>
    <xf numFmtId="0" fontId="9" fillId="9" borderId="1" xfId="0" applyFont="1" applyFill="1" applyBorder="1" applyAlignment="1">
      <alignment horizontal="center" vertical="center" wrapText="1"/>
    </xf>
    <xf numFmtId="0" fontId="10" fillId="10" borderId="7" xfId="0" applyFont="1" applyFill="1" applyBorder="1" applyAlignment="1">
      <alignment horizontal="left" vertical="center" wrapText="1"/>
    </xf>
    <xf numFmtId="0" fontId="8" fillId="11" borderId="0" xfId="0" applyFont="1" applyFill="1" applyAlignment="1">
      <alignment horizontal="center" vertical="center" wrapText="1"/>
    </xf>
    <xf numFmtId="0" fontId="9" fillId="12" borderId="1" xfId="0" applyFont="1" applyFill="1" applyBorder="1" applyAlignment="1">
      <alignment horizontal="center" vertical="center" wrapText="1"/>
    </xf>
    <xf numFmtId="0" fontId="10" fillId="13" borderId="8" xfId="0" applyFont="1" applyFill="1" applyBorder="1" applyAlignment="1">
      <alignment horizontal="left" vertical="center" wrapText="1"/>
    </xf>
    <xf numFmtId="0" fontId="10" fillId="13" borderId="10" xfId="0" applyFont="1" applyFill="1" applyBorder="1" applyAlignment="1">
      <alignment horizontal="left" vertical="center" wrapText="1"/>
    </xf>
    <xf numFmtId="0" fontId="8" fillId="14" borderId="0" xfId="0" applyFont="1" applyFill="1" applyAlignment="1">
      <alignment horizontal="center" vertical="center" wrapText="1"/>
    </xf>
    <xf numFmtId="0" fontId="9" fillId="15" borderId="1" xfId="0" applyFont="1" applyFill="1" applyBorder="1" applyAlignment="1">
      <alignment horizontal="center" vertical="center" wrapText="1"/>
    </xf>
    <xf numFmtId="0" fontId="10" fillId="16" borderId="12" xfId="0" applyFont="1" applyFill="1" applyBorder="1" applyAlignment="1">
      <alignment horizontal="left" vertical="center" wrapText="1"/>
    </xf>
    <xf numFmtId="0" fontId="10" fillId="16" borderId="14" xfId="0" applyFont="1" applyFill="1" applyBorder="1" applyAlignment="1">
      <alignment horizontal="left" vertical="center" wrapText="1"/>
    </xf>
    <xf numFmtId="0" fontId="8" fillId="17" borderId="0" xfId="0" applyFont="1" applyFill="1" applyAlignment="1">
      <alignment horizontal="center" vertical="center" wrapText="1"/>
    </xf>
    <xf numFmtId="0" fontId="9" fillId="18" borderId="1" xfId="0" applyFont="1" applyFill="1" applyBorder="1" applyAlignment="1">
      <alignment horizontal="center" vertical="center" wrapText="1"/>
    </xf>
    <xf numFmtId="0" fontId="10" fillId="19" borderId="16" xfId="0" applyFont="1" applyFill="1" applyBorder="1" applyAlignment="1">
      <alignment horizontal="left" vertical="center" wrapText="1"/>
    </xf>
    <xf numFmtId="0" fontId="8" fillId="20" borderId="0" xfId="0" applyFont="1" applyFill="1" applyAlignment="1">
      <alignment horizontal="center" vertical="center" wrapText="1"/>
    </xf>
    <xf numFmtId="0" fontId="9" fillId="21" borderId="1" xfId="0" applyFont="1" applyFill="1" applyBorder="1" applyAlignment="1">
      <alignment horizontal="center" vertical="center" wrapText="1"/>
    </xf>
    <xf numFmtId="0" fontId="10" fillId="22" borderId="18" xfId="0" applyFont="1" applyFill="1" applyBorder="1" applyAlignment="1">
      <alignment horizontal="left" vertical="center" wrapText="1"/>
    </xf>
    <xf numFmtId="0" fontId="9" fillId="21"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DA4949"/>
      <rgbColor rgb="FFBDB7D0"/>
      <rgbColor rgb="FFDCE6F2"/>
      <rgbColor rgb="FFFFFF00"/>
      <rgbColor rgb="FFCAABB1"/>
      <rgbColor rgb="FF99C3BA"/>
      <rgbColor rgb="FFF2DCDB"/>
      <rgbColor rgb="FF9BBB59"/>
      <rgbColor rgb="FFFDE9D9"/>
      <rgbColor rgb="FF867971"/>
      <rgbColor rgb="FFB3A2C7"/>
      <rgbColor rgb="FF006A53"/>
      <rgbColor rgb="FFB7BBC1"/>
      <rgbColor rgb="FF808080"/>
      <rgbColor rgb="FF8FACDE"/>
      <rgbColor rgb="FFB14C93"/>
      <rgbColor rgb="FFEBF1DE"/>
      <rgbColor rgb="FFDBEEF4"/>
      <rgbColor rgb="FFDDD9C3"/>
      <rgbColor rgb="FFDB8A8A"/>
      <rgbColor rgb="FF95B3D7"/>
      <rgbColor rgb="FFCCD0FD"/>
      <rgbColor rgb="FFF2F2F2"/>
      <rgbColor rgb="FFD0B7A0"/>
      <rgbColor rgb="FFC3D69B"/>
      <rgbColor rgb="FFA5B8C9"/>
      <rgbColor rgb="FFDBC3B8"/>
      <rgbColor rgb="FFFAD6F6"/>
      <rgbColor rgb="FF4F81BD"/>
      <rgbColor rgb="FFFFE6D2"/>
      <rgbColor rgb="FF79D2C6"/>
      <rgbColor rgb="FFEAF2EF"/>
      <rgbColor rgb="FFC1F5E1"/>
      <rgbColor rgb="FFFDEADA"/>
      <rgbColor rgb="FF93CDDD"/>
      <rgbColor rgb="FFD99694"/>
      <rgbColor rgb="FFDB89C9"/>
      <rgbColor rgb="FFFAC090"/>
      <rgbColor rgb="FF476FB5"/>
      <rgbColor rgb="FF4BACC6"/>
      <rgbColor rgb="FF92D050"/>
      <rgbColor rgb="FFFCAD70"/>
      <rgbColor rgb="FFF79646"/>
      <rgbColor rgb="FFD86528"/>
      <rgbColor rgb="FF8064A2"/>
      <rgbColor rgb="FFB8A49B"/>
      <rgbColor rgb="FFC6D9F1"/>
      <rgbColor rgb="FF42AC9E"/>
      <rgbColor rgb="FFE6E0EC"/>
      <rgbColor rgb="FF5B6B67"/>
      <rgbColor rgb="FF8A2E26"/>
      <rgbColor rgb="FFC0504D"/>
      <rgbColor rgb="FF1F497D"/>
      <rgbColor rgb="FF1A1B1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17" totalsRowShown="0">
  <autoFilter ref="A1:I17" xr:uid="{00000000-0009-0000-0100-000001000000}"/>
  <tableColumns count="9">
    <tableColumn id="1" xr3:uid="{00000000-0010-0000-0000-000001000000}" name="Dept"/>
    <tableColumn id="2" xr3:uid="{00000000-0010-0000-0000-000002000000}" name="KPI count"/>
    <tableColumn id="3" xr3:uid="{00000000-0010-0000-0000-000003000000}" name="KPI's Selected?"/>
    <tableColumn id="4" xr3:uid="{00000000-0010-0000-0000-000004000000}" name="All cataloged?"/>
    <tableColumn id="5" xr3:uid="{00000000-0010-0000-0000-000005000000}" name="Data been asked for?"/>
    <tableColumn id="6" xr3:uid="{00000000-0010-0000-0000-000006000000}" name="All data entered?"/>
    <tableColumn id="7" xr3:uid="{00000000-0010-0000-0000-000007000000}" name="Benchmark/ target entered?"/>
    <tableColumn id="8" xr3:uid="{00000000-0010-0000-0000-000008000000}" name="Narrative added?"/>
    <tableColumn id="9" xr3:uid="{00000000-0010-0000-0000-000009000000}" name="Visual confirmation from dep?"/>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zoomScaleNormal="100" workbookViewId="0">
      <selection activeCell="D37" sqref="D37"/>
    </sheetView>
  </sheetViews>
  <sheetFormatPr baseColWidth="10" defaultColWidth="8.6640625" defaultRowHeight="15" x14ac:dyDescent="0.2"/>
  <cols>
    <col min="1" max="1" width="9.33203125" style="15" customWidth="1"/>
    <col min="2" max="2" width="10.83203125" style="15" customWidth="1"/>
    <col min="3" max="3" width="17.1640625" style="15" customWidth="1"/>
    <col min="4" max="4" width="16" customWidth="1"/>
    <col min="5" max="5" width="19.1640625" customWidth="1"/>
    <col min="6" max="6" width="16.83203125" customWidth="1"/>
    <col min="7" max="7" width="25.5" customWidth="1"/>
    <col min="8" max="8" width="16.6640625" customWidth="1"/>
    <col min="9" max="9" width="26.6640625" customWidth="1"/>
  </cols>
  <sheetData>
    <row r="1" spans="1:9" ht="15" customHeight="1" x14ac:dyDescent="0.2">
      <c r="A1" s="16" t="s">
        <v>0</v>
      </c>
      <c r="B1" s="16" t="s">
        <v>1</v>
      </c>
      <c r="C1" s="16" t="s">
        <v>2</v>
      </c>
      <c r="D1" s="17" t="s">
        <v>3</v>
      </c>
      <c r="E1" s="17" t="s">
        <v>4</v>
      </c>
      <c r="F1" s="17" t="s">
        <v>5</v>
      </c>
      <c r="G1" s="17" t="s">
        <v>6</v>
      </c>
      <c r="H1" s="17" t="s">
        <v>7</v>
      </c>
      <c r="I1" s="17" t="s">
        <v>8</v>
      </c>
    </row>
    <row r="2" spans="1:9" ht="15" customHeight="1" x14ac:dyDescent="0.2">
      <c r="A2" s="18" t="s">
        <v>9</v>
      </c>
      <c r="B2" s="19">
        <f>COUNTIF('KPI Catalog'!A:A, A2)</f>
        <v>25</v>
      </c>
      <c r="C2" s="19"/>
      <c r="D2" s="20"/>
    </row>
    <row r="3" spans="1:9" ht="15" customHeight="1" x14ac:dyDescent="0.2">
      <c r="A3" s="18" t="s">
        <v>10</v>
      </c>
      <c r="B3" s="19">
        <f>COUNTIF('KPI Catalog'!A:A, A3)</f>
        <v>20</v>
      </c>
      <c r="C3" s="19"/>
      <c r="D3" s="20"/>
    </row>
    <row r="4" spans="1:9" ht="15" customHeight="1" x14ac:dyDescent="0.2">
      <c r="A4" s="18" t="s">
        <v>11</v>
      </c>
      <c r="B4" s="19">
        <f>COUNTIF('KPI Catalog'!A:A, A4)</f>
        <v>17</v>
      </c>
      <c r="C4" s="20"/>
      <c r="D4" s="20"/>
      <c r="E4" s="21">
        <v>46310</v>
      </c>
    </row>
    <row r="5" spans="1:9" ht="15" customHeight="1" x14ac:dyDescent="0.2">
      <c r="A5" s="18" t="s">
        <v>12</v>
      </c>
      <c r="B5" s="19">
        <f>COUNTIF('KPI Catalog'!A:A, A5)</f>
        <v>9</v>
      </c>
      <c r="C5" s="19"/>
    </row>
    <row r="6" spans="1:9" ht="15" customHeight="1" x14ac:dyDescent="0.2">
      <c r="A6" s="18" t="s">
        <v>13</v>
      </c>
      <c r="B6" s="19">
        <f>COUNTIF('KPI Catalog'!A:A, A6)</f>
        <v>9</v>
      </c>
      <c r="C6" s="19"/>
    </row>
    <row r="7" spans="1:9" ht="15" customHeight="1" x14ac:dyDescent="0.2">
      <c r="A7" s="18">
        <v>911</v>
      </c>
      <c r="B7" s="19">
        <f>COUNTIF('KPI Catalog'!A:A, A7)</f>
        <v>7</v>
      </c>
      <c r="C7" s="20"/>
      <c r="D7" s="20"/>
    </row>
    <row r="8" spans="1:9" ht="15" customHeight="1" x14ac:dyDescent="0.2">
      <c r="A8" s="18" t="s">
        <v>14</v>
      </c>
      <c r="B8" s="19">
        <f>COUNTIF('KPI Catalog'!A:A, A8)</f>
        <v>7</v>
      </c>
      <c r="C8" s="20" t="s">
        <v>15</v>
      </c>
      <c r="D8" s="20" t="s">
        <v>15</v>
      </c>
      <c r="E8" s="21">
        <v>46308</v>
      </c>
      <c r="G8" s="20"/>
    </row>
    <row r="9" spans="1:9" ht="15" customHeight="1" x14ac:dyDescent="0.2">
      <c r="A9" s="18" t="s">
        <v>16</v>
      </c>
      <c r="B9" s="19">
        <f>COUNTIF('KPI Catalog'!A:A, A9)</f>
        <v>10</v>
      </c>
      <c r="C9" s="20"/>
    </row>
    <row r="10" spans="1:9" ht="15" customHeight="1" x14ac:dyDescent="0.2">
      <c r="A10" s="18" t="s">
        <v>17</v>
      </c>
      <c r="B10" s="19">
        <f>COUNTIF('KPI Catalog'!A:A, A10)</f>
        <v>0</v>
      </c>
      <c r="C10" s="19"/>
    </row>
    <row r="11" spans="1:9" ht="15" customHeight="1" x14ac:dyDescent="0.2">
      <c r="A11" s="18" t="s">
        <v>18</v>
      </c>
      <c r="B11" s="19">
        <f>COUNTIF('KPI Catalog'!A:A, A11)</f>
        <v>0</v>
      </c>
      <c r="C11" s="19"/>
    </row>
    <row r="12" spans="1:9" ht="15" customHeight="1" x14ac:dyDescent="0.2">
      <c r="A12" s="18" t="s">
        <v>19</v>
      </c>
      <c r="B12" s="19">
        <f>COUNTIF('KPI Catalog'!A:A, A12)</f>
        <v>0</v>
      </c>
      <c r="C12" s="19"/>
    </row>
    <row r="13" spans="1:9" ht="15" customHeight="1" x14ac:dyDescent="0.2">
      <c r="A13" s="18" t="s">
        <v>20</v>
      </c>
      <c r="B13" s="19">
        <f>COUNTIF('KPI Catalog'!A:A, A13)</f>
        <v>0</v>
      </c>
      <c r="C13" s="19"/>
    </row>
    <row r="14" spans="1:9" ht="15" customHeight="1" x14ac:dyDescent="0.2">
      <c r="A14" s="18" t="s">
        <v>21</v>
      </c>
      <c r="B14" s="19">
        <f>COUNTIF('KPI Catalog'!A:A, A14)</f>
        <v>9</v>
      </c>
      <c r="C14" s="19"/>
    </row>
    <row r="15" spans="1:9" ht="15" customHeight="1" x14ac:dyDescent="0.2">
      <c r="A15" s="18" t="s">
        <v>22</v>
      </c>
      <c r="B15" s="19">
        <f>COUNTIF('KPI Catalog'!A:A, A15)</f>
        <v>0</v>
      </c>
      <c r="C15" s="19"/>
    </row>
    <row r="16" spans="1:9" ht="15" customHeight="1" x14ac:dyDescent="0.2">
      <c r="A16" s="18" t="s">
        <v>23</v>
      </c>
      <c r="B16" s="19">
        <f>COUNTIF('KPI Catalog'!A:A, A16)</f>
        <v>0</v>
      </c>
      <c r="C16" s="20"/>
      <c r="D16" s="20"/>
      <c r="E16" s="21">
        <v>46308</v>
      </c>
    </row>
    <row r="17" spans="1:7" ht="15" customHeight="1" x14ac:dyDescent="0.2">
      <c r="A17" s="18" t="s">
        <v>24</v>
      </c>
      <c r="B17" s="19">
        <f>COUNTIF('KPI Catalog'!A:A, A17)</f>
        <v>0</v>
      </c>
      <c r="C17" s="19"/>
    </row>
    <row r="18" spans="1:7" x14ac:dyDescent="0.2">
      <c r="A18" s="18" t="s">
        <v>25</v>
      </c>
      <c r="B18" s="19">
        <f>COUNTIF('KPI Catalog'!A:A, A18)</f>
        <v>3</v>
      </c>
    </row>
    <row r="19" spans="1:7" x14ac:dyDescent="0.2">
      <c r="A19" s="18" t="s">
        <v>26</v>
      </c>
      <c r="B19" s="19">
        <f>COUNTIF('KPI Catalog'!A:A, A19)</f>
        <v>14</v>
      </c>
    </row>
    <row r="20" spans="1:7" x14ac:dyDescent="0.2">
      <c r="A20" s="18" t="s">
        <v>27</v>
      </c>
      <c r="B20" s="19">
        <f>COUNTIF('KPI Catalog'!A:A, A20)</f>
        <v>12</v>
      </c>
    </row>
    <row r="30" spans="1:7" x14ac:dyDescent="0.2"/>
  </sheetData>
  <pageMargins left="0.75" right="0.75" top="1" bottom="1" header="0.511811023622047" footer="0.511811023622047"/>
  <pageSetup paperSize="9" orientation="portrait" horizontalDpi="300" verticalDpi="300"/>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91"/>
  <sheetViews>
    <sheetView tabSelected="1" zoomScaleNormal="100" workbookViewId="0">
      <pane ySplit="1" topLeftCell="A52" activePane="bottomLeft" state="frozen"/>
      <selection pane="bottomLeft" activeCell="E68" sqref="E68"/>
    </sheetView>
  </sheetViews>
  <sheetFormatPr baseColWidth="10" defaultColWidth="8.6640625" defaultRowHeight="15" x14ac:dyDescent="0.2"/>
  <cols>
    <col min="1" max="1" width="30" style="22" customWidth="1"/>
    <col min="2" max="2" width="40" style="22" customWidth="1"/>
    <col min="3" max="3" width="46" customWidth="1"/>
    <col min="4" max="4" width="13" hidden="1" customWidth="1"/>
    <col min="5" max="5" width="59.33203125" style="23" customWidth="1"/>
    <col min="6" max="6" width="8" style="23" customWidth="1"/>
    <col min="7" max="7" width="12.33203125" style="23" customWidth="1"/>
    <col min="8" max="8" width="6.33203125" style="23" customWidth="1"/>
    <col min="9" max="9" width="11.83203125" customWidth="1"/>
    <col min="10" max="11" width="12" customWidth="1"/>
  </cols>
  <sheetData>
    <row r="1" spans="1:11" ht="30" customHeight="1" x14ac:dyDescent="0.2">
      <c r="A1" s="24" t="s">
        <v>28</v>
      </c>
      <c r="B1" s="25" t="s">
        <v>29</v>
      </c>
      <c r="C1" s="24" t="s">
        <v>30</v>
      </c>
      <c r="D1" s="26" t="s">
        <v>31</v>
      </c>
      <c r="E1" s="27" t="s">
        <v>32</v>
      </c>
      <c r="F1" s="28" t="s">
        <v>33</v>
      </c>
      <c r="G1" s="28" t="s">
        <v>34</v>
      </c>
      <c r="H1" s="28" t="s">
        <v>35</v>
      </c>
      <c r="I1" s="28" t="s">
        <v>36</v>
      </c>
      <c r="J1" s="29" t="s">
        <v>37</v>
      </c>
      <c r="K1" s="29" t="s">
        <v>38</v>
      </c>
    </row>
    <row r="2" spans="1:11" ht="15" customHeight="1" x14ac:dyDescent="0.2">
      <c r="A2" s="186" t="s">
        <v>39</v>
      </c>
      <c r="B2" s="187" t="s">
        <v>40</v>
      </c>
      <c r="C2" s="31" t="s">
        <v>41</v>
      </c>
      <c r="D2" s="32" t="s">
        <v>42</v>
      </c>
      <c r="E2" s="33"/>
      <c r="F2" s="31"/>
      <c r="G2" s="31"/>
      <c r="H2" s="31"/>
      <c r="I2" s="32"/>
      <c r="J2" s="31"/>
      <c r="K2" s="31"/>
    </row>
    <row r="3" spans="1:11" ht="15" customHeight="1" x14ac:dyDescent="0.2">
      <c r="A3" s="186"/>
      <c r="B3" s="186"/>
      <c r="C3" s="31" t="s">
        <v>43</v>
      </c>
      <c r="D3" s="32" t="s">
        <v>44</v>
      </c>
      <c r="E3" s="33"/>
      <c r="F3" s="31"/>
      <c r="G3" s="31"/>
      <c r="H3" s="31"/>
      <c r="I3" s="32"/>
      <c r="J3" s="31"/>
      <c r="K3" s="31"/>
    </row>
    <row r="4" spans="1:11" ht="15" customHeight="1" x14ac:dyDescent="0.2">
      <c r="A4" s="186"/>
      <c r="B4" s="186"/>
      <c r="C4" s="31" t="s">
        <v>45</v>
      </c>
      <c r="D4" s="32" t="s">
        <v>46</v>
      </c>
      <c r="E4" s="33"/>
      <c r="F4" s="31"/>
      <c r="G4" s="31"/>
      <c r="H4" s="31"/>
      <c r="I4" s="32"/>
      <c r="J4" s="34"/>
      <c r="K4" s="34"/>
    </row>
    <row r="5" spans="1:11" ht="15" customHeight="1" x14ac:dyDescent="0.2">
      <c r="A5" s="186"/>
      <c r="B5" s="187"/>
      <c r="C5" s="31" t="s">
        <v>47</v>
      </c>
      <c r="D5" s="32" t="s">
        <v>48</v>
      </c>
      <c r="E5" s="33"/>
      <c r="F5" s="31"/>
      <c r="G5" s="31"/>
      <c r="H5" s="31"/>
      <c r="I5" s="32"/>
      <c r="J5" s="31"/>
      <c r="K5" s="31"/>
    </row>
    <row r="6" spans="1:11" ht="15" customHeight="1" x14ac:dyDescent="0.2">
      <c r="A6" s="186"/>
      <c r="B6" s="188" t="s">
        <v>49</v>
      </c>
      <c r="C6" s="31" t="s">
        <v>50</v>
      </c>
      <c r="D6" s="32" t="s">
        <v>51</v>
      </c>
      <c r="E6" s="33" t="s">
        <v>52</v>
      </c>
      <c r="F6" s="31"/>
      <c r="G6" s="31"/>
      <c r="H6" s="31"/>
      <c r="I6" s="32"/>
      <c r="J6" s="31"/>
      <c r="K6" s="31"/>
    </row>
    <row r="7" spans="1:11" ht="15" customHeight="1" x14ac:dyDescent="0.2">
      <c r="A7" s="186"/>
      <c r="B7" s="186"/>
      <c r="C7" s="189" t="s">
        <v>53</v>
      </c>
      <c r="D7" s="32" t="s">
        <v>54</v>
      </c>
      <c r="E7" s="33" t="s">
        <v>55</v>
      </c>
      <c r="F7" s="31"/>
      <c r="G7" s="31"/>
      <c r="H7" s="31"/>
      <c r="I7" s="32"/>
      <c r="J7" s="31"/>
      <c r="K7" s="31"/>
    </row>
    <row r="8" spans="1:11" ht="15" customHeight="1" x14ac:dyDescent="0.2">
      <c r="A8" s="186"/>
      <c r="B8" s="186"/>
      <c r="C8" s="189"/>
      <c r="D8" s="32"/>
      <c r="E8" s="33" t="s">
        <v>56</v>
      </c>
      <c r="F8" s="31"/>
      <c r="G8" s="31"/>
      <c r="H8" s="31"/>
      <c r="I8" s="32"/>
      <c r="J8" s="31"/>
      <c r="K8" s="31"/>
    </row>
    <row r="9" spans="1:11" ht="15" customHeight="1" x14ac:dyDescent="0.2">
      <c r="A9" s="186"/>
      <c r="B9" s="186"/>
      <c r="C9" s="189"/>
      <c r="D9" s="32"/>
      <c r="E9" s="33" t="s">
        <v>57</v>
      </c>
      <c r="F9" s="31"/>
      <c r="G9" s="31"/>
      <c r="H9" s="31"/>
      <c r="I9" s="32"/>
      <c r="J9" s="31"/>
      <c r="K9" s="31"/>
    </row>
    <row r="10" spans="1:11" ht="15" customHeight="1" x14ac:dyDescent="0.2">
      <c r="A10" s="186"/>
      <c r="B10" s="186"/>
      <c r="C10" s="189"/>
      <c r="D10" s="32"/>
      <c r="E10" s="33" t="s">
        <v>58</v>
      </c>
      <c r="F10" s="31"/>
      <c r="G10" s="31"/>
      <c r="H10" s="31"/>
      <c r="I10" s="32"/>
      <c r="J10" s="31"/>
      <c r="K10" s="31"/>
    </row>
    <row r="11" spans="1:11" ht="15" customHeight="1" x14ac:dyDescent="0.2">
      <c r="A11" s="186"/>
      <c r="B11" s="186"/>
      <c r="C11" s="31" t="s">
        <v>59</v>
      </c>
      <c r="D11" s="32" t="s">
        <v>60</v>
      </c>
      <c r="E11" s="33" t="s">
        <v>61</v>
      </c>
      <c r="F11" s="31"/>
      <c r="G11" s="31"/>
      <c r="H11" s="31"/>
      <c r="I11" s="32"/>
      <c r="J11" s="31"/>
      <c r="K11" s="31"/>
    </row>
    <row r="12" spans="1:11" ht="15" customHeight="1" x14ac:dyDescent="0.2">
      <c r="A12" s="186"/>
      <c r="B12" s="186"/>
      <c r="C12" s="189" t="s">
        <v>62</v>
      </c>
      <c r="D12" s="32" t="s">
        <v>63</v>
      </c>
      <c r="E12" s="33" t="s">
        <v>64</v>
      </c>
      <c r="F12" s="31"/>
      <c r="G12" s="31"/>
      <c r="H12" s="31"/>
      <c r="I12" s="32"/>
      <c r="J12" s="31"/>
      <c r="K12" s="31"/>
    </row>
    <row r="13" spans="1:11" ht="15" customHeight="1" x14ac:dyDescent="0.2">
      <c r="A13" s="186"/>
      <c r="B13" s="188"/>
      <c r="C13" s="189"/>
      <c r="D13" s="32"/>
      <c r="E13" s="33" t="s">
        <v>65</v>
      </c>
      <c r="F13" s="31"/>
      <c r="G13" s="31"/>
      <c r="H13" s="31"/>
      <c r="I13" s="32"/>
      <c r="J13" s="31"/>
      <c r="K13" s="31"/>
    </row>
    <row r="14" spans="1:11" ht="15" customHeight="1" x14ac:dyDescent="0.2">
      <c r="A14" s="186"/>
      <c r="B14" s="188" t="s">
        <v>66</v>
      </c>
      <c r="C14" s="189" t="s">
        <v>67</v>
      </c>
      <c r="D14" s="32" t="s">
        <v>68</v>
      </c>
      <c r="E14" s="33" t="s">
        <v>69</v>
      </c>
      <c r="F14" s="31"/>
      <c r="G14" s="31"/>
      <c r="H14" s="31"/>
      <c r="I14" s="32"/>
      <c r="J14" s="31"/>
      <c r="K14" s="31"/>
    </row>
    <row r="15" spans="1:11" ht="15" customHeight="1" x14ac:dyDescent="0.2">
      <c r="A15" s="186"/>
      <c r="B15" s="186"/>
      <c r="C15" s="189"/>
      <c r="D15" s="32"/>
      <c r="E15" s="33" t="s">
        <v>70</v>
      </c>
      <c r="F15" s="31"/>
      <c r="G15" s="31"/>
      <c r="H15" s="31"/>
      <c r="I15" s="32"/>
      <c r="J15" s="31"/>
      <c r="K15" s="31"/>
    </row>
    <row r="16" spans="1:11" ht="15" customHeight="1" x14ac:dyDescent="0.2">
      <c r="A16" s="186"/>
      <c r="B16" s="186"/>
      <c r="C16" s="189" t="s">
        <v>71</v>
      </c>
      <c r="D16" s="32" t="s">
        <v>72</v>
      </c>
      <c r="E16" s="33" t="s">
        <v>73</v>
      </c>
      <c r="F16" s="31"/>
      <c r="G16" s="31"/>
      <c r="H16" s="31"/>
      <c r="I16" s="32"/>
      <c r="J16" s="31"/>
      <c r="K16" s="31"/>
    </row>
    <row r="17" spans="1:11" ht="15" customHeight="1" x14ac:dyDescent="0.2">
      <c r="A17" s="186"/>
      <c r="B17" s="186"/>
      <c r="C17" s="189"/>
      <c r="D17" s="32"/>
      <c r="E17" s="33" t="s">
        <v>74</v>
      </c>
      <c r="F17" s="31"/>
      <c r="G17" s="31"/>
      <c r="H17" s="31"/>
      <c r="I17" s="32"/>
      <c r="J17" s="31"/>
      <c r="K17" s="31"/>
    </row>
    <row r="18" spans="1:11" ht="15" customHeight="1" x14ac:dyDescent="0.2">
      <c r="A18" s="186"/>
      <c r="B18" s="186"/>
      <c r="C18" s="190" t="s">
        <v>75</v>
      </c>
      <c r="D18" s="32" t="s">
        <v>76</v>
      </c>
      <c r="E18" s="33"/>
      <c r="F18" s="31"/>
      <c r="G18" s="31"/>
      <c r="H18" s="31"/>
      <c r="I18" s="32"/>
      <c r="J18" s="31"/>
      <c r="K18" s="31"/>
    </row>
    <row r="19" spans="1:11" ht="15.75" customHeight="1" x14ac:dyDescent="0.2">
      <c r="A19" s="30"/>
      <c r="B19" s="188"/>
      <c r="C19" s="190"/>
      <c r="D19" s="35"/>
      <c r="E19" s="33"/>
      <c r="F19" s="36"/>
      <c r="G19" s="36"/>
      <c r="H19" s="36"/>
      <c r="I19" s="35"/>
      <c r="J19" s="36"/>
      <c r="K19" s="36"/>
    </row>
    <row r="20" spans="1:11" ht="15.75" customHeight="1" x14ac:dyDescent="0.2">
      <c r="A20" s="30"/>
      <c r="B20" s="188"/>
      <c r="C20" s="190"/>
      <c r="D20" s="35"/>
      <c r="E20" s="33"/>
      <c r="F20" s="36"/>
      <c r="G20" s="36"/>
      <c r="H20" s="36"/>
      <c r="I20" s="35"/>
      <c r="J20" s="36"/>
      <c r="K20" s="36"/>
    </row>
    <row r="21" spans="1:11" ht="15" customHeight="1" x14ac:dyDescent="0.2">
      <c r="A21" s="191" t="s">
        <v>80</v>
      </c>
      <c r="B21" s="192" t="s">
        <v>81</v>
      </c>
      <c r="C21" s="37" t="s">
        <v>82</v>
      </c>
      <c r="D21" s="38" t="s">
        <v>83</v>
      </c>
      <c r="E21" s="39"/>
      <c r="F21" s="37"/>
      <c r="G21" s="37"/>
      <c r="H21" s="37"/>
      <c r="I21" s="38"/>
      <c r="J21" s="37"/>
      <c r="K21" s="37"/>
    </row>
    <row r="22" spans="1:11" ht="15" customHeight="1" x14ac:dyDescent="0.2">
      <c r="A22" s="191"/>
      <c r="B22" s="191"/>
      <c r="C22" s="37" t="s">
        <v>84</v>
      </c>
      <c r="D22" s="38" t="s">
        <v>85</v>
      </c>
      <c r="E22" s="39"/>
      <c r="F22" s="37"/>
      <c r="G22" s="37"/>
      <c r="H22" s="37"/>
      <c r="I22" s="38"/>
      <c r="J22" s="37"/>
      <c r="K22" s="37"/>
    </row>
    <row r="23" spans="1:11" ht="15" customHeight="1" x14ac:dyDescent="0.2">
      <c r="A23" s="191"/>
      <c r="B23" s="191"/>
      <c r="C23" s="37" t="s">
        <v>86</v>
      </c>
      <c r="D23" s="38" t="s">
        <v>87</v>
      </c>
      <c r="E23" s="39"/>
      <c r="F23" s="37"/>
      <c r="G23" s="37"/>
      <c r="H23" s="37"/>
      <c r="I23" s="38"/>
      <c r="J23" s="37"/>
      <c r="K23" s="37"/>
    </row>
    <row r="24" spans="1:11" ht="15" customHeight="1" x14ac:dyDescent="0.2">
      <c r="A24" s="191"/>
      <c r="B24" s="191"/>
      <c r="C24" s="37" t="s">
        <v>88</v>
      </c>
      <c r="D24" s="38" t="s">
        <v>89</v>
      </c>
      <c r="E24" s="39"/>
      <c r="F24" s="37"/>
      <c r="G24" s="37"/>
      <c r="H24" s="37"/>
      <c r="I24" s="38"/>
      <c r="J24" s="37"/>
      <c r="K24" s="37"/>
    </row>
    <row r="25" spans="1:11" ht="15" customHeight="1" x14ac:dyDescent="0.2">
      <c r="A25" s="191"/>
      <c r="B25" s="191"/>
      <c r="C25" s="37" t="s">
        <v>90</v>
      </c>
      <c r="D25" s="38" t="s">
        <v>91</v>
      </c>
      <c r="E25" s="39"/>
      <c r="F25" s="37"/>
      <c r="G25" s="37"/>
      <c r="H25" s="37"/>
      <c r="I25" s="38"/>
      <c r="J25" s="37"/>
      <c r="K25" s="37"/>
    </row>
    <row r="26" spans="1:11" ht="15" customHeight="1" x14ac:dyDescent="0.2">
      <c r="A26" s="191"/>
      <c r="B26" s="191"/>
      <c r="C26" s="37" t="s">
        <v>92</v>
      </c>
      <c r="D26" s="38" t="s">
        <v>93</v>
      </c>
      <c r="E26" s="39"/>
      <c r="F26" s="37"/>
      <c r="G26" s="37"/>
      <c r="H26" s="37"/>
      <c r="I26" s="38"/>
      <c r="J26" s="37"/>
      <c r="K26" s="37"/>
    </row>
    <row r="27" spans="1:11" ht="15" customHeight="1" x14ac:dyDescent="0.2">
      <c r="A27" s="191"/>
      <c r="B27" s="191"/>
      <c r="C27" s="37" t="s">
        <v>94</v>
      </c>
      <c r="D27" s="38" t="s">
        <v>95</v>
      </c>
      <c r="E27" s="39"/>
      <c r="F27" s="37"/>
      <c r="G27" s="37"/>
      <c r="H27" s="37"/>
      <c r="I27" s="38"/>
      <c r="J27" s="37"/>
      <c r="K27" s="37"/>
    </row>
    <row r="28" spans="1:11" ht="15" customHeight="1" x14ac:dyDescent="0.2">
      <c r="A28" s="191"/>
      <c r="B28" s="192"/>
      <c r="C28" s="37" t="s">
        <v>96</v>
      </c>
      <c r="D28" s="38" t="s">
        <v>97</v>
      </c>
      <c r="E28" s="39"/>
      <c r="F28" s="37"/>
      <c r="G28" s="37"/>
      <c r="H28" s="37"/>
      <c r="I28" s="38"/>
      <c r="J28" s="37"/>
      <c r="K28" s="37"/>
    </row>
    <row r="29" spans="1:11" ht="15" customHeight="1" x14ac:dyDescent="0.2">
      <c r="A29" s="191"/>
      <c r="B29" s="192" t="s">
        <v>98</v>
      </c>
      <c r="C29" s="193" t="s">
        <v>99</v>
      </c>
      <c r="D29" s="38" t="s">
        <v>100</v>
      </c>
      <c r="E29" s="39" t="s">
        <v>101</v>
      </c>
      <c r="F29" s="37"/>
      <c r="G29" s="37"/>
      <c r="H29" s="37"/>
      <c r="I29" s="38"/>
      <c r="J29" s="37"/>
      <c r="K29" s="37"/>
    </row>
    <row r="30" spans="1:11" ht="15" customHeight="1" x14ac:dyDescent="0.2">
      <c r="A30" s="191"/>
      <c r="B30" s="191"/>
      <c r="C30" s="193"/>
      <c r="D30" s="38"/>
      <c r="E30" s="39" t="s">
        <v>102</v>
      </c>
      <c r="F30" s="37"/>
      <c r="G30" s="37"/>
      <c r="H30" s="37"/>
      <c r="I30" s="38"/>
      <c r="J30" s="37"/>
      <c r="K30" s="37"/>
    </row>
    <row r="31" spans="1:11" ht="15" customHeight="1" x14ac:dyDescent="0.2">
      <c r="A31" s="191"/>
      <c r="B31" s="191"/>
      <c r="C31" s="193"/>
      <c r="D31" s="38"/>
      <c r="E31" s="39" t="s">
        <v>103</v>
      </c>
      <c r="F31" s="37"/>
      <c r="G31" s="37"/>
      <c r="H31" s="37"/>
      <c r="I31" s="38"/>
      <c r="J31" s="37"/>
      <c r="K31" s="37"/>
    </row>
    <row r="32" spans="1:11" ht="15" customHeight="1" x14ac:dyDescent="0.2">
      <c r="A32" s="191"/>
      <c r="B32" s="191"/>
      <c r="C32" s="193" t="s">
        <v>104</v>
      </c>
      <c r="D32" s="38" t="s">
        <v>105</v>
      </c>
      <c r="E32" s="39" t="s">
        <v>106</v>
      </c>
      <c r="F32" s="37"/>
      <c r="G32" s="37"/>
      <c r="H32" s="37"/>
      <c r="I32" s="38"/>
      <c r="J32" s="37"/>
      <c r="K32" s="37"/>
    </row>
    <row r="33" spans="1:11" ht="15" customHeight="1" x14ac:dyDescent="0.2">
      <c r="A33" s="191"/>
      <c r="B33" s="191"/>
      <c r="C33" s="193"/>
      <c r="D33" s="38"/>
      <c r="E33" s="39" t="s">
        <v>107</v>
      </c>
      <c r="F33" s="37"/>
      <c r="G33" s="37"/>
      <c r="H33" s="37"/>
      <c r="I33" s="38"/>
      <c r="J33" s="37"/>
      <c r="K33" s="37"/>
    </row>
    <row r="34" spans="1:11" ht="15" customHeight="1" x14ac:dyDescent="0.2">
      <c r="A34" s="191"/>
      <c r="B34" s="191"/>
      <c r="C34" s="193"/>
      <c r="D34" s="38"/>
      <c r="E34" s="39" t="s">
        <v>108</v>
      </c>
      <c r="F34" s="37"/>
      <c r="G34" s="37"/>
      <c r="H34" s="37"/>
      <c r="I34" s="38"/>
      <c r="J34" s="37"/>
      <c r="K34" s="37"/>
    </row>
    <row r="35" spans="1:11" ht="15" customHeight="1" x14ac:dyDescent="0.2">
      <c r="A35" s="191"/>
      <c r="B35" s="191"/>
      <c r="C35" s="193"/>
      <c r="D35" s="38"/>
      <c r="E35" s="39" t="s">
        <v>109</v>
      </c>
      <c r="F35" s="37"/>
      <c r="G35" s="37"/>
      <c r="H35" s="37"/>
      <c r="I35" s="38"/>
      <c r="J35" s="37"/>
      <c r="K35" s="37"/>
    </row>
    <row r="36" spans="1:11" ht="15" customHeight="1" x14ac:dyDescent="0.2">
      <c r="A36" s="191"/>
      <c r="B36" s="191"/>
      <c r="C36" s="193"/>
      <c r="D36" s="38"/>
      <c r="E36" s="39" t="s">
        <v>110</v>
      </c>
      <c r="F36" s="37"/>
      <c r="G36" s="37"/>
      <c r="H36" s="37"/>
      <c r="I36" s="38"/>
      <c r="J36" s="37"/>
      <c r="K36" s="37"/>
    </row>
    <row r="37" spans="1:11" ht="15" customHeight="1" x14ac:dyDescent="0.2">
      <c r="A37" s="191"/>
      <c r="B37" s="191"/>
      <c r="C37" s="193"/>
      <c r="D37" s="38"/>
      <c r="E37" s="39" t="s">
        <v>111</v>
      </c>
      <c r="F37" s="37"/>
      <c r="G37" s="37"/>
      <c r="H37" s="37"/>
      <c r="I37" s="38"/>
      <c r="J37" s="37"/>
      <c r="K37" s="37"/>
    </row>
    <row r="38" spans="1:11" ht="15" customHeight="1" x14ac:dyDescent="0.2">
      <c r="A38" s="191"/>
      <c r="B38" s="191"/>
      <c r="C38" s="193"/>
      <c r="D38" s="38"/>
      <c r="E38" s="39" t="s">
        <v>112</v>
      </c>
      <c r="F38" s="37"/>
      <c r="G38" s="37"/>
      <c r="H38" s="37"/>
      <c r="I38" s="38"/>
      <c r="J38" s="37"/>
      <c r="K38" s="37"/>
    </row>
    <row r="39" spans="1:11" ht="15" customHeight="1" x14ac:dyDescent="0.2">
      <c r="A39" s="191"/>
      <c r="B39" s="191"/>
      <c r="C39" s="193"/>
      <c r="D39" s="38"/>
      <c r="E39" s="39" t="s">
        <v>113</v>
      </c>
      <c r="F39" s="37"/>
      <c r="G39" s="37"/>
      <c r="H39" s="37"/>
      <c r="I39" s="38"/>
      <c r="J39" s="37"/>
      <c r="K39" s="37"/>
    </row>
    <row r="40" spans="1:11" ht="15" customHeight="1" x14ac:dyDescent="0.2">
      <c r="A40" s="191"/>
      <c r="B40" s="191"/>
      <c r="C40" s="193"/>
      <c r="D40" s="38"/>
      <c r="E40" s="39" t="s">
        <v>114</v>
      </c>
      <c r="F40" s="37"/>
      <c r="G40" s="37"/>
      <c r="H40" s="37"/>
      <c r="I40" s="38"/>
      <c r="J40" s="37"/>
      <c r="K40" s="37"/>
    </row>
    <row r="41" spans="1:11" ht="15" customHeight="1" x14ac:dyDescent="0.2">
      <c r="A41" s="191"/>
      <c r="B41" s="191"/>
      <c r="C41" s="193"/>
      <c r="D41" s="38"/>
      <c r="E41" s="39" t="s">
        <v>115</v>
      </c>
      <c r="F41" s="37"/>
      <c r="G41" s="37"/>
      <c r="H41" s="37"/>
      <c r="I41" s="38"/>
      <c r="J41" s="37"/>
      <c r="K41" s="37"/>
    </row>
    <row r="42" spans="1:11" ht="15" customHeight="1" x14ac:dyDescent="0.2">
      <c r="A42" s="191"/>
      <c r="B42" s="191"/>
      <c r="C42" s="193" t="s">
        <v>116</v>
      </c>
      <c r="D42" s="38" t="s">
        <v>117</v>
      </c>
      <c r="E42" s="39" t="s">
        <v>118</v>
      </c>
      <c r="F42" s="37"/>
      <c r="G42" s="37"/>
      <c r="H42" s="37"/>
      <c r="I42" s="38"/>
      <c r="J42" s="37"/>
      <c r="K42" s="37"/>
    </row>
    <row r="43" spans="1:11" ht="15" customHeight="1" x14ac:dyDescent="0.2">
      <c r="A43" s="191"/>
      <c r="B43" s="192"/>
      <c r="C43" s="193"/>
      <c r="D43" s="38"/>
      <c r="E43" s="39" t="s">
        <v>119</v>
      </c>
      <c r="F43" s="37"/>
      <c r="G43" s="37"/>
      <c r="H43" s="37"/>
      <c r="I43" s="38"/>
      <c r="J43" s="37"/>
      <c r="K43" s="37"/>
    </row>
    <row r="44" spans="1:11" ht="15" customHeight="1" x14ac:dyDescent="0.2">
      <c r="A44" s="191"/>
      <c r="B44" s="192" t="s">
        <v>120</v>
      </c>
      <c r="C44" s="37" t="s">
        <v>121</v>
      </c>
      <c r="D44" s="38" t="s">
        <v>122</v>
      </c>
      <c r="E44" s="39"/>
      <c r="F44" s="37"/>
      <c r="G44" s="37"/>
      <c r="H44" s="37"/>
      <c r="I44" s="38"/>
      <c r="J44" s="37"/>
      <c r="K44" s="37"/>
    </row>
    <row r="45" spans="1:11" ht="15" customHeight="1" x14ac:dyDescent="0.2">
      <c r="A45" s="191"/>
      <c r="B45" s="191"/>
      <c r="C45" s="193" t="s">
        <v>123</v>
      </c>
      <c r="D45" s="38" t="s">
        <v>124</v>
      </c>
      <c r="E45" s="39" t="s">
        <v>125</v>
      </c>
      <c r="F45" s="37"/>
      <c r="G45" s="37"/>
      <c r="H45" s="37"/>
      <c r="I45" s="38"/>
      <c r="J45" s="37"/>
      <c r="K45" s="37"/>
    </row>
    <row r="46" spans="1:11" ht="15" customHeight="1" x14ac:dyDescent="0.2">
      <c r="A46" s="191"/>
      <c r="B46" s="191"/>
      <c r="C46" s="193"/>
      <c r="D46" s="38"/>
      <c r="E46" s="39" t="s">
        <v>126</v>
      </c>
      <c r="F46" s="37"/>
      <c r="G46" s="37"/>
      <c r="H46" s="37"/>
      <c r="I46" s="38"/>
      <c r="J46" s="37"/>
      <c r="K46" s="37"/>
    </row>
    <row r="47" spans="1:11" ht="15" customHeight="1" x14ac:dyDescent="0.2">
      <c r="A47" s="191"/>
      <c r="B47" s="191"/>
      <c r="C47" s="193"/>
      <c r="D47" s="38"/>
      <c r="E47" s="39" t="s">
        <v>127</v>
      </c>
      <c r="F47" s="37"/>
      <c r="G47" s="37"/>
      <c r="H47" s="37"/>
      <c r="I47" s="38"/>
      <c r="J47" s="37"/>
      <c r="K47" s="37"/>
    </row>
    <row r="48" spans="1:11" ht="15" customHeight="1" x14ac:dyDescent="0.2">
      <c r="A48" s="191"/>
      <c r="B48" s="191"/>
      <c r="C48" s="193"/>
      <c r="D48" s="38"/>
      <c r="E48" s="39" t="s">
        <v>128</v>
      </c>
      <c r="F48" s="37"/>
      <c r="G48" s="37"/>
      <c r="H48" s="37"/>
      <c r="I48" s="38"/>
      <c r="J48" s="37"/>
      <c r="K48" s="37"/>
    </row>
    <row r="49" spans="1:11" ht="15" customHeight="1" x14ac:dyDescent="0.2">
      <c r="A49" s="191"/>
      <c r="B49" s="191"/>
      <c r="C49" s="193"/>
      <c r="D49" s="38"/>
      <c r="E49" s="39" t="s">
        <v>129</v>
      </c>
      <c r="F49" s="37"/>
      <c r="G49" s="37"/>
      <c r="H49" s="37"/>
      <c r="I49" s="38"/>
      <c r="J49" s="37"/>
      <c r="K49" s="37"/>
    </row>
    <row r="50" spans="1:11" ht="15" customHeight="1" x14ac:dyDescent="0.2">
      <c r="A50" s="191"/>
      <c r="B50" s="191"/>
      <c r="C50" s="193"/>
      <c r="D50" s="38"/>
      <c r="E50" s="39" t="s">
        <v>130</v>
      </c>
      <c r="F50" s="37"/>
      <c r="G50" s="37"/>
      <c r="H50" s="37"/>
      <c r="I50" s="38"/>
      <c r="J50" s="37"/>
      <c r="K50" s="37"/>
    </row>
    <row r="51" spans="1:11" ht="15" customHeight="1" x14ac:dyDescent="0.2">
      <c r="A51" s="191"/>
      <c r="B51" s="192"/>
      <c r="C51" s="37" t="s">
        <v>131</v>
      </c>
      <c r="D51" s="38" t="s">
        <v>132</v>
      </c>
      <c r="E51" s="39"/>
      <c r="F51" s="37"/>
      <c r="G51" s="37"/>
      <c r="H51" s="37"/>
      <c r="I51" s="38"/>
      <c r="J51" s="37"/>
      <c r="K51" s="37"/>
    </row>
    <row r="52" spans="1:11" ht="15" customHeight="1" x14ac:dyDescent="0.2">
      <c r="A52" s="191"/>
      <c r="B52" s="192" t="s">
        <v>133</v>
      </c>
      <c r="C52" s="37" t="s">
        <v>134</v>
      </c>
      <c r="D52" s="38" t="s">
        <v>135</v>
      </c>
      <c r="E52" s="39" t="s">
        <v>136</v>
      </c>
      <c r="F52" s="37"/>
      <c r="G52" s="37"/>
      <c r="H52" s="37"/>
      <c r="I52" s="38"/>
      <c r="J52" s="37"/>
      <c r="K52" s="37"/>
    </row>
    <row r="53" spans="1:11" ht="15" customHeight="1" x14ac:dyDescent="0.2">
      <c r="A53" s="191"/>
      <c r="B53" s="191"/>
      <c r="C53" s="37" t="s">
        <v>137</v>
      </c>
      <c r="D53" s="38" t="s">
        <v>138</v>
      </c>
      <c r="E53" s="39" t="s">
        <v>139</v>
      </c>
      <c r="F53" s="37"/>
      <c r="G53" s="37"/>
      <c r="H53" s="37"/>
      <c r="I53" s="38"/>
      <c r="J53" s="37"/>
      <c r="K53" s="37"/>
    </row>
    <row r="54" spans="1:11" ht="15" customHeight="1" x14ac:dyDescent="0.2">
      <c r="A54" s="191"/>
      <c r="B54" s="191"/>
      <c r="C54" s="37" t="s">
        <v>140</v>
      </c>
      <c r="D54" s="38" t="s">
        <v>141</v>
      </c>
      <c r="E54" s="39" t="s">
        <v>142</v>
      </c>
      <c r="F54" s="37"/>
      <c r="G54" s="37"/>
      <c r="H54" s="37"/>
      <c r="I54" s="38"/>
      <c r="J54" s="37"/>
      <c r="K54" s="37"/>
    </row>
    <row r="55" spans="1:11" ht="15" customHeight="1" x14ac:dyDescent="0.2">
      <c r="A55" s="191"/>
      <c r="B55" s="191"/>
      <c r="C55" s="193" t="s">
        <v>143</v>
      </c>
      <c r="D55" s="38" t="s">
        <v>144</v>
      </c>
      <c r="E55" s="39" t="s">
        <v>145</v>
      </c>
      <c r="F55" s="37"/>
      <c r="G55" s="37"/>
      <c r="H55" s="37"/>
      <c r="I55" s="38"/>
      <c r="J55" s="37"/>
      <c r="K55" s="37"/>
    </row>
    <row r="56" spans="1:11" ht="15" customHeight="1" x14ac:dyDescent="0.2">
      <c r="A56" s="191"/>
      <c r="B56" s="191"/>
      <c r="C56" s="193"/>
      <c r="D56" s="38"/>
      <c r="E56" s="39" t="s">
        <v>146</v>
      </c>
      <c r="F56" s="37"/>
      <c r="G56" s="37"/>
      <c r="H56" s="37"/>
      <c r="I56" s="38"/>
      <c r="J56" s="37"/>
      <c r="K56" s="37"/>
    </row>
    <row r="57" spans="1:11" ht="15" customHeight="1" x14ac:dyDescent="0.2">
      <c r="A57" s="191"/>
      <c r="B57" s="191"/>
      <c r="C57" s="193"/>
      <c r="D57" s="38"/>
      <c r="E57" s="39" t="s">
        <v>147</v>
      </c>
      <c r="F57" s="37"/>
      <c r="G57" s="37"/>
      <c r="H57" s="37"/>
      <c r="I57" s="38"/>
      <c r="J57" s="37"/>
      <c r="K57" s="37"/>
    </row>
    <row r="58" spans="1:11" ht="15" customHeight="1" x14ac:dyDescent="0.2">
      <c r="A58" s="191"/>
      <c r="B58" s="191"/>
      <c r="C58" s="193" t="s">
        <v>148</v>
      </c>
      <c r="D58" s="38" t="s">
        <v>149</v>
      </c>
      <c r="E58" s="39" t="s">
        <v>150</v>
      </c>
      <c r="F58" s="37"/>
      <c r="G58" s="37"/>
      <c r="H58" s="37"/>
      <c r="I58" s="38"/>
      <c r="J58" s="37"/>
      <c r="K58" s="37"/>
    </row>
    <row r="59" spans="1:11" ht="15" customHeight="1" x14ac:dyDescent="0.2">
      <c r="A59" s="191"/>
      <c r="B59" s="191"/>
      <c r="C59" s="193"/>
      <c r="D59" s="38"/>
      <c r="E59" s="39" t="s">
        <v>151</v>
      </c>
      <c r="F59" s="37"/>
      <c r="G59" s="37"/>
      <c r="H59" s="37"/>
      <c r="I59" s="38"/>
      <c r="J59" s="37"/>
      <c r="K59" s="37"/>
    </row>
    <row r="60" spans="1:11" ht="15" customHeight="1" x14ac:dyDescent="0.2">
      <c r="A60" s="191"/>
      <c r="B60" s="192"/>
      <c r="C60" s="193"/>
      <c r="D60" s="38"/>
      <c r="E60" s="39" t="s">
        <v>152</v>
      </c>
      <c r="F60" s="37"/>
      <c r="G60" s="37"/>
      <c r="H60" s="37"/>
      <c r="I60" s="38"/>
      <c r="J60" s="37"/>
      <c r="K60" s="37"/>
    </row>
    <row r="61" spans="1:11" ht="15" customHeight="1" x14ac:dyDescent="0.2">
      <c r="A61" s="194" t="s">
        <v>153</v>
      </c>
      <c r="B61" s="195" t="s">
        <v>154</v>
      </c>
      <c r="C61" s="196" t="s">
        <v>155</v>
      </c>
      <c r="D61" s="40" t="s">
        <v>156</v>
      </c>
      <c r="E61" s="41" t="s">
        <v>157</v>
      </c>
      <c r="F61" s="42"/>
      <c r="G61" s="42"/>
      <c r="H61" s="42"/>
      <c r="I61" s="40"/>
      <c r="J61" s="42"/>
      <c r="K61" s="42"/>
    </row>
    <row r="62" spans="1:11" ht="15" customHeight="1" x14ac:dyDescent="0.2">
      <c r="A62" s="194"/>
      <c r="B62" s="194"/>
      <c r="C62" s="196"/>
      <c r="D62" s="40"/>
      <c r="E62" s="41" t="s">
        <v>158</v>
      </c>
      <c r="F62" s="42"/>
      <c r="G62" s="42"/>
      <c r="H62" s="42"/>
      <c r="I62" s="40"/>
      <c r="J62" s="42"/>
      <c r="K62" s="42"/>
    </row>
    <row r="63" spans="1:11" ht="15" customHeight="1" x14ac:dyDescent="0.2">
      <c r="A63" s="194"/>
      <c r="B63" s="194"/>
      <c r="C63" s="196"/>
      <c r="D63" s="40"/>
      <c r="E63" s="41" t="s">
        <v>159</v>
      </c>
      <c r="F63" s="42"/>
      <c r="G63" s="42"/>
      <c r="H63" s="42"/>
      <c r="I63" s="40"/>
      <c r="J63" s="42"/>
      <c r="K63" s="42"/>
    </row>
    <row r="64" spans="1:11" ht="15" customHeight="1" x14ac:dyDescent="0.2">
      <c r="A64" s="194"/>
      <c r="B64" s="194"/>
      <c r="C64" s="197" t="s">
        <v>160</v>
      </c>
      <c r="D64" s="40" t="s">
        <v>161</v>
      </c>
      <c r="E64" s="41" t="s">
        <v>162</v>
      </c>
      <c r="F64" s="42"/>
      <c r="G64" s="42"/>
      <c r="H64" s="42"/>
      <c r="I64" s="40"/>
      <c r="J64" s="42"/>
      <c r="K64" s="42"/>
    </row>
    <row r="65" spans="1:11" ht="15" customHeight="1" x14ac:dyDescent="0.2">
      <c r="A65" s="194"/>
      <c r="B65" s="194"/>
      <c r="C65" s="197"/>
      <c r="D65" s="40"/>
      <c r="E65" s="41" t="s">
        <v>163</v>
      </c>
      <c r="F65" s="42"/>
      <c r="G65" s="42"/>
      <c r="H65" s="42"/>
      <c r="I65" s="40"/>
      <c r="J65" s="42"/>
      <c r="K65" s="42"/>
    </row>
    <row r="66" spans="1:11" ht="15" customHeight="1" x14ac:dyDescent="0.2">
      <c r="A66" s="194"/>
      <c r="B66" s="194"/>
      <c r="C66" s="197"/>
      <c r="D66" s="40"/>
      <c r="E66" s="41" t="s">
        <v>164</v>
      </c>
      <c r="F66" s="42"/>
      <c r="G66" s="42"/>
      <c r="H66" s="42"/>
      <c r="I66" s="40"/>
      <c r="J66" s="42"/>
      <c r="K66" s="42"/>
    </row>
    <row r="67" spans="1:11" ht="15" customHeight="1" x14ac:dyDescent="0.2">
      <c r="A67" s="194"/>
      <c r="B67" s="194"/>
      <c r="C67" s="197"/>
      <c r="D67" s="40"/>
      <c r="E67" s="41" t="s">
        <v>165</v>
      </c>
      <c r="F67" s="42"/>
      <c r="G67" s="42"/>
      <c r="H67" s="42"/>
      <c r="I67" s="40"/>
      <c r="J67" s="42"/>
      <c r="K67" s="42"/>
    </row>
    <row r="68" spans="1:11" ht="15" customHeight="1" x14ac:dyDescent="0.2">
      <c r="A68" s="194"/>
      <c r="B68" s="194"/>
      <c r="C68" s="197" t="s">
        <v>166</v>
      </c>
      <c r="D68" s="40" t="s">
        <v>167</v>
      </c>
      <c r="E68" s="41" t="s">
        <v>948</v>
      </c>
      <c r="F68" s="42"/>
      <c r="G68" s="42"/>
      <c r="H68" s="42"/>
      <c r="I68" s="40"/>
      <c r="J68" s="42"/>
      <c r="K68" s="42"/>
    </row>
    <row r="69" spans="1:11" ht="15" customHeight="1" x14ac:dyDescent="0.2">
      <c r="A69" s="194"/>
      <c r="B69" s="194"/>
      <c r="C69" s="197"/>
      <c r="D69" s="40"/>
      <c r="E69" s="41" t="s">
        <v>949</v>
      </c>
      <c r="F69" s="42"/>
      <c r="G69" s="42"/>
      <c r="H69" s="42"/>
      <c r="I69" s="40"/>
      <c r="J69" s="42"/>
      <c r="K69" s="42"/>
    </row>
    <row r="70" spans="1:11" ht="15" customHeight="1" x14ac:dyDescent="0.2">
      <c r="A70" s="194"/>
      <c r="B70" s="194"/>
      <c r="C70" s="197"/>
      <c r="D70" s="40"/>
      <c r="E70" s="41" t="s">
        <v>950</v>
      </c>
      <c r="F70" s="42"/>
      <c r="G70" s="42"/>
      <c r="H70" s="42"/>
      <c r="I70" s="40"/>
      <c r="J70" s="42"/>
      <c r="K70" s="42"/>
    </row>
    <row r="71" spans="1:11" ht="15" customHeight="1" x14ac:dyDescent="0.2">
      <c r="A71" s="194"/>
      <c r="B71" s="194"/>
      <c r="C71" s="197"/>
      <c r="D71" s="40"/>
      <c r="E71" s="41" t="s">
        <v>168</v>
      </c>
      <c r="F71" s="42"/>
      <c r="G71" s="42"/>
      <c r="H71" s="42"/>
      <c r="I71" s="40"/>
      <c r="J71" s="42"/>
      <c r="K71" s="42"/>
    </row>
    <row r="72" spans="1:11" ht="15" customHeight="1" x14ac:dyDescent="0.2">
      <c r="A72" s="194"/>
      <c r="B72" s="194"/>
      <c r="C72" s="197"/>
      <c r="D72" s="40"/>
      <c r="E72" s="41" t="s">
        <v>159</v>
      </c>
      <c r="F72" s="42"/>
      <c r="G72" s="42"/>
      <c r="H72" s="42"/>
      <c r="I72" s="40"/>
      <c r="J72" s="42"/>
      <c r="K72" s="42"/>
    </row>
    <row r="73" spans="1:11" ht="15" customHeight="1" x14ac:dyDescent="0.2">
      <c r="A73" s="194"/>
      <c r="B73" s="194"/>
      <c r="C73" s="197"/>
      <c r="D73" s="40"/>
      <c r="E73" s="41" t="s">
        <v>171</v>
      </c>
      <c r="F73" s="42"/>
      <c r="G73" s="42"/>
      <c r="H73" s="42"/>
      <c r="I73" s="40"/>
      <c r="J73" s="42"/>
      <c r="K73" s="42"/>
    </row>
    <row r="74" spans="1:11" ht="15" customHeight="1" x14ac:dyDescent="0.2">
      <c r="A74" s="194"/>
      <c r="B74" s="195"/>
      <c r="C74" s="42" t="s">
        <v>169</v>
      </c>
      <c r="D74" s="40" t="s">
        <v>170</v>
      </c>
      <c r="E74" s="41" t="s">
        <v>171</v>
      </c>
      <c r="F74" s="42"/>
      <c r="G74" s="42"/>
      <c r="H74" s="42"/>
      <c r="I74" s="40"/>
      <c r="J74" s="42"/>
      <c r="K74" s="42"/>
    </row>
    <row r="75" spans="1:11" ht="23.25" customHeight="1" x14ac:dyDescent="0.2">
      <c r="A75" s="194"/>
      <c r="B75" s="195" t="s">
        <v>172</v>
      </c>
      <c r="C75" s="197" t="s">
        <v>173</v>
      </c>
      <c r="D75" s="40" t="s">
        <v>174</v>
      </c>
      <c r="E75" s="41" t="s">
        <v>175</v>
      </c>
      <c r="F75" s="42"/>
      <c r="G75" s="42"/>
      <c r="H75" s="42"/>
      <c r="I75" s="40"/>
      <c r="J75" s="42"/>
      <c r="K75" s="42"/>
    </row>
    <row r="76" spans="1:11" ht="23.25" customHeight="1" x14ac:dyDescent="0.2">
      <c r="A76" s="194"/>
      <c r="B76" s="194"/>
      <c r="C76" s="197"/>
      <c r="D76" s="40"/>
      <c r="E76" s="41" t="s">
        <v>176</v>
      </c>
      <c r="F76" s="42"/>
      <c r="G76" s="42"/>
      <c r="H76" s="42"/>
      <c r="I76" s="40"/>
      <c r="J76" s="42"/>
      <c r="K76" s="42"/>
    </row>
    <row r="77" spans="1:11" ht="15" customHeight="1" x14ac:dyDescent="0.2">
      <c r="A77" s="194"/>
      <c r="B77" s="194"/>
      <c r="C77" s="43" t="s">
        <v>177</v>
      </c>
      <c r="D77" s="40" t="s">
        <v>178</v>
      </c>
      <c r="E77" s="41" t="s">
        <v>179</v>
      </c>
      <c r="F77" s="42"/>
      <c r="G77" s="42"/>
      <c r="H77" s="42"/>
      <c r="I77" s="40"/>
      <c r="J77" s="42"/>
      <c r="K77" s="42"/>
    </row>
    <row r="78" spans="1:11" ht="15" customHeight="1" x14ac:dyDescent="0.2">
      <c r="A78" s="194"/>
      <c r="B78" s="194"/>
      <c r="C78" s="197" t="s">
        <v>180</v>
      </c>
      <c r="D78" s="40" t="s">
        <v>181</v>
      </c>
      <c r="E78" s="41" t="s">
        <v>182</v>
      </c>
      <c r="F78" s="42"/>
      <c r="G78" s="42"/>
      <c r="H78" s="42"/>
      <c r="I78" s="40"/>
      <c r="J78" s="42"/>
      <c r="K78" s="42"/>
    </row>
    <row r="79" spans="1:11" ht="15" customHeight="1" x14ac:dyDescent="0.2">
      <c r="A79" s="194"/>
      <c r="B79" s="194"/>
      <c r="C79" s="197"/>
      <c r="D79" s="40"/>
      <c r="E79" s="41" t="s">
        <v>183</v>
      </c>
      <c r="F79" s="42"/>
      <c r="G79" s="42"/>
      <c r="H79" s="42"/>
      <c r="I79" s="40"/>
      <c r="J79" s="42"/>
      <c r="K79" s="42"/>
    </row>
    <row r="80" spans="1:11" ht="15" customHeight="1" x14ac:dyDescent="0.2">
      <c r="A80" s="194"/>
      <c r="B80" s="194"/>
      <c r="C80" s="197"/>
      <c r="D80" s="40"/>
      <c r="E80" s="41" t="s">
        <v>184</v>
      </c>
      <c r="F80" s="42"/>
      <c r="G80" s="42"/>
      <c r="H80" s="42"/>
      <c r="I80" s="40"/>
      <c r="J80" s="42"/>
      <c r="K80" s="42"/>
    </row>
    <row r="81" spans="1:11" ht="15" customHeight="1" x14ac:dyDescent="0.2">
      <c r="A81" s="194"/>
      <c r="B81" s="195"/>
      <c r="C81" s="197"/>
      <c r="D81" s="40"/>
      <c r="E81" s="41" t="s">
        <v>185</v>
      </c>
      <c r="F81" s="42"/>
      <c r="G81" s="42"/>
      <c r="H81" s="42"/>
      <c r="I81" s="40"/>
      <c r="J81" s="42"/>
      <c r="K81" s="42"/>
    </row>
    <row r="82" spans="1:11" ht="15" customHeight="1" x14ac:dyDescent="0.2">
      <c r="A82" s="194"/>
      <c r="B82" s="195" t="s">
        <v>186</v>
      </c>
      <c r="C82" s="42" t="s">
        <v>187</v>
      </c>
      <c r="D82" s="40" t="s">
        <v>188</v>
      </c>
      <c r="E82" s="41"/>
      <c r="F82" s="42"/>
      <c r="G82" s="42"/>
      <c r="H82" s="42"/>
      <c r="I82" s="40"/>
      <c r="J82" s="42"/>
      <c r="K82" s="42"/>
    </row>
    <row r="83" spans="1:11" ht="15" customHeight="1" x14ac:dyDescent="0.2">
      <c r="A83" s="194"/>
      <c r="B83" s="194"/>
      <c r="C83" s="42" t="s">
        <v>189</v>
      </c>
      <c r="D83" s="40" t="s">
        <v>190</v>
      </c>
      <c r="E83" s="41"/>
      <c r="F83" s="42"/>
      <c r="G83" s="42"/>
      <c r="H83" s="42"/>
      <c r="I83" s="40"/>
      <c r="J83" s="42"/>
      <c r="K83" s="42"/>
    </row>
    <row r="84" spans="1:11" ht="15" customHeight="1" x14ac:dyDescent="0.2">
      <c r="A84" s="194"/>
      <c r="B84" s="194"/>
      <c r="C84" s="42" t="s">
        <v>191</v>
      </c>
      <c r="D84" s="40" t="s">
        <v>192</v>
      </c>
      <c r="E84" s="41"/>
      <c r="F84" s="42"/>
      <c r="G84" s="42"/>
      <c r="H84" s="42"/>
      <c r="I84" s="40"/>
      <c r="J84" s="42"/>
      <c r="K84" s="42"/>
    </row>
    <row r="85" spans="1:11" ht="15" customHeight="1" x14ac:dyDescent="0.2">
      <c r="A85" s="194"/>
      <c r="B85" s="194"/>
      <c r="C85" s="42" t="s">
        <v>193</v>
      </c>
      <c r="D85" s="40" t="s">
        <v>194</v>
      </c>
      <c r="E85" s="41"/>
      <c r="F85" s="42"/>
      <c r="G85" s="42"/>
      <c r="H85" s="42"/>
      <c r="I85" s="40"/>
      <c r="J85" s="42"/>
      <c r="K85" s="42"/>
    </row>
    <row r="86" spans="1:11" ht="15" customHeight="1" x14ac:dyDescent="0.2">
      <c r="A86" s="194"/>
      <c r="B86" s="195"/>
      <c r="C86" s="42" t="s">
        <v>195</v>
      </c>
      <c r="D86" s="40" t="s">
        <v>196</v>
      </c>
      <c r="E86" s="41"/>
      <c r="F86" s="42"/>
      <c r="G86" s="42"/>
      <c r="H86" s="42"/>
      <c r="I86" s="40"/>
      <c r="J86" s="42"/>
      <c r="K86" s="42"/>
    </row>
    <row r="87" spans="1:11" ht="15" customHeight="1" x14ac:dyDescent="0.2">
      <c r="A87" s="198" t="s">
        <v>197</v>
      </c>
      <c r="B87" s="199" t="s">
        <v>198</v>
      </c>
      <c r="C87" s="200" t="s">
        <v>199</v>
      </c>
      <c r="D87" s="44" t="s">
        <v>200</v>
      </c>
      <c r="E87" s="45" t="s">
        <v>201</v>
      </c>
      <c r="F87" s="46"/>
      <c r="G87" s="46"/>
      <c r="H87" s="46"/>
      <c r="I87" s="44"/>
      <c r="J87" s="46"/>
      <c r="K87" s="46"/>
    </row>
    <row r="88" spans="1:11" ht="15" customHeight="1" x14ac:dyDescent="0.2">
      <c r="A88" s="198"/>
      <c r="B88" s="198"/>
      <c r="C88" s="200"/>
      <c r="D88" s="44"/>
      <c r="E88" s="45" t="s">
        <v>202</v>
      </c>
      <c r="F88" s="46"/>
      <c r="G88" s="46"/>
      <c r="H88" s="46"/>
      <c r="I88" s="44"/>
      <c r="J88" s="46"/>
      <c r="K88" s="46"/>
    </row>
    <row r="89" spans="1:11" ht="15" customHeight="1" x14ac:dyDescent="0.2">
      <c r="A89" s="198"/>
      <c r="B89" s="198"/>
      <c r="C89" s="200"/>
      <c r="D89" s="44"/>
      <c r="E89" s="45" t="s">
        <v>203</v>
      </c>
      <c r="F89" s="46"/>
      <c r="G89" s="46"/>
      <c r="H89" s="46"/>
      <c r="I89" s="44"/>
      <c r="J89" s="46"/>
      <c r="K89" s="46"/>
    </row>
    <row r="90" spans="1:11" ht="15" customHeight="1" x14ac:dyDescent="0.2">
      <c r="A90" s="198"/>
      <c r="B90" s="198"/>
      <c r="C90" s="200"/>
      <c r="D90" s="44"/>
      <c r="E90" s="45" t="s">
        <v>204</v>
      </c>
      <c r="F90" s="46"/>
      <c r="G90" s="46"/>
      <c r="H90" s="46"/>
      <c r="I90" s="44"/>
      <c r="J90" s="46"/>
      <c r="K90" s="46"/>
    </row>
    <row r="91" spans="1:11" ht="15" customHeight="1" x14ac:dyDescent="0.2">
      <c r="A91" s="198"/>
      <c r="B91" s="198"/>
      <c r="C91" s="200"/>
      <c r="D91" s="44"/>
      <c r="E91" s="45" t="s">
        <v>205</v>
      </c>
      <c r="F91" s="46"/>
      <c r="G91" s="46"/>
      <c r="H91" s="46"/>
      <c r="I91" s="44"/>
      <c r="J91" s="46"/>
      <c r="K91" s="46"/>
    </row>
    <row r="92" spans="1:11" ht="15" customHeight="1" x14ac:dyDescent="0.2">
      <c r="A92" s="198"/>
      <c r="B92" s="198"/>
      <c r="C92" s="201" t="s">
        <v>206</v>
      </c>
      <c r="D92" s="44" t="s">
        <v>207</v>
      </c>
      <c r="E92" s="45" t="s">
        <v>208</v>
      </c>
      <c r="F92" s="46"/>
      <c r="G92" s="46"/>
      <c r="H92" s="46"/>
      <c r="I92" s="44"/>
      <c r="J92" s="46"/>
      <c r="K92" s="46"/>
    </row>
    <row r="93" spans="1:11" ht="15" customHeight="1" x14ac:dyDescent="0.2">
      <c r="A93" s="198"/>
      <c r="B93" s="198"/>
      <c r="C93" s="201"/>
      <c r="D93" s="44"/>
      <c r="E93" s="45" t="s">
        <v>209</v>
      </c>
      <c r="F93" s="46"/>
      <c r="G93" s="46"/>
      <c r="H93" s="46"/>
      <c r="I93" s="44"/>
      <c r="J93" s="46"/>
      <c r="K93" s="46"/>
    </row>
    <row r="94" spans="1:11" ht="15" customHeight="1" x14ac:dyDescent="0.2">
      <c r="A94" s="198"/>
      <c r="B94" s="198"/>
      <c r="C94" s="201"/>
      <c r="D94" s="44"/>
      <c r="E94" s="45" t="s">
        <v>210</v>
      </c>
      <c r="F94" s="46"/>
      <c r="G94" s="46"/>
      <c r="H94" s="46"/>
      <c r="I94" s="44"/>
      <c r="J94" s="46"/>
      <c r="K94" s="46"/>
    </row>
    <row r="95" spans="1:11" ht="15" customHeight="1" x14ac:dyDescent="0.2">
      <c r="A95" s="198"/>
      <c r="B95" s="198"/>
      <c r="C95" s="201" t="s">
        <v>211</v>
      </c>
      <c r="D95" s="44" t="s">
        <v>212</v>
      </c>
      <c r="E95" s="45" t="s">
        <v>213</v>
      </c>
      <c r="F95" s="46"/>
      <c r="G95" s="46"/>
      <c r="H95" s="46"/>
      <c r="I95" s="44"/>
      <c r="J95" s="46"/>
      <c r="K95" s="46"/>
    </row>
    <row r="96" spans="1:11" ht="15" customHeight="1" x14ac:dyDescent="0.2">
      <c r="A96" s="198"/>
      <c r="B96" s="198"/>
      <c r="C96" s="201"/>
      <c r="D96" s="44"/>
      <c r="E96" s="45" t="s">
        <v>214</v>
      </c>
      <c r="F96" s="46"/>
      <c r="G96" s="46"/>
      <c r="H96" s="46"/>
      <c r="I96" s="44"/>
      <c r="J96" s="46"/>
      <c r="K96" s="46"/>
    </row>
    <row r="97" spans="1:11" ht="15" customHeight="1" x14ac:dyDescent="0.2">
      <c r="A97" s="198"/>
      <c r="B97" s="198"/>
      <c r="C97" s="201"/>
      <c r="D97" s="44"/>
      <c r="E97" s="45" t="s">
        <v>215</v>
      </c>
      <c r="F97" s="46"/>
      <c r="G97" s="46"/>
      <c r="H97" s="46"/>
      <c r="I97" s="44"/>
      <c r="J97" s="46"/>
      <c r="K97" s="46"/>
    </row>
    <row r="98" spans="1:11" ht="15" customHeight="1" x14ac:dyDescent="0.2">
      <c r="A98" s="198"/>
      <c r="B98" s="198"/>
      <c r="C98" s="201" t="s">
        <v>216</v>
      </c>
      <c r="D98" s="44" t="s">
        <v>217</v>
      </c>
      <c r="E98" s="45" t="s">
        <v>218</v>
      </c>
      <c r="F98" s="46"/>
      <c r="G98" s="46"/>
      <c r="H98" s="46"/>
      <c r="I98" s="44"/>
      <c r="J98" s="46"/>
      <c r="K98" s="46"/>
    </row>
    <row r="99" spans="1:11" ht="15" customHeight="1" x14ac:dyDescent="0.2">
      <c r="A99" s="198"/>
      <c r="B99" s="198"/>
      <c r="C99" s="201"/>
      <c r="D99" s="44"/>
      <c r="E99" s="45" t="s">
        <v>210</v>
      </c>
      <c r="F99" s="46"/>
      <c r="G99" s="46"/>
      <c r="H99" s="46"/>
      <c r="I99" s="44"/>
      <c r="J99" s="46"/>
      <c r="K99" s="46"/>
    </row>
    <row r="100" spans="1:11" ht="15" customHeight="1" x14ac:dyDescent="0.2">
      <c r="A100" s="198"/>
      <c r="B100" s="198"/>
      <c r="C100" s="201"/>
      <c r="D100" s="44"/>
      <c r="E100" s="45" t="s">
        <v>219</v>
      </c>
      <c r="F100" s="46"/>
      <c r="G100" s="46"/>
      <c r="H100" s="46"/>
      <c r="I100" s="44"/>
      <c r="J100" s="46"/>
      <c r="K100" s="46"/>
    </row>
    <row r="101" spans="1:11" ht="15" customHeight="1" x14ac:dyDescent="0.2">
      <c r="A101" s="198"/>
      <c r="B101" s="198"/>
      <c r="C101" s="201"/>
      <c r="D101" s="44"/>
      <c r="E101" s="45" t="s">
        <v>208</v>
      </c>
      <c r="F101" s="46"/>
      <c r="G101" s="46"/>
      <c r="H101" s="46"/>
      <c r="I101" s="44"/>
      <c r="J101" s="46"/>
      <c r="K101" s="46"/>
    </row>
    <row r="102" spans="1:11" ht="15" customHeight="1" x14ac:dyDescent="0.2">
      <c r="A102" s="198"/>
      <c r="B102" s="198"/>
      <c r="C102" s="201"/>
      <c r="D102" s="44"/>
      <c r="E102" s="45" t="s">
        <v>220</v>
      </c>
      <c r="F102" s="46"/>
      <c r="G102" s="46"/>
      <c r="H102" s="46"/>
      <c r="I102" s="44"/>
      <c r="J102" s="46"/>
      <c r="K102" s="46"/>
    </row>
    <row r="103" spans="1:11" ht="15" customHeight="1" x14ac:dyDescent="0.2">
      <c r="A103" s="198"/>
      <c r="B103" s="198"/>
      <c r="C103" s="201"/>
      <c r="D103" s="44"/>
      <c r="E103" s="45" t="s">
        <v>221</v>
      </c>
      <c r="F103" s="46"/>
      <c r="G103" s="46"/>
      <c r="H103" s="46"/>
      <c r="I103" s="44"/>
      <c r="J103" s="46"/>
      <c r="K103" s="46"/>
    </row>
    <row r="104" spans="1:11" ht="15" customHeight="1" x14ac:dyDescent="0.2">
      <c r="A104" s="198"/>
      <c r="B104" s="198"/>
      <c r="C104" s="201"/>
      <c r="D104" s="44"/>
      <c r="E104" s="45" t="s">
        <v>209</v>
      </c>
      <c r="F104" s="46"/>
      <c r="G104" s="46"/>
      <c r="H104" s="46"/>
      <c r="I104" s="44"/>
      <c r="J104" s="46"/>
      <c r="K104" s="46"/>
    </row>
    <row r="105" spans="1:11" ht="15" customHeight="1" x14ac:dyDescent="0.2">
      <c r="A105" s="198"/>
      <c r="B105" s="198"/>
      <c r="C105" s="201"/>
      <c r="D105" s="44"/>
      <c r="E105" s="45" t="s">
        <v>222</v>
      </c>
      <c r="F105" s="46"/>
      <c r="G105" s="46"/>
      <c r="H105" s="46"/>
      <c r="I105" s="44"/>
      <c r="J105" s="46"/>
      <c r="K105" s="46"/>
    </row>
    <row r="106" spans="1:11" ht="15" customHeight="1" x14ac:dyDescent="0.2">
      <c r="A106" s="198"/>
      <c r="B106" s="198"/>
      <c r="C106" s="201"/>
      <c r="D106" s="44"/>
      <c r="E106" s="45" t="s">
        <v>223</v>
      </c>
      <c r="F106" s="46"/>
      <c r="G106" s="46"/>
      <c r="H106" s="46"/>
      <c r="I106" s="44"/>
      <c r="J106" s="46"/>
      <c r="K106" s="46"/>
    </row>
    <row r="107" spans="1:11" ht="15" customHeight="1" x14ac:dyDescent="0.2">
      <c r="A107" s="198"/>
      <c r="B107" s="198"/>
      <c r="C107" s="201" t="s">
        <v>224</v>
      </c>
      <c r="D107" s="44" t="s">
        <v>225</v>
      </c>
      <c r="E107" s="45" t="s">
        <v>226</v>
      </c>
      <c r="F107" s="46"/>
      <c r="G107" s="46"/>
      <c r="H107" s="46"/>
      <c r="I107" s="44"/>
      <c r="J107" s="46"/>
      <c r="K107" s="46"/>
    </row>
    <row r="108" spans="1:11" ht="15" customHeight="1" x14ac:dyDescent="0.2">
      <c r="A108" s="198"/>
      <c r="B108" s="198"/>
      <c r="C108" s="201"/>
      <c r="D108" s="44"/>
      <c r="E108" s="45" t="s">
        <v>227</v>
      </c>
      <c r="F108" s="46"/>
      <c r="G108" s="46"/>
      <c r="H108" s="46"/>
      <c r="I108" s="44"/>
      <c r="J108" s="46"/>
      <c r="K108" s="46"/>
    </row>
    <row r="109" spans="1:11" ht="15" customHeight="1" x14ac:dyDescent="0.2">
      <c r="A109" s="198"/>
      <c r="B109" s="198"/>
      <c r="C109" s="201"/>
      <c r="D109" s="44"/>
      <c r="E109" s="45" t="s">
        <v>228</v>
      </c>
      <c r="F109" s="46"/>
      <c r="G109" s="46"/>
      <c r="H109" s="46"/>
      <c r="I109" s="44"/>
      <c r="J109" s="46"/>
      <c r="K109" s="46"/>
    </row>
    <row r="110" spans="1:11" ht="15" customHeight="1" x14ac:dyDescent="0.2">
      <c r="A110" s="198"/>
      <c r="B110" s="198"/>
      <c r="C110" s="201"/>
      <c r="D110" s="44"/>
      <c r="E110" s="45" t="s">
        <v>229</v>
      </c>
      <c r="F110" s="46"/>
      <c r="G110" s="46"/>
      <c r="H110" s="46"/>
      <c r="I110" s="44"/>
      <c r="J110" s="46"/>
      <c r="K110" s="46"/>
    </row>
    <row r="111" spans="1:11" ht="15" customHeight="1" x14ac:dyDescent="0.2">
      <c r="A111" s="198"/>
      <c r="B111" s="198"/>
      <c r="C111" s="201"/>
      <c r="D111" s="44"/>
      <c r="E111" s="45" t="s">
        <v>230</v>
      </c>
      <c r="F111" s="46"/>
      <c r="G111" s="46"/>
      <c r="H111" s="46"/>
      <c r="I111" s="44"/>
      <c r="J111" s="46"/>
      <c r="K111" s="46"/>
    </row>
    <row r="112" spans="1:11" ht="15" customHeight="1" x14ac:dyDescent="0.2">
      <c r="A112" s="198"/>
      <c r="B112" s="198"/>
      <c r="C112" s="201"/>
      <c r="D112" s="44"/>
      <c r="E112" s="45" t="s">
        <v>231</v>
      </c>
      <c r="F112" s="46"/>
      <c r="G112" s="46"/>
      <c r="H112" s="46"/>
      <c r="I112" s="44"/>
      <c r="J112" s="46"/>
      <c r="K112" s="46"/>
    </row>
    <row r="113" spans="1:11" ht="27.75" customHeight="1" x14ac:dyDescent="0.2">
      <c r="A113" s="198"/>
      <c r="B113" s="198"/>
      <c r="C113" s="201" t="s">
        <v>232</v>
      </c>
      <c r="D113" s="44" t="s">
        <v>233</v>
      </c>
      <c r="E113" s="45" t="s">
        <v>234</v>
      </c>
      <c r="F113" s="46"/>
      <c r="G113" s="46"/>
      <c r="H113" s="46"/>
      <c r="I113" s="44"/>
      <c r="J113" s="46"/>
      <c r="K113" s="46"/>
    </row>
    <row r="114" spans="1:11" ht="15" customHeight="1" x14ac:dyDescent="0.2">
      <c r="A114" s="198"/>
      <c r="B114" s="198"/>
      <c r="C114" s="201"/>
      <c r="D114" s="44"/>
      <c r="E114" s="45" t="s">
        <v>235</v>
      </c>
      <c r="F114" s="46"/>
      <c r="G114" s="46"/>
      <c r="H114" s="46"/>
      <c r="I114" s="44"/>
      <c r="J114" s="46"/>
      <c r="K114" s="46"/>
    </row>
    <row r="115" spans="1:11" ht="15" customHeight="1" x14ac:dyDescent="0.2">
      <c r="A115" s="198"/>
      <c r="B115" s="199"/>
      <c r="C115" s="46" t="s">
        <v>236</v>
      </c>
      <c r="D115" s="44" t="s">
        <v>237</v>
      </c>
      <c r="E115" s="45"/>
      <c r="F115" s="46"/>
      <c r="G115" s="46"/>
      <c r="H115" s="46"/>
      <c r="I115" s="44"/>
      <c r="J115" s="47"/>
      <c r="K115" s="47"/>
    </row>
    <row r="116" spans="1:11" ht="15" customHeight="1" x14ac:dyDescent="0.2">
      <c r="A116" s="198"/>
      <c r="B116" s="199" t="s">
        <v>238</v>
      </c>
      <c r="C116" s="201" t="s">
        <v>239</v>
      </c>
      <c r="D116" s="44" t="s">
        <v>240</v>
      </c>
      <c r="E116" s="45" t="s">
        <v>241</v>
      </c>
      <c r="F116" s="46"/>
      <c r="G116" s="46"/>
      <c r="H116" s="46"/>
      <c r="I116" s="44"/>
      <c r="J116" s="46"/>
      <c r="K116" s="46"/>
    </row>
    <row r="117" spans="1:11" ht="15" customHeight="1" x14ac:dyDescent="0.2">
      <c r="A117" s="198"/>
      <c r="B117" s="198"/>
      <c r="C117" s="201"/>
      <c r="D117" s="44"/>
      <c r="E117" s="45" t="s">
        <v>242</v>
      </c>
      <c r="F117" s="46"/>
      <c r="G117" s="46"/>
      <c r="H117" s="46"/>
      <c r="I117" s="44"/>
      <c r="J117" s="46"/>
      <c r="K117" s="46"/>
    </row>
    <row r="118" spans="1:11" ht="15" customHeight="1" x14ac:dyDescent="0.2">
      <c r="A118" s="198"/>
      <c r="B118" s="198"/>
      <c r="C118" s="201"/>
      <c r="D118" s="44"/>
      <c r="E118" s="45" t="s">
        <v>243</v>
      </c>
      <c r="F118" s="46"/>
      <c r="G118" s="46"/>
      <c r="H118" s="46"/>
      <c r="I118" s="44"/>
      <c r="J118" s="46"/>
      <c r="K118" s="46"/>
    </row>
    <row r="119" spans="1:11" ht="15" customHeight="1" x14ac:dyDescent="0.2">
      <c r="A119" s="198"/>
      <c r="B119" s="198"/>
      <c r="C119" s="46" t="s">
        <v>244</v>
      </c>
      <c r="D119" s="44" t="s">
        <v>245</v>
      </c>
      <c r="E119" s="45" t="s">
        <v>246</v>
      </c>
      <c r="F119" s="46"/>
      <c r="G119" s="46"/>
      <c r="H119" s="46"/>
      <c r="I119" s="44"/>
      <c r="J119" s="46"/>
      <c r="K119" s="46"/>
    </row>
    <row r="120" spans="1:11" ht="15" customHeight="1" x14ac:dyDescent="0.2">
      <c r="A120" s="198"/>
      <c r="B120" s="199"/>
      <c r="C120" s="46" t="s">
        <v>247</v>
      </c>
      <c r="D120" s="44" t="s">
        <v>248</v>
      </c>
      <c r="E120" s="45"/>
      <c r="F120" s="46"/>
      <c r="G120" s="46"/>
      <c r="H120" s="46"/>
      <c r="I120" s="44"/>
      <c r="J120" s="47"/>
      <c r="K120" s="47"/>
    </row>
    <row r="121" spans="1:11" ht="15" customHeight="1" x14ac:dyDescent="0.2">
      <c r="A121" s="202" t="s">
        <v>249</v>
      </c>
      <c r="B121" s="203" t="s">
        <v>250</v>
      </c>
      <c r="C121" s="48" t="s">
        <v>251</v>
      </c>
      <c r="D121" s="49" t="s">
        <v>252</v>
      </c>
      <c r="E121" s="50"/>
      <c r="F121" s="48"/>
      <c r="G121" s="48"/>
      <c r="H121" s="48"/>
      <c r="I121" s="49"/>
      <c r="J121" s="48"/>
      <c r="K121" s="48"/>
    </row>
    <row r="122" spans="1:11" ht="15" customHeight="1" x14ac:dyDescent="0.2">
      <c r="A122" s="202"/>
      <c r="B122" s="202"/>
      <c r="C122" s="48" t="s">
        <v>253</v>
      </c>
      <c r="D122" s="49" t="s">
        <v>254</v>
      </c>
      <c r="E122" s="50"/>
      <c r="F122" s="48"/>
      <c r="G122" s="48"/>
      <c r="H122" s="48"/>
      <c r="I122" s="49"/>
      <c r="J122" s="48"/>
      <c r="K122" s="48"/>
    </row>
    <row r="123" spans="1:11" ht="15" customHeight="1" x14ac:dyDescent="0.2">
      <c r="A123" s="202"/>
      <c r="B123" s="202"/>
      <c r="C123" s="48" t="s">
        <v>255</v>
      </c>
      <c r="D123" s="49" t="s">
        <v>256</v>
      </c>
      <c r="E123" s="50"/>
      <c r="F123" s="48"/>
      <c r="G123" s="48"/>
      <c r="H123" s="48"/>
      <c r="I123" s="49"/>
      <c r="J123" s="48"/>
      <c r="K123" s="48"/>
    </row>
    <row r="124" spans="1:11" ht="15" customHeight="1" x14ac:dyDescent="0.2">
      <c r="A124" s="202"/>
      <c r="B124" s="202"/>
      <c r="C124" s="48" t="s">
        <v>257</v>
      </c>
      <c r="D124" s="49" t="s">
        <v>258</v>
      </c>
      <c r="E124" s="50"/>
      <c r="F124" s="48"/>
      <c r="G124" s="48"/>
      <c r="H124" s="48"/>
      <c r="I124" s="49"/>
      <c r="J124" s="48"/>
      <c r="K124" s="48"/>
    </row>
    <row r="125" spans="1:11" ht="15" customHeight="1" x14ac:dyDescent="0.2">
      <c r="A125" s="202"/>
      <c r="B125" s="202"/>
      <c r="C125" s="48" t="s">
        <v>259</v>
      </c>
      <c r="D125" s="49" t="s">
        <v>260</v>
      </c>
      <c r="E125" s="50"/>
      <c r="F125" s="48"/>
      <c r="G125" s="48"/>
      <c r="H125" s="48"/>
      <c r="I125" s="49"/>
      <c r="J125" s="48"/>
      <c r="K125" s="48"/>
    </row>
    <row r="126" spans="1:11" ht="15" customHeight="1" x14ac:dyDescent="0.2">
      <c r="A126" s="202"/>
      <c r="B126" s="202"/>
      <c r="C126" s="48" t="s">
        <v>261</v>
      </c>
      <c r="D126" s="49" t="s">
        <v>262</v>
      </c>
      <c r="E126" s="50"/>
      <c r="F126" s="48"/>
      <c r="G126" s="48"/>
      <c r="H126" s="48"/>
      <c r="I126" s="49"/>
      <c r="J126" s="48"/>
      <c r="K126" s="48"/>
    </row>
    <row r="127" spans="1:11" ht="15" customHeight="1" x14ac:dyDescent="0.2">
      <c r="A127" s="202"/>
      <c r="B127" s="202"/>
      <c r="C127" s="48" t="s">
        <v>263</v>
      </c>
      <c r="D127" s="49" t="s">
        <v>264</v>
      </c>
      <c r="E127" s="50"/>
      <c r="F127" s="48"/>
      <c r="G127" s="48"/>
      <c r="H127" s="48"/>
      <c r="I127" s="49"/>
      <c r="J127" s="48"/>
      <c r="K127" s="48"/>
    </row>
    <row r="128" spans="1:11" ht="15" customHeight="1" x14ac:dyDescent="0.2">
      <c r="A128" s="202"/>
      <c r="B128" s="202"/>
      <c r="C128" s="48" t="s">
        <v>265</v>
      </c>
      <c r="D128" s="49" t="s">
        <v>266</v>
      </c>
      <c r="E128" s="50"/>
      <c r="F128" s="48"/>
      <c r="G128" s="48"/>
      <c r="H128" s="48"/>
      <c r="I128" s="49"/>
      <c r="J128" s="48"/>
      <c r="K128" s="48"/>
    </row>
    <row r="129" spans="1:11" ht="15" customHeight="1" x14ac:dyDescent="0.2">
      <c r="A129" s="202"/>
      <c r="B129" s="203"/>
      <c r="C129" s="48" t="s">
        <v>267</v>
      </c>
      <c r="D129" s="49" t="s">
        <v>268</v>
      </c>
      <c r="E129" s="50"/>
      <c r="F129" s="48"/>
      <c r="G129" s="48"/>
      <c r="H129" s="48"/>
      <c r="I129" s="49"/>
      <c r="J129" s="48"/>
      <c r="K129" s="48"/>
    </row>
    <row r="130" spans="1:11" ht="15" customHeight="1" x14ac:dyDescent="0.2">
      <c r="A130" s="202"/>
      <c r="B130" s="203" t="s">
        <v>269</v>
      </c>
      <c r="C130" s="204" t="s">
        <v>270</v>
      </c>
      <c r="D130" s="49" t="s">
        <v>271</v>
      </c>
      <c r="E130" s="50" t="s">
        <v>272</v>
      </c>
      <c r="F130" s="48"/>
      <c r="G130" s="48"/>
      <c r="H130" s="48"/>
      <c r="I130" s="49"/>
      <c r="J130" s="48"/>
      <c r="K130" s="48"/>
    </row>
    <row r="131" spans="1:11" ht="15" customHeight="1" x14ac:dyDescent="0.2">
      <c r="A131" s="202"/>
      <c r="B131" s="202"/>
      <c r="C131" s="204"/>
      <c r="D131" s="49"/>
      <c r="E131" s="50" t="s">
        <v>273</v>
      </c>
      <c r="F131" s="48"/>
      <c r="G131" s="48"/>
      <c r="H131" s="48"/>
      <c r="I131" s="49"/>
      <c r="J131" s="48"/>
      <c r="K131" s="48"/>
    </row>
    <row r="132" spans="1:11" ht="15" customHeight="1" x14ac:dyDescent="0.2">
      <c r="A132" s="202"/>
      <c r="B132" s="202"/>
      <c r="C132" s="204"/>
      <c r="D132" s="49"/>
      <c r="E132" s="50" t="s">
        <v>274</v>
      </c>
      <c r="F132" s="48"/>
      <c r="G132" s="48"/>
      <c r="H132" s="48"/>
      <c r="I132" s="49"/>
      <c r="J132" s="48"/>
      <c r="K132" s="48"/>
    </row>
    <row r="133" spans="1:11" ht="15" customHeight="1" x14ac:dyDescent="0.2">
      <c r="A133" s="202"/>
      <c r="B133" s="202"/>
      <c r="C133" s="48" t="s">
        <v>275</v>
      </c>
      <c r="D133" s="49" t="s">
        <v>276</v>
      </c>
      <c r="E133" s="50" t="s">
        <v>277</v>
      </c>
      <c r="F133" s="50"/>
      <c r="G133" s="50"/>
      <c r="H133" s="50"/>
      <c r="I133" s="49"/>
      <c r="J133" s="48"/>
      <c r="K133" s="48"/>
    </row>
    <row r="134" spans="1:11" ht="15" customHeight="1" x14ac:dyDescent="0.2">
      <c r="A134" s="202"/>
      <c r="B134" s="202"/>
      <c r="C134" s="204" t="s">
        <v>278</v>
      </c>
      <c r="D134" s="49" t="s">
        <v>279</v>
      </c>
      <c r="E134" s="50" t="s">
        <v>280</v>
      </c>
      <c r="F134" s="48"/>
      <c r="G134" s="48"/>
      <c r="H134" s="48"/>
      <c r="I134" s="49"/>
      <c r="J134" s="48"/>
      <c r="K134" s="48"/>
    </row>
    <row r="135" spans="1:11" ht="15" customHeight="1" x14ac:dyDescent="0.2">
      <c r="A135" s="202"/>
      <c r="B135" s="202"/>
      <c r="C135" s="204"/>
      <c r="D135" s="49"/>
      <c r="E135" s="50" t="s">
        <v>281</v>
      </c>
      <c r="F135" s="48"/>
      <c r="G135" s="48"/>
      <c r="H135" s="48"/>
      <c r="I135" s="49"/>
      <c r="J135" s="48"/>
      <c r="K135" s="48"/>
    </row>
    <row r="136" spans="1:11" ht="15" customHeight="1" x14ac:dyDescent="0.2">
      <c r="A136" s="202"/>
      <c r="B136" s="202"/>
      <c r="C136" s="204"/>
      <c r="D136" s="49"/>
      <c r="E136" s="50" t="s">
        <v>282</v>
      </c>
      <c r="F136" s="48"/>
      <c r="G136" s="48"/>
      <c r="H136" s="48"/>
      <c r="I136" s="49"/>
      <c r="J136" s="48"/>
      <c r="K136" s="48"/>
    </row>
    <row r="137" spans="1:11" ht="15" customHeight="1" x14ac:dyDescent="0.2">
      <c r="A137" s="202"/>
      <c r="B137" s="202"/>
      <c r="C137" s="204" t="s">
        <v>283</v>
      </c>
      <c r="D137" s="49" t="s">
        <v>284</v>
      </c>
      <c r="E137" s="50" t="s">
        <v>285</v>
      </c>
      <c r="F137" s="48"/>
      <c r="G137" s="48"/>
      <c r="H137" s="48"/>
      <c r="I137" s="49"/>
      <c r="J137" s="48"/>
      <c r="K137" s="48"/>
    </row>
    <row r="138" spans="1:11" ht="15" customHeight="1" x14ac:dyDescent="0.2">
      <c r="A138" s="202"/>
      <c r="B138" s="202"/>
      <c r="C138" s="204"/>
      <c r="D138" s="49"/>
      <c r="E138" s="50" t="s">
        <v>286</v>
      </c>
      <c r="F138" s="48"/>
      <c r="G138" s="48"/>
      <c r="H138" s="48"/>
      <c r="I138" s="49"/>
      <c r="J138" s="48"/>
      <c r="K138" s="48"/>
    </row>
    <row r="139" spans="1:11" ht="15" customHeight="1" x14ac:dyDescent="0.2">
      <c r="A139" s="202"/>
      <c r="B139" s="202"/>
      <c r="C139" s="48" t="s">
        <v>287</v>
      </c>
      <c r="D139" s="49" t="s">
        <v>288</v>
      </c>
      <c r="E139" s="50" t="s">
        <v>289</v>
      </c>
      <c r="F139" s="48"/>
      <c r="G139" s="48"/>
      <c r="H139" s="48"/>
      <c r="I139" s="49"/>
      <c r="J139" s="48"/>
      <c r="K139" s="48"/>
    </row>
    <row r="140" spans="1:11" ht="15" customHeight="1" x14ac:dyDescent="0.2">
      <c r="A140" s="202"/>
      <c r="B140" s="202"/>
      <c r="C140" s="204" t="s">
        <v>290</v>
      </c>
      <c r="D140" s="49" t="s">
        <v>291</v>
      </c>
      <c r="E140" s="50" t="s">
        <v>292</v>
      </c>
      <c r="F140" s="48"/>
      <c r="G140" s="48"/>
      <c r="H140" s="48"/>
      <c r="I140" s="49"/>
      <c r="J140" s="48"/>
      <c r="K140" s="48"/>
    </row>
    <row r="141" spans="1:11" ht="15" customHeight="1" x14ac:dyDescent="0.2">
      <c r="A141" s="202"/>
      <c r="B141" s="202"/>
      <c r="C141" s="204"/>
      <c r="D141" s="49"/>
      <c r="E141" s="50" t="s">
        <v>293</v>
      </c>
      <c r="F141" s="48"/>
      <c r="G141" s="48"/>
      <c r="H141" s="48"/>
      <c r="I141" s="49"/>
      <c r="J141" s="48"/>
      <c r="K141" s="48"/>
    </row>
    <row r="142" spans="1:11" ht="15" customHeight="1" x14ac:dyDescent="0.2">
      <c r="A142" s="202"/>
      <c r="B142" s="202"/>
      <c r="C142" s="204" t="s">
        <v>294</v>
      </c>
      <c r="D142" s="49" t="s">
        <v>295</v>
      </c>
      <c r="E142" s="50" t="s">
        <v>296</v>
      </c>
      <c r="F142" s="48"/>
      <c r="G142" s="48"/>
      <c r="H142" s="48"/>
      <c r="I142" s="49"/>
      <c r="J142" s="48"/>
      <c r="K142" s="48"/>
    </row>
    <row r="143" spans="1:11" ht="15" customHeight="1" x14ac:dyDescent="0.2">
      <c r="A143" s="202"/>
      <c r="B143" s="202"/>
      <c r="C143" s="204"/>
      <c r="D143" s="49"/>
      <c r="E143" s="50" t="s">
        <v>297</v>
      </c>
      <c r="F143" s="48"/>
      <c r="G143" s="48"/>
      <c r="H143" s="48"/>
      <c r="I143" s="49"/>
      <c r="J143" s="48"/>
      <c r="K143" s="48"/>
    </row>
    <row r="144" spans="1:11" ht="15" customHeight="1" x14ac:dyDescent="0.2">
      <c r="A144" s="202"/>
      <c r="B144" s="202"/>
      <c r="C144" s="204"/>
      <c r="D144" s="49"/>
      <c r="E144" s="50" t="s">
        <v>298</v>
      </c>
      <c r="F144" s="48"/>
      <c r="G144" s="48"/>
      <c r="H144" s="48"/>
      <c r="I144" s="49"/>
      <c r="J144" s="48"/>
      <c r="K144" s="48"/>
    </row>
    <row r="145" spans="1:11" ht="15" customHeight="1" x14ac:dyDescent="0.2">
      <c r="A145" s="202"/>
      <c r="B145" s="203"/>
      <c r="C145" s="204"/>
      <c r="D145" s="49"/>
      <c r="E145" s="50" t="s">
        <v>299</v>
      </c>
      <c r="F145" s="48"/>
      <c r="G145" s="48"/>
      <c r="H145" s="48"/>
      <c r="I145" s="49"/>
      <c r="J145" s="48"/>
      <c r="K145" s="48"/>
    </row>
    <row r="146" spans="1:11" ht="15" customHeight="1" x14ac:dyDescent="0.2">
      <c r="A146" s="202"/>
      <c r="B146" s="203" t="s">
        <v>300</v>
      </c>
      <c r="C146" s="48" t="s">
        <v>301</v>
      </c>
      <c r="D146" s="49" t="s">
        <v>302</v>
      </c>
      <c r="E146" s="50"/>
      <c r="F146" s="48"/>
      <c r="G146" s="48"/>
      <c r="H146" s="48"/>
      <c r="I146" s="49"/>
      <c r="J146" s="48"/>
      <c r="K146" s="48"/>
    </row>
    <row r="147" spans="1:11" ht="15" customHeight="1" x14ac:dyDescent="0.2">
      <c r="A147" s="202"/>
      <c r="B147" s="202"/>
      <c r="C147" s="48" t="s">
        <v>303</v>
      </c>
      <c r="D147" s="49" t="s">
        <v>304</v>
      </c>
      <c r="E147" s="50"/>
      <c r="F147" s="48"/>
      <c r="G147" s="48"/>
      <c r="H147" s="48"/>
      <c r="I147" s="49"/>
      <c r="J147" s="51"/>
      <c r="K147" s="51"/>
    </row>
    <row r="148" spans="1:11" ht="15" customHeight="1" x14ac:dyDescent="0.2">
      <c r="A148" s="202"/>
      <c r="B148" s="202"/>
      <c r="C148" s="48" t="s">
        <v>305</v>
      </c>
      <c r="D148" s="49" t="s">
        <v>306</v>
      </c>
      <c r="E148" s="50" t="s">
        <v>947</v>
      </c>
      <c r="F148" s="48"/>
      <c r="G148" s="48"/>
      <c r="H148" s="48"/>
      <c r="I148" s="49"/>
      <c r="J148" s="48"/>
      <c r="K148" s="48"/>
    </row>
    <row r="149" spans="1:11" ht="15" customHeight="1" x14ac:dyDescent="0.2">
      <c r="A149" s="202"/>
      <c r="B149" s="202"/>
      <c r="C149" s="48" t="s">
        <v>307</v>
      </c>
      <c r="D149" s="49" t="s">
        <v>308</v>
      </c>
      <c r="E149" s="50"/>
      <c r="F149" s="48"/>
      <c r="G149" s="48"/>
      <c r="H149" s="48"/>
      <c r="I149" s="49"/>
      <c r="J149" s="48"/>
      <c r="K149" s="48"/>
    </row>
    <row r="150" spans="1:11" ht="15" customHeight="1" x14ac:dyDescent="0.2">
      <c r="A150" s="202"/>
      <c r="B150" s="202"/>
      <c r="C150" s="48" t="s">
        <v>309</v>
      </c>
      <c r="D150" s="49" t="s">
        <v>310</v>
      </c>
      <c r="E150" s="50"/>
      <c r="F150" s="48"/>
      <c r="G150" s="48"/>
      <c r="H150" s="48"/>
      <c r="I150" s="49"/>
      <c r="J150" s="48"/>
      <c r="K150" s="48"/>
    </row>
    <row r="151" spans="1:11" ht="15" customHeight="1" x14ac:dyDescent="0.2">
      <c r="A151" s="202"/>
      <c r="B151" s="202"/>
      <c r="C151" s="48" t="s">
        <v>311</v>
      </c>
      <c r="D151" s="49" t="s">
        <v>312</v>
      </c>
      <c r="E151" s="50"/>
      <c r="F151" s="48"/>
      <c r="G151" s="48"/>
      <c r="H151" s="48"/>
      <c r="I151" s="49"/>
      <c r="J151" s="48"/>
      <c r="K151" s="48"/>
    </row>
    <row r="152" spans="1:11" ht="15" customHeight="1" x14ac:dyDescent="0.2">
      <c r="A152" s="202"/>
      <c r="B152" s="202"/>
      <c r="C152" s="48" t="s">
        <v>313</v>
      </c>
      <c r="D152" s="49" t="s">
        <v>314</v>
      </c>
      <c r="E152" s="50"/>
      <c r="F152" s="48"/>
      <c r="G152" s="48"/>
      <c r="H152" s="48"/>
      <c r="I152" s="49"/>
      <c r="J152" s="51"/>
      <c r="K152" s="51"/>
    </row>
    <row r="153" spans="1:11" ht="15" customHeight="1" x14ac:dyDescent="0.2">
      <c r="A153" s="202"/>
      <c r="B153" s="202"/>
      <c r="C153" s="48" t="s">
        <v>315</v>
      </c>
      <c r="D153" s="49" t="s">
        <v>316</v>
      </c>
      <c r="E153" s="50"/>
      <c r="F153" s="48"/>
      <c r="G153" s="48"/>
      <c r="H153" s="48"/>
      <c r="I153" s="49"/>
      <c r="J153" s="48"/>
      <c r="K153" s="48"/>
    </row>
    <row r="154" spans="1:11" ht="15" customHeight="1" x14ac:dyDescent="0.2">
      <c r="A154" s="202"/>
      <c r="B154" s="202"/>
      <c r="C154" s="48" t="s">
        <v>317</v>
      </c>
      <c r="D154" s="49" t="s">
        <v>318</v>
      </c>
      <c r="E154" s="50"/>
      <c r="F154" s="48"/>
      <c r="G154" s="48"/>
      <c r="H154" s="48"/>
      <c r="I154" s="49"/>
      <c r="J154" s="48"/>
      <c r="K154" s="48"/>
    </row>
    <row r="155" spans="1:11" ht="15" customHeight="1" x14ac:dyDescent="0.2">
      <c r="A155" s="202"/>
      <c r="B155" s="202"/>
      <c r="C155" s="48" t="s">
        <v>319</v>
      </c>
      <c r="D155" s="49" t="s">
        <v>320</v>
      </c>
      <c r="E155" s="50"/>
      <c r="F155" s="48"/>
      <c r="G155" s="48"/>
      <c r="H155" s="48"/>
      <c r="I155" s="49"/>
      <c r="J155" s="48"/>
      <c r="K155" s="48"/>
    </row>
    <row r="156" spans="1:11" ht="15" customHeight="1" x14ac:dyDescent="0.2">
      <c r="A156" s="202"/>
      <c r="B156" s="203"/>
      <c r="C156" s="48" t="s">
        <v>321</v>
      </c>
      <c r="D156" s="49" t="s">
        <v>322</v>
      </c>
      <c r="E156" s="50"/>
      <c r="F156" s="48"/>
      <c r="G156" s="48"/>
      <c r="H156" s="48"/>
      <c r="I156" s="49"/>
      <c r="J156" s="48"/>
      <c r="K156" s="48"/>
    </row>
    <row r="157" spans="1:11" ht="15" customHeight="1" x14ac:dyDescent="0.2">
      <c r="A157" s="202"/>
      <c r="B157" s="203" t="s">
        <v>323</v>
      </c>
      <c r="C157" s="48" t="s">
        <v>324</v>
      </c>
      <c r="D157" s="49" t="s">
        <v>325</v>
      </c>
      <c r="E157" s="50"/>
      <c r="F157" s="48"/>
      <c r="G157" s="48"/>
      <c r="H157" s="48"/>
      <c r="I157" s="49"/>
      <c r="J157" s="48"/>
      <c r="K157" s="48"/>
    </row>
    <row r="158" spans="1:11" ht="15" customHeight="1" x14ac:dyDescent="0.2">
      <c r="A158" s="202"/>
      <c r="B158" s="202"/>
      <c r="C158" s="48" t="s">
        <v>326</v>
      </c>
      <c r="D158" s="49" t="s">
        <v>327</v>
      </c>
      <c r="E158" s="50"/>
      <c r="F158" s="48"/>
      <c r="G158" s="48"/>
      <c r="H158" s="48"/>
      <c r="I158" s="49"/>
      <c r="J158" s="48"/>
      <c r="K158" s="48"/>
    </row>
    <row r="159" spans="1:11" ht="15" customHeight="1" x14ac:dyDescent="0.2">
      <c r="A159" s="202"/>
      <c r="B159" s="202"/>
      <c r="C159" s="48" t="s">
        <v>328</v>
      </c>
      <c r="D159" s="49" t="s">
        <v>329</v>
      </c>
      <c r="E159" s="50"/>
      <c r="F159" s="48"/>
      <c r="G159" s="48"/>
      <c r="H159" s="48"/>
      <c r="I159" s="49"/>
      <c r="J159" s="51"/>
      <c r="K159" s="51"/>
    </row>
    <row r="160" spans="1:11" ht="15" customHeight="1" x14ac:dyDescent="0.2">
      <c r="A160" s="202"/>
      <c r="B160" s="203"/>
      <c r="C160" s="48" t="s">
        <v>330</v>
      </c>
      <c r="D160" s="49" t="s">
        <v>331</v>
      </c>
      <c r="E160" s="50"/>
      <c r="F160" s="48"/>
      <c r="G160" s="48"/>
      <c r="H160" s="48"/>
      <c r="I160" s="49"/>
      <c r="J160" s="51"/>
      <c r="K160" s="51"/>
    </row>
    <row r="161" spans="1:11" ht="15" customHeight="1" x14ac:dyDescent="0.2">
      <c r="A161" s="205" t="s">
        <v>332</v>
      </c>
      <c r="B161" s="206" t="s">
        <v>333</v>
      </c>
      <c r="C161" s="52" t="s">
        <v>334</v>
      </c>
      <c r="D161" s="53" t="s">
        <v>335</v>
      </c>
      <c r="E161" s="54" t="s">
        <v>336</v>
      </c>
      <c r="F161" s="52"/>
      <c r="G161" s="52"/>
      <c r="H161" s="52"/>
      <c r="I161" s="53"/>
      <c r="J161" s="52"/>
      <c r="K161" s="52"/>
    </row>
    <row r="162" spans="1:11" ht="15" customHeight="1" x14ac:dyDescent="0.2">
      <c r="A162" s="205"/>
      <c r="B162" s="205"/>
      <c r="C162" s="207" t="s">
        <v>337</v>
      </c>
      <c r="D162" s="53" t="s">
        <v>338</v>
      </c>
      <c r="E162" s="54" t="s">
        <v>339</v>
      </c>
      <c r="F162" s="52"/>
      <c r="G162" s="52"/>
      <c r="H162" s="52"/>
      <c r="I162" s="53"/>
      <c r="J162" s="52"/>
      <c r="K162" s="52"/>
    </row>
    <row r="163" spans="1:11" ht="15" customHeight="1" x14ac:dyDescent="0.2">
      <c r="A163" s="205"/>
      <c r="B163" s="205"/>
      <c r="C163" s="207"/>
      <c r="D163" s="53"/>
      <c r="E163" s="54" t="s">
        <v>340</v>
      </c>
      <c r="F163" s="52"/>
      <c r="G163" s="52"/>
      <c r="H163" s="52"/>
      <c r="I163" s="53"/>
      <c r="J163" s="52"/>
      <c r="K163" s="52"/>
    </row>
    <row r="164" spans="1:11" ht="15" customHeight="1" x14ac:dyDescent="0.2">
      <c r="A164" s="205"/>
      <c r="B164" s="205"/>
      <c r="C164" s="207"/>
      <c r="D164" s="53"/>
      <c r="E164" s="54" t="s">
        <v>341</v>
      </c>
      <c r="F164" s="52"/>
      <c r="G164" s="52"/>
      <c r="H164" s="52"/>
      <c r="I164" s="53"/>
      <c r="J164" s="52"/>
      <c r="K164" s="52"/>
    </row>
    <row r="165" spans="1:11" ht="15" customHeight="1" x14ac:dyDescent="0.2">
      <c r="A165" s="205"/>
      <c r="B165" s="205"/>
      <c r="C165" s="52" t="s">
        <v>342</v>
      </c>
      <c r="D165" s="53" t="s">
        <v>343</v>
      </c>
      <c r="E165" s="54" t="s">
        <v>344</v>
      </c>
      <c r="F165" s="52"/>
      <c r="G165" s="52"/>
      <c r="H165" s="52"/>
      <c r="I165" s="53"/>
      <c r="J165" s="52"/>
      <c r="K165" s="52"/>
    </row>
    <row r="166" spans="1:11" ht="15" customHeight="1" x14ac:dyDescent="0.2">
      <c r="A166" s="205"/>
      <c r="B166" s="205"/>
      <c r="C166" s="207" t="s">
        <v>345</v>
      </c>
      <c r="D166" s="53" t="s">
        <v>346</v>
      </c>
      <c r="E166" s="54" t="s">
        <v>347</v>
      </c>
      <c r="F166" s="52"/>
      <c r="G166" s="52"/>
      <c r="H166" s="52"/>
      <c r="I166" s="53"/>
      <c r="J166" s="52"/>
      <c r="K166" s="52"/>
    </row>
    <row r="167" spans="1:11" ht="15" customHeight="1" x14ac:dyDescent="0.2">
      <c r="A167" s="205"/>
      <c r="B167" s="205"/>
      <c r="C167" s="207"/>
      <c r="D167" s="53"/>
      <c r="E167" s="54" t="s">
        <v>348</v>
      </c>
      <c r="F167" s="52"/>
      <c r="G167" s="52"/>
      <c r="H167" s="52"/>
      <c r="I167" s="53"/>
      <c r="J167" s="52"/>
      <c r="K167" s="52"/>
    </row>
    <row r="168" spans="1:11" ht="15" customHeight="1" x14ac:dyDescent="0.2">
      <c r="A168" s="205"/>
      <c r="B168" s="205"/>
      <c r="C168" s="207"/>
      <c r="D168" s="53"/>
      <c r="E168" s="54" t="s">
        <v>349</v>
      </c>
      <c r="F168" s="52"/>
      <c r="G168" s="52"/>
      <c r="H168" s="52"/>
      <c r="I168" s="53"/>
      <c r="J168" s="52"/>
      <c r="K168" s="52"/>
    </row>
    <row r="169" spans="1:11" ht="15" customHeight="1" x14ac:dyDescent="0.2">
      <c r="A169" s="205"/>
      <c r="B169" s="206"/>
      <c r="C169" s="207"/>
      <c r="D169" s="53"/>
      <c r="E169" s="54" t="s">
        <v>350</v>
      </c>
      <c r="F169" s="52"/>
      <c r="G169" s="52"/>
      <c r="H169" s="52"/>
      <c r="I169" s="53"/>
      <c r="J169" s="52"/>
      <c r="K169" s="52"/>
    </row>
    <row r="170" spans="1:11" ht="15" customHeight="1" x14ac:dyDescent="0.2">
      <c r="A170" s="205"/>
      <c r="B170" s="208" t="s">
        <v>351</v>
      </c>
      <c r="C170" s="207" t="s">
        <v>352</v>
      </c>
      <c r="D170" s="53" t="s">
        <v>353</v>
      </c>
      <c r="E170" s="54" t="s">
        <v>354</v>
      </c>
      <c r="F170" s="52"/>
      <c r="G170" s="52"/>
      <c r="H170" s="52"/>
      <c r="I170" s="53"/>
      <c r="J170" s="52"/>
      <c r="K170" s="52"/>
    </row>
    <row r="171" spans="1:11" ht="15" customHeight="1" x14ac:dyDescent="0.2">
      <c r="A171" s="205"/>
      <c r="B171" s="205"/>
      <c r="C171" s="207"/>
      <c r="D171" s="53"/>
      <c r="E171" s="54" t="s">
        <v>355</v>
      </c>
      <c r="F171" s="52"/>
      <c r="G171" s="52"/>
      <c r="H171" s="52"/>
      <c r="I171" s="53"/>
      <c r="J171" s="52"/>
      <c r="K171" s="52"/>
    </row>
    <row r="172" spans="1:11" ht="15" customHeight="1" x14ac:dyDescent="0.2">
      <c r="A172" s="205"/>
      <c r="B172" s="205"/>
      <c r="C172" s="207" t="s">
        <v>356</v>
      </c>
      <c r="D172" s="53" t="s">
        <v>357</v>
      </c>
      <c r="E172" s="54" t="s">
        <v>358</v>
      </c>
      <c r="F172" s="52"/>
      <c r="G172" s="52"/>
      <c r="H172" s="52"/>
      <c r="I172" s="53"/>
      <c r="J172" s="52"/>
      <c r="K172" s="52"/>
    </row>
    <row r="173" spans="1:11" ht="15" customHeight="1" x14ac:dyDescent="0.2">
      <c r="A173" s="205"/>
      <c r="B173" s="205"/>
      <c r="C173" s="207"/>
      <c r="D173" s="53"/>
      <c r="E173" s="54" t="s">
        <v>359</v>
      </c>
      <c r="F173" s="52"/>
      <c r="G173" s="52"/>
      <c r="H173" s="52"/>
      <c r="I173" s="53"/>
      <c r="J173" s="52"/>
      <c r="K173" s="52"/>
    </row>
    <row r="174" spans="1:11" ht="15" customHeight="1" x14ac:dyDescent="0.2">
      <c r="A174" s="205"/>
      <c r="B174" s="205"/>
      <c r="C174" s="52" t="s">
        <v>360</v>
      </c>
      <c r="D174" s="53" t="s">
        <v>361</v>
      </c>
      <c r="E174" s="54" t="s">
        <v>362</v>
      </c>
      <c r="F174" s="52"/>
      <c r="G174" s="52"/>
      <c r="H174" s="52"/>
      <c r="I174" s="53"/>
      <c r="J174" s="52"/>
      <c r="K174" s="52"/>
    </row>
    <row r="175" spans="1:11" ht="15" customHeight="1" x14ac:dyDescent="0.2">
      <c r="A175" s="205"/>
      <c r="B175" s="205"/>
      <c r="C175" s="207" t="s">
        <v>363</v>
      </c>
      <c r="D175" s="53" t="s">
        <v>364</v>
      </c>
      <c r="E175" s="54" t="s">
        <v>365</v>
      </c>
      <c r="F175" s="52"/>
      <c r="G175" s="52"/>
      <c r="H175" s="52"/>
      <c r="I175" s="53"/>
      <c r="J175" s="52"/>
      <c r="K175" s="52"/>
    </row>
    <row r="176" spans="1:11" ht="15" customHeight="1" x14ac:dyDescent="0.2">
      <c r="A176" s="205"/>
      <c r="B176" s="205"/>
      <c r="C176" s="207"/>
      <c r="D176" s="53"/>
      <c r="E176" s="54" t="s">
        <v>366</v>
      </c>
      <c r="F176" s="52"/>
      <c r="G176" s="52"/>
      <c r="H176" s="52"/>
      <c r="I176" s="53"/>
      <c r="J176" s="52"/>
      <c r="K176" s="52"/>
    </row>
    <row r="177" spans="1:11" ht="15" customHeight="1" x14ac:dyDescent="0.2">
      <c r="A177" s="205"/>
      <c r="B177" s="205"/>
      <c r="C177" s="207" t="s">
        <v>367</v>
      </c>
      <c r="D177" s="53" t="s">
        <v>368</v>
      </c>
      <c r="E177" s="54" t="s">
        <v>369</v>
      </c>
      <c r="F177" s="52"/>
      <c r="G177" s="52"/>
      <c r="H177" s="52"/>
      <c r="I177" s="53"/>
      <c r="J177" s="52"/>
      <c r="K177" s="52"/>
    </row>
    <row r="178" spans="1:11" ht="15" customHeight="1" x14ac:dyDescent="0.2">
      <c r="A178" s="205"/>
      <c r="B178" s="205"/>
      <c r="C178" s="207"/>
      <c r="D178" s="53"/>
      <c r="E178" s="54" t="s">
        <v>370</v>
      </c>
      <c r="F178" s="52"/>
      <c r="G178" s="52"/>
      <c r="H178" s="52"/>
      <c r="I178" s="53"/>
      <c r="J178" s="52"/>
      <c r="K178" s="52"/>
    </row>
    <row r="179" spans="1:11" ht="15" customHeight="1" x14ac:dyDescent="0.2">
      <c r="A179" s="205"/>
      <c r="B179" s="205"/>
      <c r="C179" s="207" t="s">
        <v>371</v>
      </c>
      <c r="D179" s="53" t="s">
        <v>372</v>
      </c>
      <c r="E179" s="54" t="s">
        <v>373</v>
      </c>
      <c r="F179" s="52"/>
      <c r="G179" s="52"/>
      <c r="H179" s="52"/>
      <c r="I179" s="53"/>
      <c r="J179" s="55"/>
      <c r="K179" s="55"/>
    </row>
    <row r="180" spans="1:11" ht="15" customHeight="1" x14ac:dyDescent="0.2">
      <c r="A180" s="205"/>
      <c r="B180" s="208"/>
      <c r="C180" s="207"/>
      <c r="D180" s="53"/>
      <c r="E180" s="54" t="s">
        <v>374</v>
      </c>
      <c r="F180" s="52"/>
      <c r="G180" s="52"/>
      <c r="H180" s="52"/>
      <c r="I180" s="53"/>
      <c r="J180" s="55"/>
      <c r="K180" s="55"/>
    </row>
    <row r="181" spans="1:11" ht="15" customHeight="1" x14ac:dyDescent="0.2">
      <c r="A181" s="205"/>
      <c r="B181" s="206" t="s">
        <v>375</v>
      </c>
      <c r="C181" s="207" t="s">
        <v>376</v>
      </c>
      <c r="D181" s="53" t="s">
        <v>377</v>
      </c>
      <c r="E181" s="54" t="s">
        <v>378</v>
      </c>
      <c r="F181" s="52"/>
      <c r="G181" s="52"/>
      <c r="H181" s="52"/>
      <c r="I181" s="53"/>
      <c r="J181" s="52"/>
      <c r="K181" s="52"/>
    </row>
    <row r="182" spans="1:11" ht="15" customHeight="1" x14ac:dyDescent="0.2">
      <c r="A182" s="205"/>
      <c r="B182" s="205"/>
      <c r="C182" s="207"/>
      <c r="D182" s="53"/>
      <c r="E182" s="54" t="s">
        <v>379</v>
      </c>
      <c r="F182" s="52"/>
      <c r="G182" s="52"/>
      <c r="H182" s="52"/>
      <c r="I182" s="53"/>
      <c r="J182" s="52"/>
      <c r="K182" s="52"/>
    </row>
    <row r="183" spans="1:11" ht="15" customHeight="1" x14ac:dyDescent="0.2">
      <c r="A183" s="205"/>
      <c r="B183" s="205"/>
      <c r="C183" s="52" t="s">
        <v>380</v>
      </c>
      <c r="D183" s="53" t="s">
        <v>381</v>
      </c>
      <c r="E183" s="54" t="s">
        <v>382</v>
      </c>
      <c r="F183" s="52"/>
      <c r="G183" s="52"/>
      <c r="H183" s="52"/>
      <c r="I183" s="53"/>
      <c r="J183" s="52"/>
      <c r="K183" s="52"/>
    </row>
    <row r="184" spans="1:11" ht="15" customHeight="1" x14ac:dyDescent="0.2">
      <c r="A184" s="205"/>
      <c r="B184" s="205"/>
      <c r="C184" s="52" t="s">
        <v>383</v>
      </c>
      <c r="D184" s="53" t="s">
        <v>384</v>
      </c>
      <c r="E184" s="54" t="s">
        <v>385</v>
      </c>
      <c r="F184" s="52"/>
      <c r="G184" s="52"/>
      <c r="H184" s="52"/>
      <c r="I184" s="53"/>
      <c r="J184" s="52"/>
      <c r="K184" s="52"/>
    </row>
    <row r="185" spans="1:11" ht="15" customHeight="1" x14ac:dyDescent="0.2">
      <c r="A185" s="205"/>
      <c r="B185" s="205"/>
      <c r="C185" s="207" t="s">
        <v>386</v>
      </c>
      <c r="D185" s="53" t="s">
        <v>387</v>
      </c>
      <c r="E185" s="54" t="s">
        <v>388</v>
      </c>
      <c r="F185" s="52"/>
      <c r="G185" s="52"/>
      <c r="H185" s="52"/>
      <c r="I185" s="53"/>
      <c r="J185" s="52"/>
      <c r="K185" s="52"/>
    </row>
    <row r="186" spans="1:11" ht="15" customHeight="1" x14ac:dyDescent="0.2">
      <c r="A186" s="205"/>
      <c r="B186" s="205"/>
      <c r="C186" s="207"/>
      <c r="D186" s="53"/>
      <c r="E186" s="54" t="s">
        <v>389</v>
      </c>
      <c r="F186" s="52"/>
      <c r="G186" s="52"/>
      <c r="H186" s="52"/>
      <c r="I186" s="53"/>
      <c r="J186" s="52"/>
      <c r="K186" s="52"/>
    </row>
    <row r="187" spans="1:11" ht="15" customHeight="1" x14ac:dyDescent="0.2">
      <c r="A187" s="205"/>
      <c r="B187" s="205"/>
      <c r="C187" s="52" t="s">
        <v>390</v>
      </c>
      <c r="D187" s="53" t="s">
        <v>391</v>
      </c>
      <c r="E187" s="54" t="s">
        <v>392</v>
      </c>
      <c r="F187" s="52"/>
      <c r="G187" s="52"/>
      <c r="H187" s="52"/>
      <c r="I187" s="53"/>
      <c r="J187" s="52"/>
      <c r="K187" s="52"/>
    </row>
    <row r="188" spans="1:11" ht="15" customHeight="1" x14ac:dyDescent="0.2">
      <c r="A188" s="205"/>
      <c r="B188" s="205"/>
      <c r="C188" s="52" t="s">
        <v>393</v>
      </c>
      <c r="D188" s="53" t="s">
        <v>394</v>
      </c>
      <c r="E188" s="54" t="s">
        <v>395</v>
      </c>
      <c r="F188" s="52"/>
      <c r="G188" s="52"/>
      <c r="H188" s="52"/>
      <c r="I188" s="53"/>
      <c r="J188" s="52"/>
      <c r="K188" s="52"/>
    </row>
    <row r="189" spans="1:11" ht="15" customHeight="1" x14ac:dyDescent="0.2">
      <c r="A189" s="205"/>
      <c r="B189" s="205"/>
      <c r="C189" s="207" t="s">
        <v>396</v>
      </c>
      <c r="D189" s="53" t="s">
        <v>397</v>
      </c>
      <c r="E189" s="54" t="s">
        <v>398</v>
      </c>
      <c r="F189" s="52"/>
      <c r="G189" s="52"/>
      <c r="H189" s="52"/>
      <c r="I189" s="53"/>
      <c r="J189" s="52"/>
      <c r="K189" s="52"/>
    </row>
    <row r="190" spans="1:11" ht="15" customHeight="1" x14ac:dyDescent="0.2">
      <c r="A190" s="205"/>
      <c r="B190" s="205"/>
      <c r="C190" s="207"/>
      <c r="D190" s="53"/>
      <c r="E190" s="54" t="s">
        <v>399</v>
      </c>
      <c r="F190" s="52"/>
      <c r="G190" s="52"/>
      <c r="H190" s="52"/>
      <c r="I190" s="53"/>
      <c r="J190" s="52"/>
      <c r="K190" s="52"/>
    </row>
    <row r="191" spans="1:11" ht="15" customHeight="1" x14ac:dyDescent="0.2">
      <c r="A191" s="205"/>
      <c r="B191" s="206"/>
      <c r="C191" s="207"/>
      <c r="D191" s="53"/>
      <c r="E191" s="54" t="s">
        <v>400</v>
      </c>
      <c r="F191" s="52"/>
      <c r="G191" s="52"/>
      <c r="H191" s="52"/>
      <c r="I191" s="53"/>
      <c r="J191" s="52"/>
      <c r="K191" s="52"/>
    </row>
  </sheetData>
  <mergeCells count="63">
    <mergeCell ref="A161:A191"/>
    <mergeCell ref="B161:B169"/>
    <mergeCell ref="C162:C164"/>
    <mergeCell ref="C166:C169"/>
    <mergeCell ref="B170:B180"/>
    <mergeCell ref="C170:C171"/>
    <mergeCell ref="C172:C173"/>
    <mergeCell ref="C175:C176"/>
    <mergeCell ref="C177:C178"/>
    <mergeCell ref="C179:C180"/>
    <mergeCell ref="B181:B191"/>
    <mergeCell ref="C181:C182"/>
    <mergeCell ref="C185:C186"/>
    <mergeCell ref="C189:C191"/>
    <mergeCell ref="A121:A160"/>
    <mergeCell ref="B121:B129"/>
    <mergeCell ref="B130:B145"/>
    <mergeCell ref="C130:C132"/>
    <mergeCell ref="C134:C136"/>
    <mergeCell ref="C137:C138"/>
    <mergeCell ref="C140:C141"/>
    <mergeCell ref="C142:C145"/>
    <mergeCell ref="B146:B156"/>
    <mergeCell ref="B157:B160"/>
    <mergeCell ref="A87:A120"/>
    <mergeCell ref="B87:B115"/>
    <mergeCell ref="C87:C91"/>
    <mergeCell ref="C92:C94"/>
    <mergeCell ref="C95:C97"/>
    <mergeCell ref="C98:C106"/>
    <mergeCell ref="C107:C112"/>
    <mergeCell ref="C113:C114"/>
    <mergeCell ref="B116:B120"/>
    <mergeCell ref="C116:C118"/>
    <mergeCell ref="A61:A86"/>
    <mergeCell ref="B61:B74"/>
    <mergeCell ref="C61:C63"/>
    <mergeCell ref="C64:C67"/>
    <mergeCell ref="C68:C73"/>
    <mergeCell ref="B75:B81"/>
    <mergeCell ref="C75:C76"/>
    <mergeCell ref="C78:C81"/>
    <mergeCell ref="B82:B86"/>
    <mergeCell ref="A21:A60"/>
    <mergeCell ref="B21:B28"/>
    <mergeCell ref="B29:B43"/>
    <mergeCell ref="C29:C31"/>
    <mergeCell ref="C32:C41"/>
    <mergeCell ref="C42:C43"/>
    <mergeCell ref="B44:B51"/>
    <mergeCell ref="C45:C50"/>
    <mergeCell ref="B52:B60"/>
    <mergeCell ref="C55:C57"/>
    <mergeCell ref="C58:C60"/>
    <mergeCell ref="A2:A18"/>
    <mergeCell ref="B2:B5"/>
    <mergeCell ref="B6:B13"/>
    <mergeCell ref="C7:C10"/>
    <mergeCell ref="C12:C13"/>
    <mergeCell ref="B14:B20"/>
    <mergeCell ref="C14:C15"/>
    <mergeCell ref="C16:C17"/>
    <mergeCell ref="C18:C20"/>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6"/>
  <sheetViews>
    <sheetView zoomScale="120" zoomScaleNormal="120" workbookViewId="0">
      <pane ySplit="1" topLeftCell="A2" activePane="bottomLeft" state="frozen"/>
      <selection pane="bottomLeft" activeCell="C7" sqref="C7:C8"/>
    </sheetView>
  </sheetViews>
  <sheetFormatPr baseColWidth="10" defaultColWidth="29.1640625" defaultRowHeight="14" x14ac:dyDescent="0.2"/>
  <cols>
    <col min="1" max="1" width="29.1640625" style="56"/>
    <col min="2" max="2" width="35.6640625" style="57" customWidth="1"/>
    <col min="3" max="3" width="38" style="56" customWidth="1"/>
    <col min="4" max="4" width="84.1640625" style="58" customWidth="1"/>
    <col min="5" max="5" width="68.33203125" style="56" customWidth="1"/>
    <col min="6" max="6" width="7.5" style="56" customWidth="1"/>
    <col min="7" max="7" width="8.1640625" style="59" customWidth="1"/>
    <col min="8" max="8" width="13.33203125" style="59" customWidth="1"/>
    <col min="9" max="9" width="10" style="59" customWidth="1"/>
    <col min="10" max="10" width="12.33203125" style="60" customWidth="1"/>
    <col min="11" max="11" width="75.5" style="60" customWidth="1"/>
    <col min="12" max="16384" width="29.1640625" style="60"/>
  </cols>
  <sheetData>
    <row r="1" spans="1:11" ht="15" customHeight="1" x14ac:dyDescent="0.2">
      <c r="A1" s="29" t="s">
        <v>401</v>
      </c>
      <c r="B1" s="29" t="s">
        <v>402</v>
      </c>
      <c r="C1" s="29" t="s">
        <v>29</v>
      </c>
      <c r="D1" s="28" t="s">
        <v>29</v>
      </c>
      <c r="E1" s="29" t="s">
        <v>403</v>
      </c>
      <c r="F1" s="28" t="s">
        <v>33</v>
      </c>
      <c r="G1" s="28" t="s">
        <v>34</v>
      </c>
      <c r="H1" s="28" t="s">
        <v>35</v>
      </c>
      <c r="I1" s="28" t="s">
        <v>36</v>
      </c>
      <c r="J1" s="29" t="s">
        <v>37</v>
      </c>
      <c r="K1" s="61" t="s">
        <v>404</v>
      </c>
    </row>
    <row r="2" spans="1:11" ht="15" customHeight="1" x14ac:dyDescent="0.2">
      <c r="A2" s="14" t="s">
        <v>405</v>
      </c>
      <c r="B2" s="13" t="s">
        <v>406</v>
      </c>
      <c r="C2" s="12" t="s">
        <v>407</v>
      </c>
      <c r="D2" s="11" t="s">
        <v>408</v>
      </c>
      <c r="E2" s="64" t="s">
        <v>409</v>
      </c>
      <c r="F2" s="63"/>
      <c r="G2" s="63"/>
      <c r="H2" s="63"/>
      <c r="I2" s="63"/>
      <c r="J2" s="63"/>
      <c r="K2" s="65"/>
    </row>
    <row r="3" spans="1:11" ht="15" customHeight="1" x14ac:dyDescent="0.2">
      <c r="A3" s="14"/>
      <c r="B3" s="13"/>
      <c r="C3" s="12"/>
      <c r="D3" s="11"/>
      <c r="E3" s="64" t="s">
        <v>410</v>
      </c>
      <c r="F3" s="63"/>
      <c r="G3" s="63"/>
      <c r="H3" s="63"/>
      <c r="I3" s="63"/>
      <c r="J3" s="63"/>
      <c r="K3" s="65"/>
    </row>
    <row r="4" spans="1:11" ht="15" customHeight="1" x14ac:dyDescent="0.2">
      <c r="A4" s="14"/>
      <c r="B4" s="13"/>
      <c r="C4" s="12"/>
      <c r="D4" s="11"/>
      <c r="E4" s="64" t="s">
        <v>411</v>
      </c>
      <c r="F4" s="63"/>
      <c r="G4" s="63"/>
      <c r="H4" s="63"/>
      <c r="I4" s="63"/>
      <c r="J4" s="63"/>
      <c r="K4" s="65"/>
    </row>
    <row r="5" spans="1:11" ht="15" customHeight="1" x14ac:dyDescent="0.2">
      <c r="A5" s="14"/>
      <c r="B5" s="13"/>
      <c r="C5" s="12"/>
      <c r="D5" s="11"/>
      <c r="E5" s="64" t="s">
        <v>412</v>
      </c>
      <c r="F5" s="63"/>
      <c r="G5" s="63"/>
      <c r="H5" s="63"/>
      <c r="I5" s="63"/>
      <c r="J5" s="63"/>
      <c r="K5" s="65"/>
    </row>
    <row r="6" spans="1:11" ht="15" customHeight="1" x14ac:dyDescent="0.2">
      <c r="A6" s="14"/>
      <c r="B6" s="13"/>
      <c r="C6" s="12"/>
      <c r="D6" s="12"/>
      <c r="E6" s="64" t="s">
        <v>413</v>
      </c>
      <c r="F6" s="63"/>
      <c r="G6" s="63"/>
      <c r="H6" s="63"/>
      <c r="I6" s="63"/>
      <c r="J6" s="63"/>
      <c r="K6" s="65"/>
    </row>
    <row r="7" spans="1:11" ht="15" customHeight="1" x14ac:dyDescent="0.2">
      <c r="A7" s="14"/>
      <c r="B7" s="13"/>
      <c r="C7" s="10" t="s">
        <v>414</v>
      </c>
      <c r="D7" s="9" t="s">
        <v>415</v>
      </c>
      <c r="E7" s="64" t="s">
        <v>179</v>
      </c>
      <c r="F7" s="63"/>
      <c r="G7" s="63"/>
      <c r="H7" s="63"/>
      <c r="I7" s="63"/>
      <c r="J7" s="63"/>
      <c r="K7" s="65"/>
    </row>
    <row r="8" spans="1:11" ht="15" customHeight="1" x14ac:dyDescent="0.2">
      <c r="A8" s="14"/>
      <c r="B8" s="13"/>
      <c r="C8" s="10"/>
      <c r="D8" s="10"/>
      <c r="E8" s="63" t="s">
        <v>416</v>
      </c>
      <c r="F8" s="63"/>
      <c r="G8" s="63"/>
      <c r="H8" s="63"/>
      <c r="I8" s="63"/>
      <c r="J8" s="63"/>
      <c r="K8" s="65"/>
    </row>
    <row r="9" spans="1:11" ht="15" customHeight="1" x14ac:dyDescent="0.2">
      <c r="A9" s="14"/>
      <c r="B9" s="13"/>
      <c r="C9" s="62" t="s">
        <v>417</v>
      </c>
      <c r="D9" s="63" t="s">
        <v>418</v>
      </c>
      <c r="E9" s="63"/>
      <c r="F9" s="63"/>
      <c r="G9" s="63"/>
      <c r="H9" s="63"/>
      <c r="I9" s="63"/>
      <c r="J9" s="63"/>
      <c r="K9" s="65"/>
    </row>
    <row r="10" spans="1:11" ht="15" customHeight="1" x14ac:dyDescent="0.2">
      <c r="A10" s="14"/>
      <c r="B10" s="13"/>
      <c r="C10" s="62" t="s">
        <v>419</v>
      </c>
      <c r="D10" s="65" t="s">
        <v>420</v>
      </c>
      <c r="E10" s="63"/>
      <c r="F10" s="63"/>
      <c r="G10" s="63"/>
      <c r="H10" s="63"/>
      <c r="I10" s="63"/>
      <c r="J10" s="63"/>
      <c r="K10" s="65"/>
    </row>
    <row r="11" spans="1:11" ht="15" customHeight="1" x14ac:dyDescent="0.2">
      <c r="A11" s="14"/>
      <c r="B11" s="13"/>
      <c r="C11" s="62" t="s">
        <v>421</v>
      </c>
      <c r="D11" s="63" t="s">
        <v>422</v>
      </c>
      <c r="E11" s="63"/>
      <c r="F11" s="63"/>
      <c r="G11" s="63"/>
      <c r="H11" s="63"/>
      <c r="I11" s="63"/>
      <c r="J11" s="63"/>
      <c r="K11" s="65"/>
    </row>
    <row r="12" spans="1:11" ht="48" customHeight="1" x14ac:dyDescent="0.2">
      <c r="A12" s="14"/>
      <c r="B12" s="13" t="s">
        <v>423</v>
      </c>
      <c r="C12" s="62" t="s">
        <v>419</v>
      </c>
      <c r="D12" s="65" t="s">
        <v>424</v>
      </c>
      <c r="E12" s="63"/>
      <c r="F12" s="63"/>
      <c r="G12" s="63"/>
      <c r="H12" s="63"/>
      <c r="I12" s="63"/>
      <c r="J12" s="63"/>
      <c r="K12" s="65"/>
    </row>
    <row r="13" spans="1:11" s="68" customFormat="1" ht="42" customHeight="1" x14ac:dyDescent="0.2">
      <c r="A13" s="14"/>
      <c r="B13" s="13"/>
      <c r="C13" s="62" t="s">
        <v>425</v>
      </c>
      <c r="D13" s="63" t="s">
        <v>426</v>
      </c>
      <c r="E13" s="66"/>
      <c r="F13" s="66"/>
      <c r="G13" s="66"/>
      <c r="H13" s="66"/>
      <c r="I13" s="66"/>
      <c r="J13" s="66"/>
      <c r="K13" s="67"/>
    </row>
    <row r="14" spans="1:11" ht="64.5" customHeight="1" x14ac:dyDescent="0.2">
      <c r="A14" s="14"/>
      <c r="B14" s="8" t="s">
        <v>427</v>
      </c>
      <c r="C14" s="62" t="s">
        <v>428</v>
      </c>
      <c r="D14" s="63" t="s">
        <v>429</v>
      </c>
      <c r="E14" s="63"/>
      <c r="F14" s="63"/>
      <c r="G14" s="63"/>
      <c r="H14" s="63"/>
      <c r="I14" s="63"/>
      <c r="J14" s="63"/>
      <c r="K14" s="65"/>
    </row>
    <row r="15" spans="1:11" ht="15" customHeight="1" x14ac:dyDescent="0.2">
      <c r="A15" s="14"/>
      <c r="B15" s="8"/>
      <c r="C15" s="62" t="s">
        <v>430</v>
      </c>
      <c r="D15" s="63" t="s">
        <v>431</v>
      </c>
      <c r="E15" s="63"/>
      <c r="F15" s="63"/>
      <c r="G15" s="63"/>
      <c r="H15" s="63"/>
      <c r="I15" s="63"/>
      <c r="J15" s="63"/>
      <c r="K15" s="65"/>
    </row>
    <row r="16" spans="1:11" ht="15" customHeight="1" x14ac:dyDescent="0.2">
      <c r="A16" s="7" t="s">
        <v>432</v>
      </c>
      <c r="B16" s="6" t="s">
        <v>433</v>
      </c>
      <c r="C16" s="5" t="s">
        <v>434</v>
      </c>
      <c r="D16" s="4" t="s">
        <v>435</v>
      </c>
      <c r="E16" s="64" t="s">
        <v>436</v>
      </c>
      <c r="F16" s="69"/>
      <c r="G16" s="69"/>
      <c r="H16" s="69"/>
      <c r="I16" s="69"/>
      <c r="J16" s="69"/>
      <c r="K16" s="70"/>
    </row>
    <row r="17" spans="1:11" ht="15" customHeight="1" x14ac:dyDescent="0.2">
      <c r="A17" s="7"/>
      <c r="B17" s="6"/>
      <c r="C17" s="5"/>
      <c r="D17" s="4"/>
      <c r="E17" s="69" t="s">
        <v>157</v>
      </c>
      <c r="F17" s="69"/>
      <c r="G17" s="69"/>
      <c r="H17" s="69"/>
      <c r="I17" s="69"/>
      <c r="J17" s="69"/>
      <c r="K17" s="70"/>
    </row>
    <row r="18" spans="1:11" ht="15" customHeight="1" x14ac:dyDescent="0.2">
      <c r="A18" s="7"/>
      <c r="B18" s="6"/>
      <c r="C18" s="5"/>
      <c r="D18" s="4"/>
      <c r="E18" s="69" t="s">
        <v>437</v>
      </c>
      <c r="F18" s="69"/>
      <c r="G18" s="69"/>
      <c r="H18" s="69"/>
      <c r="I18" s="69"/>
      <c r="J18" s="69"/>
      <c r="K18" s="70"/>
    </row>
    <row r="19" spans="1:11" ht="57" customHeight="1" x14ac:dyDescent="0.2">
      <c r="A19" s="7"/>
      <c r="B19" s="6"/>
      <c r="C19" s="5"/>
      <c r="D19" s="5"/>
      <c r="E19" s="69" t="s">
        <v>438</v>
      </c>
      <c r="F19" s="69"/>
      <c r="G19" s="69"/>
      <c r="H19" s="69"/>
      <c r="I19" s="69"/>
      <c r="J19" s="69"/>
      <c r="K19" s="70"/>
    </row>
    <row r="20" spans="1:11" ht="15" customHeight="1" x14ac:dyDescent="0.2">
      <c r="A20" s="7"/>
      <c r="B20" s="3" t="s">
        <v>439</v>
      </c>
      <c r="C20" s="5" t="s">
        <v>440</v>
      </c>
      <c r="D20" s="4" t="s">
        <v>441</v>
      </c>
      <c r="E20" s="69" t="s">
        <v>442</v>
      </c>
      <c r="F20" s="69"/>
      <c r="G20" s="69"/>
      <c r="H20" s="69"/>
      <c r="I20" s="69"/>
      <c r="J20" s="69"/>
      <c r="K20" s="70"/>
    </row>
    <row r="21" spans="1:11" ht="15" customHeight="1" x14ac:dyDescent="0.2">
      <c r="A21" s="7"/>
      <c r="B21" s="3"/>
      <c r="C21" s="5"/>
      <c r="D21" s="4"/>
      <c r="E21" s="69" t="s">
        <v>443</v>
      </c>
      <c r="F21" s="69"/>
      <c r="G21" s="69"/>
      <c r="H21" s="69"/>
      <c r="I21" s="69"/>
      <c r="J21" s="69"/>
      <c r="K21" s="70"/>
    </row>
    <row r="22" spans="1:11" ht="15" customHeight="1" x14ac:dyDescent="0.2">
      <c r="A22" s="7"/>
      <c r="B22" s="3"/>
      <c r="C22" s="5"/>
      <c r="D22" s="4"/>
      <c r="E22" s="64" t="s">
        <v>64</v>
      </c>
      <c r="F22" s="69"/>
      <c r="G22" s="69"/>
      <c r="H22" s="69"/>
      <c r="I22" s="69"/>
      <c r="J22" s="69"/>
      <c r="K22" s="70"/>
    </row>
    <row r="23" spans="1:11" ht="15" customHeight="1" x14ac:dyDescent="0.2">
      <c r="A23" s="7"/>
      <c r="B23" s="3"/>
      <c r="C23" s="5"/>
      <c r="D23" s="4"/>
      <c r="E23" s="64" t="s">
        <v>444</v>
      </c>
      <c r="F23" s="69"/>
      <c r="G23" s="69"/>
      <c r="H23" s="69"/>
      <c r="I23" s="69"/>
      <c r="J23" s="69"/>
      <c r="K23" s="70"/>
    </row>
    <row r="24" spans="1:11" ht="15" customHeight="1" x14ac:dyDescent="0.2">
      <c r="A24" s="7"/>
      <c r="B24" s="3"/>
      <c r="C24" s="5"/>
      <c r="D24" s="5"/>
      <c r="E24" s="69" t="s">
        <v>55</v>
      </c>
      <c r="F24" s="69"/>
      <c r="G24" s="69"/>
      <c r="H24" s="69"/>
      <c r="I24" s="69"/>
      <c r="J24" s="69"/>
      <c r="K24" s="70"/>
    </row>
    <row r="25" spans="1:11" ht="15" customHeight="1" x14ac:dyDescent="0.2">
      <c r="A25" s="7"/>
      <c r="B25" s="3"/>
      <c r="C25" s="5" t="s">
        <v>434</v>
      </c>
      <c r="D25" s="4" t="s">
        <v>445</v>
      </c>
      <c r="E25" s="69" t="s">
        <v>436</v>
      </c>
      <c r="F25" s="69"/>
      <c r="G25" s="69"/>
      <c r="H25" s="69"/>
      <c r="I25" s="69"/>
      <c r="J25" s="69"/>
      <c r="K25" s="70"/>
    </row>
    <row r="26" spans="1:11" ht="15" customHeight="1" x14ac:dyDescent="0.2">
      <c r="A26" s="7"/>
      <c r="B26" s="3"/>
      <c r="C26" s="5"/>
      <c r="D26" s="4"/>
      <c r="E26" s="69" t="s">
        <v>157</v>
      </c>
      <c r="F26" s="69"/>
      <c r="G26" s="69"/>
      <c r="H26" s="69"/>
      <c r="I26" s="69"/>
      <c r="J26" s="69"/>
      <c r="K26" s="70"/>
    </row>
    <row r="27" spans="1:11" ht="15" customHeight="1" x14ac:dyDescent="0.2">
      <c r="A27" s="7"/>
      <c r="B27" s="3"/>
      <c r="C27" s="5"/>
      <c r="D27" s="4"/>
      <c r="E27" s="64" t="s">
        <v>437</v>
      </c>
      <c r="F27" s="69"/>
      <c r="G27" s="69"/>
      <c r="H27" s="69"/>
      <c r="I27" s="69"/>
      <c r="J27" s="69"/>
      <c r="K27" s="70"/>
    </row>
    <row r="28" spans="1:11" ht="30" customHeight="1" x14ac:dyDescent="0.2">
      <c r="A28" s="7"/>
      <c r="B28" s="3"/>
      <c r="C28" s="5"/>
      <c r="D28" s="5"/>
      <c r="E28" s="64" t="s">
        <v>438</v>
      </c>
      <c r="F28" s="69"/>
      <c r="G28" s="69"/>
      <c r="H28" s="69"/>
      <c r="I28" s="69"/>
      <c r="J28" s="69"/>
      <c r="K28" s="70"/>
    </row>
    <row r="29" spans="1:11" ht="15" customHeight="1" x14ac:dyDescent="0.2">
      <c r="A29" s="7"/>
      <c r="B29" s="3"/>
      <c r="C29" s="2" t="s">
        <v>446</v>
      </c>
      <c r="D29" s="1" t="s">
        <v>447</v>
      </c>
      <c r="E29" s="69" t="s">
        <v>179</v>
      </c>
      <c r="F29" s="69"/>
      <c r="G29" s="69"/>
      <c r="H29" s="69"/>
      <c r="I29" s="69"/>
      <c r="J29" s="69"/>
      <c r="K29" s="70"/>
    </row>
    <row r="30" spans="1:11" ht="15" customHeight="1" x14ac:dyDescent="0.2">
      <c r="A30" s="7"/>
      <c r="B30" s="3"/>
      <c r="C30" s="2"/>
      <c r="D30" s="1"/>
      <c r="E30" s="64" t="s">
        <v>416</v>
      </c>
      <c r="F30" s="69"/>
      <c r="G30" s="69"/>
      <c r="H30" s="69"/>
      <c r="I30" s="69"/>
      <c r="J30" s="69"/>
      <c r="K30" s="70"/>
    </row>
    <row r="31" spans="1:11" ht="15" customHeight="1" x14ac:dyDescent="0.2">
      <c r="A31" s="7"/>
      <c r="B31" s="6" t="s">
        <v>448</v>
      </c>
      <c r="C31" s="5" t="s">
        <v>434</v>
      </c>
      <c r="D31" s="4" t="s">
        <v>449</v>
      </c>
      <c r="E31" s="69" t="s">
        <v>436</v>
      </c>
      <c r="F31" s="69"/>
      <c r="G31" s="69"/>
      <c r="H31" s="69"/>
      <c r="I31" s="69"/>
      <c r="J31" s="69"/>
      <c r="K31" s="70"/>
    </row>
    <row r="32" spans="1:11" ht="15" customHeight="1" x14ac:dyDescent="0.2">
      <c r="A32" s="7"/>
      <c r="B32" s="6"/>
      <c r="C32" s="5"/>
      <c r="D32" s="4"/>
      <c r="E32" s="64" t="s">
        <v>157</v>
      </c>
      <c r="F32" s="69"/>
      <c r="G32" s="69"/>
      <c r="H32" s="69"/>
      <c r="I32" s="69"/>
      <c r="J32" s="69"/>
      <c r="K32" s="70"/>
    </row>
    <row r="33" spans="1:11" ht="15" customHeight="1" x14ac:dyDescent="0.2">
      <c r="A33" s="7"/>
      <c r="B33" s="6"/>
      <c r="C33" s="5"/>
      <c r="D33" s="4"/>
      <c r="E33" s="69" t="s">
        <v>437</v>
      </c>
      <c r="F33" s="69"/>
      <c r="G33" s="69"/>
      <c r="H33" s="69"/>
      <c r="I33" s="69"/>
      <c r="J33" s="69"/>
      <c r="K33" s="70"/>
    </row>
    <row r="34" spans="1:11" ht="30" customHeight="1" x14ac:dyDescent="0.2">
      <c r="A34" s="7"/>
      <c r="B34" s="6"/>
      <c r="C34" s="5"/>
      <c r="D34" s="5"/>
      <c r="E34" s="69" t="s">
        <v>438</v>
      </c>
      <c r="F34" s="69"/>
      <c r="G34" s="69"/>
      <c r="H34" s="69"/>
      <c r="I34" s="69"/>
      <c r="J34" s="69"/>
      <c r="K34" s="70"/>
    </row>
    <row r="35" spans="1:11" ht="15" customHeight="1" x14ac:dyDescent="0.2">
      <c r="A35" s="7"/>
      <c r="B35" s="6"/>
      <c r="C35" s="2" t="s">
        <v>446</v>
      </c>
      <c r="D35" s="1" t="s">
        <v>450</v>
      </c>
      <c r="E35" s="64" t="s">
        <v>179</v>
      </c>
      <c r="F35" s="69"/>
      <c r="G35" s="69"/>
      <c r="H35" s="69"/>
      <c r="I35" s="69"/>
      <c r="J35" s="69"/>
      <c r="K35" s="70"/>
    </row>
    <row r="36" spans="1:11" ht="15" customHeight="1" x14ac:dyDescent="0.2">
      <c r="A36" s="7"/>
      <c r="B36" s="6"/>
      <c r="C36" s="2"/>
      <c r="D36" s="1"/>
      <c r="E36" s="69" t="s">
        <v>416</v>
      </c>
      <c r="F36" s="69"/>
      <c r="G36" s="69"/>
      <c r="H36" s="69"/>
      <c r="I36" s="69"/>
      <c r="J36" s="69"/>
      <c r="K36" s="70"/>
    </row>
    <row r="37" spans="1:11" ht="15" customHeight="1" x14ac:dyDescent="0.2">
      <c r="A37" s="165" t="s">
        <v>451</v>
      </c>
      <c r="B37" s="166" t="s">
        <v>452</v>
      </c>
      <c r="C37" s="71" t="s">
        <v>421</v>
      </c>
      <c r="D37" s="72" t="s">
        <v>453</v>
      </c>
      <c r="E37" s="72"/>
      <c r="F37" s="72"/>
      <c r="G37" s="72"/>
      <c r="H37" s="72"/>
      <c r="I37" s="72"/>
      <c r="J37" s="72"/>
      <c r="K37" s="73"/>
    </row>
    <row r="38" spans="1:11" ht="15" customHeight="1" x14ac:dyDescent="0.2">
      <c r="A38" s="165"/>
      <c r="B38" s="166"/>
      <c r="C38" s="167" t="s">
        <v>454</v>
      </c>
      <c r="D38" s="168" t="s">
        <v>455</v>
      </c>
      <c r="E38" s="64" t="s">
        <v>456</v>
      </c>
      <c r="F38" s="72"/>
      <c r="G38" s="72"/>
      <c r="H38" s="72"/>
      <c r="I38" s="72"/>
      <c r="J38" s="72"/>
      <c r="K38" s="73"/>
    </row>
    <row r="39" spans="1:11" ht="15" customHeight="1" x14ac:dyDescent="0.2">
      <c r="A39" s="165"/>
      <c r="B39" s="166"/>
      <c r="C39" s="167"/>
      <c r="D39" s="168"/>
      <c r="E39" s="72" t="s">
        <v>457</v>
      </c>
      <c r="F39" s="72"/>
      <c r="G39" s="72"/>
      <c r="H39" s="72"/>
      <c r="I39" s="72"/>
      <c r="J39" s="72"/>
      <c r="K39" s="73"/>
    </row>
    <row r="40" spans="1:11" ht="15" customHeight="1" x14ac:dyDescent="0.2">
      <c r="A40" s="165"/>
      <c r="B40" s="166"/>
      <c r="C40" s="167"/>
      <c r="D40" s="168"/>
      <c r="E40" s="72" t="s">
        <v>458</v>
      </c>
      <c r="F40" s="72"/>
      <c r="G40" s="72"/>
      <c r="H40" s="72"/>
      <c r="I40" s="72"/>
      <c r="J40" s="72"/>
      <c r="K40" s="73"/>
    </row>
    <row r="41" spans="1:11" ht="15" customHeight="1" x14ac:dyDescent="0.2">
      <c r="A41" s="165"/>
      <c r="B41" s="166"/>
      <c r="C41" s="167"/>
      <c r="D41" s="168"/>
      <c r="E41" s="64" t="s">
        <v>459</v>
      </c>
      <c r="F41" s="72"/>
      <c r="G41" s="72"/>
      <c r="H41" s="72"/>
      <c r="I41" s="72"/>
      <c r="J41" s="72"/>
      <c r="K41" s="73"/>
    </row>
    <row r="42" spans="1:11" ht="15" customHeight="1" x14ac:dyDescent="0.2">
      <c r="A42" s="165"/>
      <c r="B42" s="166"/>
      <c r="C42" s="167"/>
      <c r="D42" s="168"/>
      <c r="E42" s="72" t="s">
        <v>460</v>
      </c>
      <c r="F42" s="72"/>
      <c r="G42" s="72"/>
      <c r="H42" s="72"/>
      <c r="I42" s="72"/>
      <c r="J42" s="72"/>
      <c r="K42" s="73"/>
    </row>
    <row r="43" spans="1:11" ht="15" customHeight="1" x14ac:dyDescent="0.2">
      <c r="A43" s="165"/>
      <c r="B43" s="166"/>
      <c r="C43" s="167"/>
      <c r="D43" s="167"/>
      <c r="E43" s="64" t="s">
        <v>461</v>
      </c>
      <c r="F43" s="72"/>
      <c r="G43" s="72"/>
      <c r="H43" s="72"/>
      <c r="I43" s="72"/>
      <c r="J43" s="72"/>
      <c r="K43" s="73"/>
    </row>
    <row r="44" spans="1:11" ht="15" customHeight="1" x14ac:dyDescent="0.2">
      <c r="A44" s="165"/>
      <c r="B44" s="166"/>
      <c r="C44" s="71" t="s">
        <v>462</v>
      </c>
      <c r="D44" s="72" t="s">
        <v>463</v>
      </c>
      <c r="E44" s="64" t="s">
        <v>246</v>
      </c>
      <c r="F44" s="72"/>
      <c r="G44" s="72"/>
      <c r="H44" s="72"/>
      <c r="I44" s="72"/>
      <c r="J44" s="72"/>
      <c r="K44" s="73"/>
    </row>
    <row r="45" spans="1:11" ht="15" customHeight="1" x14ac:dyDescent="0.2">
      <c r="A45" s="165"/>
      <c r="B45" s="166" t="s">
        <v>464</v>
      </c>
      <c r="C45" s="167" t="s">
        <v>465</v>
      </c>
      <c r="D45" s="168" t="s">
        <v>466</v>
      </c>
      <c r="E45" s="64" t="s">
        <v>467</v>
      </c>
      <c r="F45" s="72"/>
      <c r="G45" s="72"/>
      <c r="H45" s="72"/>
      <c r="I45" s="72"/>
      <c r="J45" s="72"/>
      <c r="K45" s="73"/>
    </row>
    <row r="46" spans="1:11" ht="15" customHeight="1" x14ac:dyDescent="0.2">
      <c r="A46" s="165"/>
      <c r="B46" s="166"/>
      <c r="C46" s="167"/>
      <c r="D46" s="167"/>
      <c r="E46" s="64" t="s">
        <v>468</v>
      </c>
      <c r="F46" s="72"/>
      <c r="G46" s="72"/>
      <c r="H46" s="72"/>
      <c r="I46" s="72"/>
      <c r="J46" s="72"/>
      <c r="K46" s="73"/>
    </row>
    <row r="47" spans="1:11" ht="15" customHeight="1" x14ac:dyDescent="0.2">
      <c r="A47" s="165"/>
      <c r="B47" s="166"/>
      <c r="C47" s="167" t="s">
        <v>469</v>
      </c>
      <c r="D47" s="168" t="s">
        <v>470</v>
      </c>
      <c r="E47" s="64" t="s">
        <v>471</v>
      </c>
      <c r="F47" s="72"/>
      <c r="G47" s="72"/>
      <c r="H47" s="72"/>
      <c r="I47" s="72"/>
      <c r="J47" s="72"/>
      <c r="K47" s="73"/>
    </row>
    <row r="48" spans="1:11" ht="15" customHeight="1" x14ac:dyDescent="0.2">
      <c r="A48" s="165"/>
      <c r="B48" s="166"/>
      <c r="C48" s="167"/>
      <c r="D48" s="168"/>
      <c r="E48" s="72" t="s">
        <v>472</v>
      </c>
      <c r="F48" s="72"/>
      <c r="G48" s="72"/>
      <c r="H48" s="72"/>
      <c r="I48" s="72"/>
      <c r="J48" s="72"/>
      <c r="K48" s="73"/>
    </row>
    <row r="49" spans="1:11" ht="15" customHeight="1" x14ac:dyDescent="0.2">
      <c r="A49" s="165"/>
      <c r="B49" s="166"/>
      <c r="C49" s="167"/>
      <c r="D49" s="168"/>
      <c r="E49" s="64" t="s">
        <v>473</v>
      </c>
      <c r="F49" s="72"/>
      <c r="G49" s="72"/>
      <c r="H49" s="72"/>
      <c r="I49" s="72"/>
      <c r="J49" s="72"/>
      <c r="K49" s="73"/>
    </row>
    <row r="50" spans="1:11" ht="15" customHeight="1" x14ac:dyDescent="0.2">
      <c r="A50" s="165"/>
      <c r="B50" s="166"/>
      <c r="C50" s="167"/>
      <c r="D50" s="167"/>
      <c r="E50" s="72" t="s">
        <v>474</v>
      </c>
      <c r="F50" s="72"/>
      <c r="G50" s="72"/>
      <c r="H50" s="72"/>
      <c r="I50" s="72"/>
      <c r="J50" s="72"/>
      <c r="K50" s="73"/>
    </row>
    <row r="51" spans="1:11" ht="15" customHeight="1" x14ac:dyDescent="0.2">
      <c r="A51" s="165"/>
      <c r="B51" s="166" t="s">
        <v>475</v>
      </c>
      <c r="C51" s="169" t="s">
        <v>476</v>
      </c>
      <c r="D51" s="170" t="s">
        <v>477</v>
      </c>
      <c r="E51" s="64" t="s">
        <v>478</v>
      </c>
      <c r="F51" s="72"/>
      <c r="G51" s="72"/>
      <c r="H51" s="72"/>
      <c r="I51" s="72"/>
      <c r="J51" s="72"/>
      <c r="K51" s="73"/>
    </row>
    <row r="52" spans="1:11" ht="15" customHeight="1" x14ac:dyDescent="0.2">
      <c r="A52" s="165"/>
      <c r="B52" s="166"/>
      <c r="C52" s="169"/>
      <c r="D52" s="170"/>
      <c r="E52" s="64" t="s">
        <v>479</v>
      </c>
      <c r="F52" s="72"/>
      <c r="G52" s="72"/>
      <c r="H52" s="72"/>
      <c r="I52" s="72"/>
      <c r="J52" s="72"/>
      <c r="K52" s="73"/>
    </row>
    <row r="53" spans="1:11" ht="15" customHeight="1" x14ac:dyDescent="0.2">
      <c r="A53" s="165"/>
      <c r="B53" s="166"/>
      <c r="C53" s="169"/>
      <c r="D53" s="170"/>
      <c r="E53" s="64" t="s">
        <v>480</v>
      </c>
      <c r="F53" s="72"/>
      <c r="G53" s="72"/>
      <c r="H53" s="72"/>
      <c r="I53" s="72"/>
      <c r="J53" s="72"/>
      <c r="K53" s="73"/>
    </row>
    <row r="54" spans="1:11" ht="15" customHeight="1" x14ac:dyDescent="0.2">
      <c r="A54" s="171" t="s">
        <v>481</v>
      </c>
      <c r="B54" s="172" t="s">
        <v>482</v>
      </c>
      <c r="C54" s="173" t="s">
        <v>483</v>
      </c>
      <c r="D54" s="174" t="s">
        <v>484</v>
      </c>
      <c r="E54" s="75" t="s">
        <v>485</v>
      </c>
      <c r="F54" s="76"/>
      <c r="G54" s="76"/>
      <c r="H54" s="76"/>
      <c r="I54" s="76"/>
      <c r="J54" s="76"/>
      <c r="K54" s="77"/>
    </row>
    <row r="55" spans="1:11" ht="15" customHeight="1" x14ac:dyDescent="0.2">
      <c r="A55" s="171"/>
      <c r="B55" s="172"/>
      <c r="C55" s="173"/>
      <c r="D55" s="174"/>
      <c r="E55" s="75" t="s">
        <v>486</v>
      </c>
      <c r="F55" s="76"/>
      <c r="G55" s="76"/>
      <c r="H55" s="76"/>
      <c r="I55" s="76"/>
      <c r="J55" s="76"/>
      <c r="K55" s="77"/>
    </row>
    <row r="56" spans="1:11" ht="15" customHeight="1" x14ac:dyDescent="0.2">
      <c r="A56" s="171"/>
      <c r="B56" s="172"/>
      <c r="C56" s="173"/>
      <c r="D56" s="173"/>
      <c r="E56" s="76" t="s">
        <v>487</v>
      </c>
      <c r="F56" s="76"/>
      <c r="G56" s="76"/>
      <c r="H56" s="76"/>
      <c r="I56" s="76"/>
      <c r="J56" s="76"/>
      <c r="K56" s="77"/>
    </row>
    <row r="57" spans="1:11" ht="13.5" customHeight="1" x14ac:dyDescent="0.2">
      <c r="A57" s="171"/>
      <c r="B57" s="74" t="s">
        <v>488</v>
      </c>
      <c r="C57" s="78" t="s">
        <v>430</v>
      </c>
      <c r="D57" s="79" t="s">
        <v>489</v>
      </c>
      <c r="E57" s="76"/>
      <c r="F57" s="76"/>
      <c r="G57" s="76"/>
      <c r="H57" s="76"/>
      <c r="I57" s="76"/>
      <c r="J57" s="76"/>
      <c r="K57" s="77"/>
    </row>
    <row r="58" spans="1:11" ht="15" customHeight="1" x14ac:dyDescent="0.2">
      <c r="A58" s="171"/>
      <c r="B58" s="172" t="s">
        <v>490</v>
      </c>
      <c r="C58" s="78" t="s">
        <v>265</v>
      </c>
      <c r="D58" s="79" t="s">
        <v>491</v>
      </c>
      <c r="E58" s="76"/>
      <c r="F58" s="76"/>
      <c r="G58" s="76"/>
      <c r="H58" s="76"/>
      <c r="I58" s="76"/>
      <c r="J58" s="76"/>
      <c r="K58" s="77"/>
    </row>
    <row r="59" spans="1:11" ht="45" customHeight="1" x14ac:dyDescent="0.2">
      <c r="A59" s="171"/>
      <c r="B59" s="172"/>
      <c r="C59" s="78" t="s">
        <v>430</v>
      </c>
      <c r="D59" s="79" t="s">
        <v>492</v>
      </c>
      <c r="E59" s="76"/>
      <c r="F59" s="76"/>
      <c r="G59" s="76"/>
      <c r="H59" s="76"/>
      <c r="I59" s="76"/>
      <c r="J59" s="76"/>
      <c r="K59" s="77"/>
    </row>
    <row r="60" spans="1:11" ht="57" customHeight="1" x14ac:dyDescent="0.2">
      <c r="A60" s="171"/>
      <c r="B60" s="74" t="s">
        <v>493</v>
      </c>
      <c r="C60" s="78" t="s">
        <v>494</v>
      </c>
      <c r="D60" s="79" t="s">
        <v>495</v>
      </c>
      <c r="E60" s="76"/>
      <c r="F60" s="76"/>
      <c r="G60" s="76"/>
      <c r="H60" s="76"/>
      <c r="I60" s="76"/>
      <c r="J60" s="76"/>
      <c r="K60" s="77"/>
    </row>
    <row r="61" spans="1:11" ht="21" customHeight="1" x14ac:dyDescent="0.2">
      <c r="A61" s="171"/>
      <c r="B61" s="172" t="s">
        <v>496</v>
      </c>
      <c r="C61" s="78" t="s">
        <v>265</v>
      </c>
      <c r="D61" s="79" t="s">
        <v>497</v>
      </c>
      <c r="E61" s="76"/>
      <c r="F61" s="76"/>
      <c r="G61" s="76"/>
      <c r="H61" s="76"/>
      <c r="I61" s="76"/>
      <c r="J61" s="76"/>
      <c r="K61" s="77"/>
    </row>
    <row r="62" spans="1:11" ht="15" customHeight="1" x14ac:dyDescent="0.2">
      <c r="A62" s="171"/>
      <c r="B62" s="172"/>
      <c r="C62" s="173" t="s">
        <v>407</v>
      </c>
      <c r="D62" s="174" t="s">
        <v>498</v>
      </c>
      <c r="E62" s="75" t="s">
        <v>409</v>
      </c>
      <c r="F62" s="76"/>
      <c r="G62" s="76"/>
      <c r="H62" s="76"/>
      <c r="I62" s="76"/>
      <c r="J62" s="76"/>
      <c r="K62" s="77"/>
    </row>
    <row r="63" spans="1:11" ht="15" customHeight="1" x14ac:dyDescent="0.2">
      <c r="A63" s="171"/>
      <c r="B63" s="172"/>
      <c r="C63" s="173"/>
      <c r="D63" s="174"/>
      <c r="E63" s="75" t="s">
        <v>410</v>
      </c>
      <c r="F63" s="76"/>
      <c r="G63" s="76"/>
      <c r="H63" s="76"/>
      <c r="I63" s="76"/>
      <c r="J63" s="76"/>
      <c r="K63" s="77"/>
    </row>
    <row r="64" spans="1:11" ht="15" customHeight="1" x14ac:dyDescent="0.2">
      <c r="A64" s="171"/>
      <c r="B64" s="172"/>
      <c r="C64" s="173"/>
      <c r="D64" s="174"/>
      <c r="E64" s="76" t="s">
        <v>411</v>
      </c>
      <c r="F64" s="76"/>
      <c r="G64" s="76"/>
      <c r="H64" s="76"/>
      <c r="I64" s="76"/>
      <c r="J64" s="76"/>
      <c r="K64" s="77"/>
    </row>
    <row r="65" spans="1:11" ht="15" customHeight="1" x14ac:dyDescent="0.2">
      <c r="A65" s="171"/>
      <c r="B65" s="172"/>
      <c r="C65" s="173"/>
      <c r="D65" s="174"/>
      <c r="E65" s="76" t="s">
        <v>412</v>
      </c>
      <c r="F65" s="76"/>
      <c r="G65" s="76"/>
      <c r="H65" s="76"/>
      <c r="I65" s="76"/>
      <c r="J65" s="76"/>
      <c r="K65" s="77"/>
    </row>
    <row r="66" spans="1:11" ht="15" customHeight="1" x14ac:dyDescent="0.2">
      <c r="A66" s="171"/>
      <c r="B66" s="172"/>
      <c r="C66" s="173"/>
      <c r="D66" s="173"/>
      <c r="E66" s="76" t="s">
        <v>413</v>
      </c>
      <c r="F66" s="76"/>
      <c r="G66" s="76"/>
      <c r="H66" s="76"/>
      <c r="I66" s="76"/>
      <c r="J66" s="76"/>
      <c r="K66" s="77"/>
    </row>
    <row r="67" spans="1:11" ht="15" customHeight="1" x14ac:dyDescent="0.2">
      <c r="A67" s="171"/>
      <c r="B67" s="172" t="s">
        <v>499</v>
      </c>
      <c r="C67" s="78" t="s">
        <v>430</v>
      </c>
      <c r="D67" s="79" t="s">
        <v>500</v>
      </c>
      <c r="E67" s="76"/>
      <c r="F67" s="76"/>
      <c r="G67" s="76"/>
      <c r="H67" s="76"/>
      <c r="I67" s="76"/>
      <c r="J67" s="76"/>
      <c r="K67" s="77"/>
    </row>
    <row r="68" spans="1:11" ht="15" customHeight="1" x14ac:dyDescent="0.2">
      <c r="A68" s="171"/>
      <c r="B68" s="172"/>
      <c r="C68" s="173" t="s">
        <v>501</v>
      </c>
      <c r="D68" s="174" t="s">
        <v>502</v>
      </c>
      <c r="E68" s="75" t="s">
        <v>485</v>
      </c>
      <c r="F68" s="76"/>
      <c r="G68" s="76"/>
      <c r="H68" s="76"/>
      <c r="I68" s="76"/>
      <c r="J68" s="76"/>
      <c r="K68" s="77"/>
    </row>
    <row r="69" spans="1:11" ht="15" customHeight="1" x14ac:dyDescent="0.2">
      <c r="A69" s="171"/>
      <c r="B69" s="172"/>
      <c r="C69" s="173"/>
      <c r="D69" s="174"/>
      <c r="E69" s="76" t="s">
        <v>486</v>
      </c>
      <c r="F69" s="76"/>
      <c r="G69" s="76"/>
      <c r="H69" s="76"/>
      <c r="I69" s="76"/>
      <c r="J69" s="76"/>
      <c r="K69" s="77"/>
    </row>
    <row r="70" spans="1:11" ht="15" customHeight="1" x14ac:dyDescent="0.2">
      <c r="A70" s="171"/>
      <c r="B70" s="172"/>
      <c r="C70" s="173"/>
      <c r="D70" s="173"/>
      <c r="E70" s="75" t="s">
        <v>487</v>
      </c>
      <c r="F70" s="76"/>
      <c r="G70" s="76"/>
      <c r="H70" s="76"/>
      <c r="I70" s="76"/>
      <c r="J70" s="76"/>
      <c r="K70" s="77"/>
    </row>
    <row r="71" spans="1:11" ht="15" customHeight="1" x14ac:dyDescent="0.2">
      <c r="A71" s="175" t="s">
        <v>503</v>
      </c>
      <c r="B71" s="176" t="s">
        <v>504</v>
      </c>
      <c r="C71" s="80" t="s">
        <v>425</v>
      </c>
      <c r="D71" s="81" t="s">
        <v>505</v>
      </c>
      <c r="E71" s="82"/>
      <c r="F71" s="82"/>
      <c r="G71" s="82"/>
      <c r="H71" s="82"/>
      <c r="I71" s="82"/>
      <c r="J71" s="82"/>
      <c r="K71" s="83"/>
    </row>
    <row r="72" spans="1:11" ht="15" customHeight="1" x14ac:dyDescent="0.2">
      <c r="A72" s="175"/>
      <c r="B72" s="176"/>
      <c r="C72" s="177" t="s">
        <v>440</v>
      </c>
      <c r="D72" s="178" t="s">
        <v>506</v>
      </c>
      <c r="E72" s="82" t="s">
        <v>442</v>
      </c>
      <c r="F72" s="82"/>
      <c r="G72" s="82"/>
      <c r="H72" s="82"/>
      <c r="I72" s="82"/>
      <c r="J72" s="82"/>
      <c r="K72" s="83"/>
    </row>
    <row r="73" spans="1:11" ht="15" customHeight="1" x14ac:dyDescent="0.2">
      <c r="A73" s="175"/>
      <c r="B73" s="176"/>
      <c r="C73" s="177"/>
      <c r="D73" s="178"/>
      <c r="E73" s="75" t="s">
        <v>443</v>
      </c>
      <c r="F73" s="82"/>
      <c r="G73" s="82"/>
      <c r="H73" s="82"/>
      <c r="I73" s="82"/>
      <c r="J73" s="82"/>
      <c r="K73" s="83"/>
    </row>
    <row r="74" spans="1:11" ht="15" customHeight="1" x14ac:dyDescent="0.2">
      <c r="A74" s="175"/>
      <c r="B74" s="176"/>
      <c r="C74" s="177"/>
      <c r="D74" s="178"/>
      <c r="E74" s="82" t="s">
        <v>64</v>
      </c>
      <c r="F74" s="82"/>
      <c r="G74" s="82"/>
      <c r="H74" s="82"/>
      <c r="I74" s="82"/>
      <c r="J74" s="82"/>
      <c r="K74" s="83"/>
    </row>
    <row r="75" spans="1:11" ht="15" customHeight="1" x14ac:dyDescent="0.2">
      <c r="A75" s="175"/>
      <c r="B75" s="176"/>
      <c r="C75" s="177"/>
      <c r="D75" s="178"/>
      <c r="E75" s="82" t="s">
        <v>444</v>
      </c>
      <c r="F75" s="82"/>
      <c r="G75" s="82"/>
      <c r="H75" s="82"/>
      <c r="I75" s="82"/>
      <c r="J75" s="82"/>
      <c r="K75" s="83"/>
    </row>
    <row r="76" spans="1:11" ht="15" customHeight="1" x14ac:dyDescent="0.2">
      <c r="A76" s="175"/>
      <c r="B76" s="176"/>
      <c r="C76" s="177"/>
      <c r="D76" s="178"/>
      <c r="E76" s="75" t="s">
        <v>55</v>
      </c>
      <c r="F76" s="82"/>
      <c r="G76" s="82"/>
      <c r="H76" s="82"/>
      <c r="I76" s="82"/>
      <c r="J76" s="82"/>
      <c r="K76" s="83"/>
    </row>
    <row r="77" spans="1:11" ht="15" customHeight="1" x14ac:dyDescent="0.2">
      <c r="A77" s="175"/>
      <c r="B77" s="176" t="s">
        <v>507</v>
      </c>
      <c r="C77" s="179" t="s">
        <v>440</v>
      </c>
      <c r="D77" s="180" t="s">
        <v>508</v>
      </c>
      <c r="E77" s="75" t="s">
        <v>442</v>
      </c>
      <c r="F77" s="82"/>
      <c r="G77" s="82"/>
      <c r="H77" s="82"/>
      <c r="I77" s="82"/>
      <c r="J77" s="82"/>
      <c r="K77" s="83"/>
    </row>
    <row r="78" spans="1:11" ht="15" customHeight="1" x14ac:dyDescent="0.2">
      <c r="A78" s="175"/>
      <c r="B78" s="176"/>
      <c r="C78" s="179"/>
      <c r="D78" s="180"/>
      <c r="E78" s="75" t="s">
        <v>443</v>
      </c>
      <c r="F78" s="82"/>
      <c r="G78" s="82"/>
      <c r="H78" s="82"/>
      <c r="I78" s="82"/>
      <c r="J78" s="82"/>
      <c r="K78" s="83"/>
    </row>
    <row r="79" spans="1:11" ht="15" customHeight="1" x14ac:dyDescent="0.2">
      <c r="A79" s="175"/>
      <c r="B79" s="176"/>
      <c r="C79" s="179"/>
      <c r="D79" s="180"/>
      <c r="E79" s="82" t="s">
        <v>64</v>
      </c>
      <c r="F79" s="82"/>
      <c r="G79" s="82"/>
      <c r="H79" s="82"/>
      <c r="I79" s="82"/>
      <c r="J79" s="82"/>
      <c r="K79" s="83"/>
    </row>
    <row r="80" spans="1:11" ht="15" customHeight="1" x14ac:dyDescent="0.2">
      <c r="A80" s="175"/>
      <c r="B80" s="176"/>
      <c r="C80" s="179"/>
      <c r="D80" s="180"/>
      <c r="E80" s="82" t="s">
        <v>444</v>
      </c>
      <c r="F80" s="82"/>
      <c r="G80" s="82"/>
      <c r="H80" s="82"/>
      <c r="I80" s="82"/>
      <c r="J80" s="82"/>
      <c r="K80" s="83"/>
    </row>
    <row r="81" spans="1:11" ht="15" customHeight="1" x14ac:dyDescent="0.2">
      <c r="A81" s="175"/>
      <c r="B81" s="176"/>
      <c r="C81" s="179"/>
      <c r="D81" s="179"/>
      <c r="E81" s="82" t="s">
        <v>55</v>
      </c>
      <c r="F81" s="82"/>
      <c r="G81" s="82"/>
      <c r="H81" s="82"/>
      <c r="I81" s="82"/>
      <c r="J81" s="82"/>
      <c r="K81" s="83"/>
    </row>
    <row r="82" spans="1:11" ht="15" customHeight="1" x14ac:dyDescent="0.2">
      <c r="A82" s="175"/>
      <c r="B82" s="176"/>
      <c r="C82" s="80" t="s">
        <v>425</v>
      </c>
      <c r="D82" s="81" t="s">
        <v>509</v>
      </c>
      <c r="E82" s="82"/>
      <c r="F82" s="82"/>
      <c r="G82" s="82"/>
      <c r="H82" s="82"/>
      <c r="I82" s="82"/>
      <c r="J82" s="82"/>
      <c r="K82" s="83"/>
    </row>
    <row r="83" spans="1:11" ht="15" customHeight="1" x14ac:dyDescent="0.2">
      <c r="A83" s="175"/>
      <c r="B83" s="176"/>
      <c r="C83" s="177" t="s">
        <v>465</v>
      </c>
      <c r="D83" s="178" t="s">
        <v>510</v>
      </c>
      <c r="E83" s="75" t="s">
        <v>467</v>
      </c>
      <c r="F83" s="82"/>
      <c r="G83" s="82"/>
      <c r="H83" s="82"/>
      <c r="I83" s="82"/>
      <c r="J83" s="82"/>
      <c r="K83" s="83"/>
    </row>
    <row r="84" spans="1:11" ht="15" customHeight="1" x14ac:dyDescent="0.2">
      <c r="A84" s="175"/>
      <c r="B84" s="176"/>
      <c r="C84" s="177"/>
      <c r="D84" s="178"/>
      <c r="E84" s="75" t="s">
        <v>468</v>
      </c>
      <c r="F84" s="82"/>
      <c r="G84" s="82"/>
      <c r="H84" s="82"/>
      <c r="I84" s="82"/>
      <c r="J84" s="82"/>
      <c r="K84" s="83"/>
    </row>
    <row r="85" spans="1:11" ht="15" customHeight="1" x14ac:dyDescent="0.2">
      <c r="A85" s="175"/>
      <c r="B85" s="176"/>
      <c r="C85" s="80" t="s">
        <v>417</v>
      </c>
      <c r="D85" s="84" t="s">
        <v>511</v>
      </c>
      <c r="E85" s="82"/>
      <c r="F85" s="82"/>
      <c r="G85" s="82"/>
      <c r="H85" s="82"/>
      <c r="I85" s="82"/>
      <c r="J85" s="82"/>
      <c r="K85" s="83"/>
    </row>
    <row r="86" spans="1:11" ht="15" customHeight="1" x14ac:dyDescent="0.2">
      <c r="A86" s="181" t="s">
        <v>512</v>
      </c>
      <c r="B86" s="182" t="s">
        <v>513</v>
      </c>
      <c r="C86" s="183" t="s">
        <v>514</v>
      </c>
      <c r="D86" s="184" t="s">
        <v>515</v>
      </c>
      <c r="E86" s="75" t="s">
        <v>516</v>
      </c>
      <c r="F86" s="85"/>
      <c r="G86" s="85"/>
      <c r="H86" s="85"/>
      <c r="I86" s="85"/>
      <c r="J86" s="85"/>
      <c r="K86" s="86"/>
    </row>
    <row r="87" spans="1:11" ht="15" customHeight="1" x14ac:dyDescent="0.2">
      <c r="A87" s="181"/>
      <c r="B87" s="182"/>
      <c r="C87" s="183"/>
      <c r="D87" s="184"/>
      <c r="E87" s="75" t="s">
        <v>110</v>
      </c>
      <c r="F87" s="85"/>
      <c r="G87" s="85"/>
      <c r="H87" s="85"/>
      <c r="I87" s="85"/>
      <c r="J87" s="85"/>
      <c r="K87" s="86"/>
    </row>
    <row r="88" spans="1:11" ht="15" customHeight="1" x14ac:dyDescent="0.2">
      <c r="A88" s="181"/>
      <c r="B88" s="182"/>
      <c r="C88" s="183"/>
      <c r="D88" s="184"/>
      <c r="E88" s="85" t="s">
        <v>114</v>
      </c>
      <c r="F88" s="85"/>
      <c r="G88" s="85"/>
      <c r="H88" s="85"/>
      <c r="I88" s="85"/>
      <c r="J88" s="85"/>
      <c r="K88" s="86"/>
    </row>
    <row r="89" spans="1:11" ht="15" customHeight="1" x14ac:dyDescent="0.2">
      <c r="A89" s="181"/>
      <c r="B89" s="182"/>
      <c r="C89" s="183"/>
      <c r="D89" s="183"/>
      <c r="E89" s="75" t="s">
        <v>517</v>
      </c>
      <c r="F89" s="85"/>
      <c r="G89" s="85"/>
      <c r="H89" s="85"/>
      <c r="I89" s="85"/>
      <c r="J89" s="85"/>
      <c r="K89" s="86"/>
    </row>
    <row r="90" spans="1:11" ht="15" customHeight="1" x14ac:dyDescent="0.2">
      <c r="A90" s="181"/>
      <c r="B90" s="182"/>
      <c r="C90" s="183" t="s">
        <v>434</v>
      </c>
      <c r="D90" s="184" t="s">
        <v>518</v>
      </c>
      <c r="E90" s="85" t="s">
        <v>436</v>
      </c>
      <c r="F90" s="85"/>
      <c r="G90" s="85"/>
      <c r="H90" s="85"/>
      <c r="I90" s="85"/>
      <c r="J90" s="85"/>
      <c r="K90" s="86"/>
    </row>
    <row r="91" spans="1:11" ht="15" customHeight="1" x14ac:dyDescent="0.2">
      <c r="A91" s="181"/>
      <c r="B91" s="182"/>
      <c r="C91" s="183"/>
      <c r="D91" s="184"/>
      <c r="E91" s="85" t="s">
        <v>157</v>
      </c>
      <c r="F91" s="85"/>
      <c r="G91" s="85"/>
      <c r="H91" s="85"/>
      <c r="I91" s="85"/>
      <c r="J91" s="85"/>
      <c r="K91" s="86"/>
    </row>
    <row r="92" spans="1:11" ht="15" customHeight="1" x14ac:dyDescent="0.2">
      <c r="A92" s="181"/>
      <c r="B92" s="182"/>
      <c r="C92" s="183"/>
      <c r="D92" s="184"/>
      <c r="E92" s="85" t="s">
        <v>437</v>
      </c>
      <c r="F92" s="85"/>
      <c r="G92" s="85"/>
      <c r="H92" s="85"/>
      <c r="I92" s="85"/>
      <c r="J92" s="85"/>
      <c r="K92" s="86"/>
    </row>
    <row r="93" spans="1:11" ht="30" customHeight="1" x14ac:dyDescent="0.2">
      <c r="A93" s="181"/>
      <c r="B93" s="182"/>
      <c r="C93" s="182"/>
      <c r="D93" s="182"/>
      <c r="E93" s="85" t="s">
        <v>438</v>
      </c>
      <c r="F93" s="85"/>
      <c r="G93" s="85"/>
      <c r="H93" s="85"/>
      <c r="I93" s="85"/>
      <c r="J93" s="85"/>
      <c r="K93" s="86"/>
    </row>
    <row r="94" spans="1:11" ht="27" customHeight="1" x14ac:dyDescent="0.2">
      <c r="A94" s="181"/>
      <c r="B94" s="182" t="s">
        <v>519</v>
      </c>
      <c r="C94" s="87" t="s">
        <v>419</v>
      </c>
      <c r="D94" s="88" t="s">
        <v>520</v>
      </c>
      <c r="E94" s="85"/>
      <c r="F94" s="85"/>
      <c r="G94" s="85"/>
      <c r="H94" s="85"/>
      <c r="I94" s="85"/>
      <c r="J94" s="85"/>
      <c r="K94" s="86"/>
    </row>
    <row r="95" spans="1:11" ht="15" customHeight="1" x14ac:dyDescent="0.2">
      <c r="A95" s="181"/>
      <c r="B95" s="182"/>
      <c r="C95" s="183" t="s">
        <v>514</v>
      </c>
      <c r="D95" s="184" t="s">
        <v>521</v>
      </c>
      <c r="E95" s="75" t="s">
        <v>516</v>
      </c>
      <c r="F95" s="85"/>
      <c r="G95" s="85"/>
      <c r="H95" s="85"/>
      <c r="I95" s="85"/>
      <c r="J95" s="85"/>
      <c r="K95" s="86"/>
    </row>
    <row r="96" spans="1:11" ht="15" customHeight="1" x14ac:dyDescent="0.2">
      <c r="A96" s="181"/>
      <c r="B96" s="182"/>
      <c r="C96" s="183"/>
      <c r="D96" s="184"/>
      <c r="E96" s="85" t="s">
        <v>110</v>
      </c>
      <c r="F96" s="85"/>
      <c r="G96" s="85"/>
      <c r="H96" s="85"/>
      <c r="I96" s="85"/>
      <c r="J96" s="85"/>
      <c r="K96" s="86"/>
    </row>
    <row r="97" spans="1:11" ht="15" customHeight="1" x14ac:dyDescent="0.2">
      <c r="A97" s="181"/>
      <c r="B97" s="182"/>
      <c r="C97" s="183"/>
      <c r="D97" s="184"/>
      <c r="E97" s="75" t="s">
        <v>114</v>
      </c>
      <c r="F97" s="85"/>
      <c r="G97" s="85"/>
      <c r="H97" s="85"/>
      <c r="I97" s="85"/>
      <c r="J97" s="85"/>
      <c r="K97" s="86"/>
    </row>
    <row r="98" spans="1:11" ht="15" customHeight="1" x14ac:dyDescent="0.2">
      <c r="A98" s="181"/>
      <c r="B98" s="182"/>
      <c r="C98" s="182"/>
      <c r="D98" s="182"/>
      <c r="E98" s="85" t="s">
        <v>517</v>
      </c>
      <c r="F98" s="85"/>
      <c r="G98" s="85"/>
      <c r="H98" s="85"/>
      <c r="I98" s="85"/>
      <c r="J98" s="85"/>
      <c r="K98" s="86"/>
    </row>
    <row r="99" spans="1:11" ht="15" customHeight="1" x14ac:dyDescent="0.2">
      <c r="A99" s="181"/>
      <c r="B99" s="185" t="s">
        <v>522</v>
      </c>
      <c r="C99" s="183" t="s">
        <v>407</v>
      </c>
      <c r="D99" s="184" t="s">
        <v>523</v>
      </c>
      <c r="E99" s="75" t="s">
        <v>409</v>
      </c>
      <c r="F99" s="85"/>
      <c r="G99" s="85"/>
      <c r="H99" s="85"/>
      <c r="I99" s="85"/>
      <c r="J99" s="85"/>
      <c r="K99" s="86"/>
    </row>
    <row r="100" spans="1:11" ht="15" customHeight="1" x14ac:dyDescent="0.2">
      <c r="A100" s="181"/>
      <c r="B100" s="185"/>
      <c r="C100" s="183"/>
      <c r="D100" s="184"/>
      <c r="E100" s="75" t="s">
        <v>410</v>
      </c>
      <c r="F100" s="85"/>
      <c r="G100" s="85"/>
      <c r="H100" s="85"/>
      <c r="I100" s="85"/>
      <c r="J100" s="85"/>
      <c r="K100" s="86"/>
    </row>
    <row r="101" spans="1:11" ht="15" customHeight="1" x14ac:dyDescent="0.2">
      <c r="A101" s="181"/>
      <c r="B101" s="185"/>
      <c r="C101" s="183"/>
      <c r="D101" s="184"/>
      <c r="E101" s="75" t="s">
        <v>411</v>
      </c>
      <c r="F101" s="85"/>
      <c r="G101" s="85"/>
      <c r="H101" s="85"/>
      <c r="I101" s="85"/>
      <c r="J101" s="85"/>
      <c r="K101" s="86"/>
    </row>
    <row r="102" spans="1:11" ht="15" customHeight="1" x14ac:dyDescent="0.2">
      <c r="A102" s="181"/>
      <c r="B102" s="185"/>
      <c r="C102" s="183"/>
      <c r="D102" s="184"/>
      <c r="E102" s="75" t="s">
        <v>412</v>
      </c>
      <c r="F102" s="85"/>
      <c r="G102" s="85"/>
      <c r="H102" s="85"/>
      <c r="I102" s="85"/>
      <c r="J102" s="85"/>
      <c r="K102" s="86"/>
    </row>
    <row r="103" spans="1:11" ht="15" customHeight="1" x14ac:dyDescent="0.2">
      <c r="A103" s="181"/>
      <c r="B103" s="185"/>
      <c r="C103" s="183"/>
      <c r="D103" s="183"/>
      <c r="E103" s="75" t="s">
        <v>413</v>
      </c>
      <c r="F103" s="85"/>
      <c r="G103" s="85"/>
      <c r="H103" s="85"/>
      <c r="I103" s="85"/>
      <c r="J103" s="85"/>
      <c r="K103" s="86"/>
    </row>
    <row r="104" spans="1:11" ht="15" customHeight="1" x14ac:dyDescent="0.2">
      <c r="A104" s="181"/>
      <c r="B104" s="185"/>
      <c r="C104" s="87" t="s">
        <v>421</v>
      </c>
      <c r="D104" s="89" t="s">
        <v>524</v>
      </c>
      <c r="E104" s="85"/>
      <c r="F104" s="85"/>
      <c r="G104" s="85"/>
      <c r="H104" s="85"/>
      <c r="I104" s="85"/>
      <c r="J104" s="85"/>
      <c r="K104" s="86"/>
    </row>
    <row r="105" spans="1:11" ht="15" customHeight="1" x14ac:dyDescent="0.2">
      <c r="A105" s="181"/>
      <c r="B105" s="185"/>
      <c r="C105" s="87" t="s">
        <v>419</v>
      </c>
      <c r="D105" s="88" t="s">
        <v>525</v>
      </c>
      <c r="E105" s="85"/>
      <c r="F105" s="85"/>
      <c r="G105" s="85"/>
      <c r="H105" s="85"/>
      <c r="I105" s="85"/>
      <c r="J105" s="85"/>
      <c r="K105" s="86"/>
    </row>
    <row r="106" spans="1:11" ht="15" customHeight="1" x14ac:dyDescent="0.2">
      <c r="A106" s="181"/>
      <c r="B106" s="185"/>
      <c r="C106" s="183" t="s">
        <v>514</v>
      </c>
      <c r="D106" s="184" t="s">
        <v>526</v>
      </c>
      <c r="E106" s="75" t="s">
        <v>516</v>
      </c>
      <c r="F106" s="85"/>
      <c r="G106" s="85"/>
      <c r="H106" s="85"/>
      <c r="I106" s="85"/>
      <c r="J106" s="85"/>
      <c r="K106" s="86"/>
    </row>
    <row r="107" spans="1:11" ht="15" customHeight="1" x14ac:dyDescent="0.2">
      <c r="A107" s="181"/>
      <c r="B107" s="185"/>
      <c r="C107" s="183"/>
      <c r="D107" s="184"/>
      <c r="E107" s="75" t="s">
        <v>110</v>
      </c>
      <c r="F107" s="85"/>
      <c r="G107" s="85"/>
      <c r="H107" s="85"/>
      <c r="I107" s="85"/>
      <c r="J107" s="85"/>
      <c r="K107" s="86"/>
    </row>
    <row r="108" spans="1:11" ht="15" customHeight="1" x14ac:dyDescent="0.2">
      <c r="A108" s="181"/>
      <c r="B108" s="185"/>
      <c r="C108" s="183"/>
      <c r="D108" s="184"/>
      <c r="E108" s="85" t="s">
        <v>114</v>
      </c>
      <c r="F108" s="85"/>
      <c r="G108" s="85"/>
      <c r="H108" s="85"/>
      <c r="I108" s="85"/>
      <c r="J108" s="85"/>
      <c r="K108" s="86"/>
    </row>
    <row r="109" spans="1:11" ht="15" customHeight="1" x14ac:dyDescent="0.2">
      <c r="A109" s="181"/>
      <c r="B109" s="185"/>
      <c r="C109" s="183"/>
      <c r="D109" s="183"/>
      <c r="E109" s="85" t="s">
        <v>517</v>
      </c>
      <c r="F109" s="85"/>
      <c r="G109" s="85"/>
      <c r="H109" s="85"/>
      <c r="I109" s="85"/>
      <c r="J109" s="85"/>
      <c r="K109" s="86"/>
    </row>
    <row r="110" spans="1:11" ht="15" customHeight="1" x14ac:dyDescent="0.2">
      <c r="A110" s="181"/>
      <c r="B110" s="185"/>
      <c r="C110" s="87" t="s">
        <v>417</v>
      </c>
      <c r="D110" s="88" t="s">
        <v>527</v>
      </c>
      <c r="E110" s="85"/>
      <c r="F110" s="85"/>
      <c r="G110" s="85"/>
      <c r="H110" s="85"/>
      <c r="I110" s="85"/>
      <c r="J110" s="85"/>
      <c r="K110" s="86" t="s">
        <v>528</v>
      </c>
    </row>
    <row r="111" spans="1:11" ht="13.5" customHeight="1" x14ac:dyDescent="0.2">
      <c r="A111" s="60"/>
      <c r="B111" s="90"/>
      <c r="C111" s="91"/>
      <c r="D111" s="59"/>
      <c r="E111" s="60"/>
      <c r="F111" s="60"/>
      <c r="G111" s="60"/>
      <c r="H111" s="60"/>
      <c r="I111" s="60"/>
    </row>
    <row r="112" spans="1:11" ht="13.5" customHeight="1" x14ac:dyDescent="0.2">
      <c r="A112" s="60"/>
      <c r="B112" s="90"/>
      <c r="C112" s="91"/>
      <c r="D112" s="59"/>
      <c r="E112" s="60"/>
      <c r="F112" s="60"/>
      <c r="G112" s="60"/>
      <c r="H112" s="60"/>
      <c r="I112" s="60"/>
    </row>
    <row r="113" spans="2:5" s="60" customFormat="1" ht="13.5" customHeight="1" x14ac:dyDescent="0.2">
      <c r="B113" s="90"/>
      <c r="C113" s="91"/>
      <c r="D113" s="59"/>
    </row>
    <row r="114" spans="2:5" s="60" customFormat="1" ht="13.5" customHeight="1" x14ac:dyDescent="0.2">
      <c r="B114" s="90"/>
      <c r="C114" s="91"/>
      <c r="D114" s="59"/>
    </row>
    <row r="115" spans="2:5" s="60" customFormat="1" ht="13.5" customHeight="1" x14ac:dyDescent="0.2">
      <c r="B115" s="90"/>
      <c r="C115" s="91"/>
      <c r="D115" s="59"/>
      <c r="E115" s="56"/>
    </row>
    <row r="116" spans="2:5" s="60" customFormat="1" ht="13.5" customHeight="1" x14ac:dyDescent="0.2">
      <c r="B116" s="90"/>
      <c r="C116" s="91"/>
      <c r="D116" s="59"/>
    </row>
    <row r="117" spans="2:5" s="60" customFormat="1" ht="13.5" customHeight="1" x14ac:dyDescent="0.2">
      <c r="B117" s="90"/>
      <c r="C117" s="91"/>
      <c r="D117" s="59"/>
      <c r="E117" s="56"/>
    </row>
    <row r="118" spans="2:5" s="60" customFormat="1" ht="13.5" customHeight="1" x14ac:dyDescent="0.2">
      <c r="B118" s="90"/>
      <c r="C118" s="91"/>
      <c r="D118" s="59"/>
    </row>
    <row r="119" spans="2:5" s="60" customFormat="1" ht="13.5" customHeight="1" x14ac:dyDescent="0.2">
      <c r="B119" s="90"/>
      <c r="C119" s="91"/>
      <c r="D119" s="59"/>
      <c r="E119" s="56"/>
    </row>
    <row r="120" spans="2:5" s="60" customFormat="1" ht="13.5" customHeight="1" x14ac:dyDescent="0.2">
      <c r="B120" s="90"/>
      <c r="C120" s="91"/>
      <c r="D120" s="59"/>
    </row>
    <row r="121" spans="2:5" s="60" customFormat="1" ht="13.5" customHeight="1" x14ac:dyDescent="0.2">
      <c r="B121" s="90"/>
      <c r="C121" s="91"/>
      <c r="D121" s="59"/>
      <c r="E121" s="56"/>
    </row>
    <row r="122" spans="2:5" s="60" customFormat="1" ht="13.5" customHeight="1" x14ac:dyDescent="0.2">
      <c r="B122" s="90"/>
      <c r="C122" s="91"/>
      <c r="D122" s="59"/>
    </row>
    <row r="123" spans="2:5" s="60" customFormat="1" ht="13.5" customHeight="1" x14ac:dyDescent="0.2">
      <c r="B123" s="90"/>
      <c r="C123" s="91"/>
      <c r="D123" s="59"/>
    </row>
    <row r="124" spans="2:5" s="60" customFormat="1" ht="13.5" customHeight="1" x14ac:dyDescent="0.2">
      <c r="B124" s="90"/>
      <c r="C124" s="91"/>
      <c r="D124" s="59"/>
    </row>
    <row r="125" spans="2:5" s="60" customFormat="1" ht="13.5" customHeight="1" x14ac:dyDescent="0.2">
      <c r="B125" s="90"/>
      <c r="C125" s="91"/>
      <c r="D125" s="59"/>
    </row>
    <row r="126" spans="2:5" s="60" customFormat="1" ht="13.5" customHeight="1" x14ac:dyDescent="0.2">
      <c r="B126" s="90"/>
      <c r="C126" s="91"/>
      <c r="D126" s="59"/>
    </row>
    <row r="127" spans="2:5" s="60" customFormat="1" ht="13.5" customHeight="1" x14ac:dyDescent="0.2">
      <c r="B127" s="90"/>
      <c r="C127" s="91"/>
      <c r="D127" s="59"/>
    </row>
    <row r="128" spans="2:5" s="60" customFormat="1" ht="13.5" customHeight="1" x14ac:dyDescent="0.2">
      <c r="B128" s="90"/>
      <c r="C128" s="91"/>
      <c r="D128" s="59"/>
    </row>
    <row r="129" spans="2:4" s="60" customFormat="1" ht="13.5" customHeight="1" x14ac:dyDescent="0.2">
      <c r="B129" s="90"/>
      <c r="C129" s="91"/>
      <c r="D129" s="59"/>
    </row>
    <row r="130" spans="2:4" s="60" customFormat="1" ht="13.5" customHeight="1" x14ac:dyDescent="0.2">
      <c r="B130" s="90"/>
      <c r="C130" s="91"/>
      <c r="D130" s="59"/>
    </row>
    <row r="131" spans="2:4" s="60" customFormat="1" ht="13.5" customHeight="1" x14ac:dyDescent="0.2">
      <c r="B131" s="90"/>
      <c r="C131" s="91"/>
      <c r="D131" s="59"/>
    </row>
    <row r="132" spans="2:4" s="60" customFormat="1" ht="13.5" customHeight="1" x14ac:dyDescent="0.2">
      <c r="B132" s="90"/>
      <c r="C132" s="91"/>
      <c r="D132" s="59"/>
    </row>
    <row r="133" spans="2:4" s="60" customFormat="1" ht="13.5" customHeight="1" x14ac:dyDescent="0.2">
      <c r="B133" s="90"/>
      <c r="C133" s="91"/>
      <c r="D133" s="59"/>
    </row>
    <row r="134" spans="2:4" s="60" customFormat="1" ht="13.5" customHeight="1" x14ac:dyDescent="0.2">
      <c r="B134" s="90"/>
      <c r="C134" s="91"/>
      <c r="D134" s="59"/>
    </row>
    <row r="135" spans="2:4" s="60" customFormat="1" ht="13.5" customHeight="1" x14ac:dyDescent="0.2">
      <c r="B135" s="90"/>
      <c r="C135" s="91"/>
      <c r="D135" s="59"/>
    </row>
    <row r="136" spans="2:4" s="60" customFormat="1" ht="13.5" customHeight="1" x14ac:dyDescent="0.2">
      <c r="B136" s="90"/>
      <c r="C136" s="91"/>
      <c r="D136" s="59"/>
    </row>
    <row r="137" spans="2:4" s="60" customFormat="1" ht="13.5" customHeight="1" x14ac:dyDescent="0.2">
      <c r="B137" s="90"/>
      <c r="C137" s="91"/>
      <c r="D137" s="59"/>
    </row>
    <row r="138" spans="2:4" s="60" customFormat="1" ht="13.5" customHeight="1" x14ac:dyDescent="0.2">
      <c r="B138" s="90"/>
      <c r="C138" s="91"/>
      <c r="D138" s="59"/>
    </row>
    <row r="139" spans="2:4" s="60" customFormat="1" ht="13.5" customHeight="1" x14ac:dyDescent="0.2">
      <c r="B139" s="90"/>
      <c r="C139" s="91"/>
      <c r="D139" s="59"/>
    </row>
    <row r="140" spans="2:4" s="60" customFormat="1" ht="13.5" customHeight="1" x14ac:dyDescent="0.2">
      <c r="B140" s="90"/>
      <c r="C140" s="91"/>
      <c r="D140" s="59"/>
    </row>
    <row r="141" spans="2:4" s="60" customFormat="1" ht="13.5" customHeight="1" x14ac:dyDescent="0.2">
      <c r="B141" s="90"/>
      <c r="C141" s="91"/>
      <c r="D141" s="59"/>
    </row>
    <row r="142" spans="2:4" s="60" customFormat="1" ht="13.5" customHeight="1" x14ac:dyDescent="0.2">
      <c r="B142" s="90"/>
      <c r="C142" s="91"/>
      <c r="D142" s="59"/>
    </row>
    <row r="143" spans="2:4" s="60" customFormat="1" ht="13.5" customHeight="1" x14ac:dyDescent="0.2">
      <c r="B143" s="90"/>
      <c r="C143" s="91"/>
      <c r="D143" s="59"/>
    </row>
    <row r="144" spans="2:4" s="60" customFormat="1" ht="13.5" customHeight="1" x14ac:dyDescent="0.2">
      <c r="B144" s="90"/>
      <c r="C144" s="91"/>
      <c r="D144" s="59"/>
    </row>
    <row r="145" spans="2:4" s="60" customFormat="1" ht="13.5" customHeight="1" x14ac:dyDescent="0.2">
      <c r="B145" s="90"/>
      <c r="C145" s="91"/>
      <c r="D145" s="59"/>
    </row>
    <row r="146" spans="2:4" s="60" customFormat="1" ht="13.5" customHeight="1" x14ac:dyDescent="0.2">
      <c r="B146" s="90"/>
      <c r="C146" s="91"/>
      <c r="D146" s="59"/>
    </row>
    <row r="147" spans="2:4" s="60" customFormat="1" ht="13.5" customHeight="1" x14ac:dyDescent="0.2">
      <c r="B147" s="90"/>
      <c r="C147" s="91"/>
      <c r="D147" s="59"/>
    </row>
    <row r="148" spans="2:4" s="60" customFormat="1" ht="13.5" customHeight="1" x14ac:dyDescent="0.2">
      <c r="B148" s="90"/>
      <c r="C148" s="91"/>
      <c r="D148" s="59"/>
    </row>
    <row r="149" spans="2:4" s="60" customFormat="1" ht="13.5" customHeight="1" x14ac:dyDescent="0.2">
      <c r="B149" s="90"/>
      <c r="C149" s="91"/>
      <c r="D149" s="59"/>
    </row>
    <row r="150" spans="2:4" s="60" customFormat="1" ht="13.5" customHeight="1" x14ac:dyDescent="0.2">
      <c r="B150" s="90"/>
      <c r="C150" s="91"/>
      <c r="D150" s="59"/>
    </row>
    <row r="151" spans="2:4" s="60" customFormat="1" ht="13.5" customHeight="1" x14ac:dyDescent="0.2">
      <c r="B151" s="90"/>
      <c r="C151" s="91"/>
      <c r="D151" s="59"/>
    </row>
    <row r="152" spans="2:4" s="60" customFormat="1" ht="13.5" customHeight="1" x14ac:dyDescent="0.2">
      <c r="B152" s="90"/>
      <c r="C152" s="91"/>
      <c r="D152" s="59"/>
    </row>
    <row r="153" spans="2:4" s="60" customFormat="1" ht="13.5" customHeight="1" x14ac:dyDescent="0.2">
      <c r="B153" s="90"/>
      <c r="C153" s="91"/>
      <c r="D153" s="59"/>
    </row>
    <row r="154" spans="2:4" s="60" customFormat="1" ht="13.5" customHeight="1" x14ac:dyDescent="0.2">
      <c r="B154" s="90"/>
      <c r="C154" s="91"/>
      <c r="D154" s="59"/>
    </row>
    <row r="155" spans="2:4" s="60" customFormat="1" ht="13.5" customHeight="1" x14ac:dyDescent="0.2">
      <c r="B155" s="90"/>
      <c r="C155" s="91"/>
      <c r="D155" s="59"/>
    </row>
    <row r="156" spans="2:4" s="60" customFormat="1" ht="13.5" customHeight="1" x14ac:dyDescent="0.2">
      <c r="B156" s="90"/>
      <c r="C156" s="91"/>
      <c r="D156" s="59"/>
    </row>
    <row r="157" spans="2:4" s="60" customFormat="1" ht="13.5" customHeight="1" x14ac:dyDescent="0.2">
      <c r="B157" s="90"/>
      <c r="C157" s="91"/>
      <c r="D157" s="59"/>
    </row>
    <row r="158" spans="2:4" s="60" customFormat="1" ht="13.5" customHeight="1" x14ac:dyDescent="0.2">
      <c r="B158" s="90"/>
      <c r="C158" s="91"/>
      <c r="D158" s="59"/>
    </row>
    <row r="159" spans="2:4" s="60" customFormat="1" ht="13.5" customHeight="1" x14ac:dyDescent="0.2">
      <c r="B159" s="90"/>
      <c r="C159" s="91"/>
      <c r="D159" s="59"/>
    </row>
    <row r="160" spans="2:4" s="60" customFormat="1" ht="13.5" customHeight="1" x14ac:dyDescent="0.2">
      <c r="B160" s="90"/>
      <c r="C160" s="91"/>
      <c r="D160" s="59"/>
    </row>
    <row r="161" spans="2:4" s="60" customFormat="1" ht="13.5" customHeight="1" x14ac:dyDescent="0.2">
      <c r="B161" s="90"/>
      <c r="C161" s="91"/>
      <c r="D161" s="59"/>
    </row>
    <row r="162" spans="2:4" s="60" customFormat="1" ht="13.5" customHeight="1" x14ac:dyDescent="0.2">
      <c r="B162" s="90"/>
      <c r="C162" s="91"/>
      <c r="D162" s="59"/>
    </row>
    <row r="163" spans="2:4" s="60" customFormat="1" ht="13.5" customHeight="1" x14ac:dyDescent="0.2">
      <c r="B163" s="90"/>
      <c r="C163" s="91"/>
      <c r="D163" s="59"/>
    </row>
    <row r="164" spans="2:4" s="60" customFormat="1" ht="13.5" customHeight="1" x14ac:dyDescent="0.2">
      <c r="B164" s="90"/>
      <c r="C164" s="91"/>
      <c r="D164" s="59"/>
    </row>
    <row r="165" spans="2:4" s="60" customFormat="1" ht="13.5" customHeight="1" x14ac:dyDescent="0.2">
      <c r="B165" s="90"/>
      <c r="C165" s="91"/>
      <c r="D165" s="59"/>
    </row>
    <row r="166" spans="2:4" s="60" customFormat="1" ht="13.5" customHeight="1" x14ac:dyDescent="0.2">
      <c r="B166" s="90"/>
      <c r="C166" s="91"/>
      <c r="D166" s="59"/>
    </row>
  </sheetData>
  <mergeCells count="70">
    <mergeCell ref="A86:A110"/>
    <mergeCell ref="B86:B93"/>
    <mergeCell ref="C86:C89"/>
    <mergeCell ref="D86:D89"/>
    <mergeCell ref="C90:C93"/>
    <mergeCell ref="D90:D93"/>
    <mergeCell ref="B94:B98"/>
    <mergeCell ref="C95:C98"/>
    <mergeCell ref="D95:D98"/>
    <mergeCell ref="B99:B110"/>
    <mergeCell ref="C99:C103"/>
    <mergeCell ref="D99:D103"/>
    <mergeCell ref="C106:C109"/>
    <mergeCell ref="D106:D109"/>
    <mergeCell ref="A71:A85"/>
    <mergeCell ref="B71:B76"/>
    <mergeCell ref="C72:C76"/>
    <mergeCell ref="D72:D76"/>
    <mergeCell ref="B77:B85"/>
    <mergeCell ref="C77:C81"/>
    <mergeCell ref="D77:D81"/>
    <mergeCell ref="C83:C84"/>
    <mergeCell ref="D83:D84"/>
    <mergeCell ref="A54:A70"/>
    <mergeCell ref="B54:B56"/>
    <mergeCell ref="C54:C56"/>
    <mergeCell ref="D54:D56"/>
    <mergeCell ref="B58:B59"/>
    <mergeCell ref="B61:B66"/>
    <mergeCell ref="C62:C66"/>
    <mergeCell ref="D62:D66"/>
    <mergeCell ref="B67:B70"/>
    <mergeCell ref="C68:C70"/>
    <mergeCell ref="D68:D70"/>
    <mergeCell ref="A37:A53"/>
    <mergeCell ref="B37:B44"/>
    <mergeCell ref="C38:C43"/>
    <mergeCell ref="D38:D43"/>
    <mergeCell ref="B45:B50"/>
    <mergeCell ref="C45:C46"/>
    <mergeCell ref="D45:D46"/>
    <mergeCell ref="C47:C50"/>
    <mergeCell ref="D47:D50"/>
    <mergeCell ref="B51:B53"/>
    <mergeCell ref="C51:C53"/>
    <mergeCell ref="D51:D53"/>
    <mergeCell ref="A16:A36"/>
    <mergeCell ref="B16:B19"/>
    <mergeCell ref="C16:C19"/>
    <mergeCell ref="D16:D19"/>
    <mergeCell ref="B20:B30"/>
    <mergeCell ref="C20:C24"/>
    <mergeCell ref="D20:D24"/>
    <mergeCell ref="C25:C28"/>
    <mergeCell ref="D25:D28"/>
    <mergeCell ref="C29:C30"/>
    <mergeCell ref="D29:D30"/>
    <mergeCell ref="B31:B36"/>
    <mergeCell ref="C31:C34"/>
    <mergeCell ref="D31:D34"/>
    <mergeCell ref="C35:C36"/>
    <mergeCell ref="D35:D36"/>
    <mergeCell ref="A2:A15"/>
    <mergeCell ref="B2:B11"/>
    <mergeCell ref="C2:C6"/>
    <mergeCell ref="D2:D6"/>
    <mergeCell ref="C7:C8"/>
    <mergeCell ref="D7:D8"/>
    <mergeCell ref="B12:B13"/>
    <mergeCell ref="B14:B15"/>
  </mergeCell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05"/>
  <sheetViews>
    <sheetView zoomScale="90" zoomScaleNormal="90" workbookViewId="0">
      <pane ySplit="1" topLeftCell="A2" activePane="bottomLeft" state="frozen"/>
      <selection pane="bottomLeft" activeCell="E107" sqref="E107"/>
    </sheetView>
  </sheetViews>
  <sheetFormatPr baseColWidth="10" defaultColWidth="34" defaultRowHeight="15" x14ac:dyDescent="0.2"/>
  <cols>
    <col min="1" max="1" width="8.6640625" style="23" customWidth="1"/>
    <col min="2" max="2" width="21.6640625" style="23" customWidth="1"/>
    <col min="3" max="3" width="67.5" style="23" customWidth="1"/>
    <col min="4" max="4" width="10.33203125" style="23" customWidth="1"/>
    <col min="5" max="5" width="16.33203125" style="23" customWidth="1"/>
    <col min="6" max="6" width="36.5" style="23" customWidth="1"/>
    <col min="7" max="7" width="15.1640625" style="23" customWidth="1"/>
    <col min="8" max="8" width="47.5" style="23" customWidth="1"/>
    <col min="9" max="9" width="7" style="23" customWidth="1"/>
    <col min="10" max="10" width="8.83203125" style="23" customWidth="1"/>
    <col min="11" max="11" width="13.83203125" style="23" customWidth="1"/>
    <col min="12" max="12" width="14.83203125" style="23" customWidth="1"/>
    <col min="13" max="13" width="16.33203125" style="23" customWidth="1"/>
    <col min="14" max="14" width="17.5" style="23" customWidth="1"/>
    <col min="15" max="15" width="12.1640625" style="23" customWidth="1"/>
    <col min="16" max="16" width="16" style="23" customWidth="1"/>
    <col min="17" max="17" width="21.6640625" style="23" customWidth="1"/>
    <col min="18" max="18" width="31.83203125" style="23" customWidth="1"/>
    <col min="19" max="19" width="77.33203125" style="23" customWidth="1"/>
    <col min="20" max="20" width="8.1640625" style="23" customWidth="1"/>
    <col min="21" max="16384" width="34" style="23"/>
  </cols>
  <sheetData>
    <row r="1" spans="1:21" ht="15" customHeight="1" x14ac:dyDescent="0.2">
      <c r="A1" s="92" t="s">
        <v>0</v>
      </c>
      <c r="B1" s="92" t="s">
        <v>529</v>
      </c>
      <c r="C1" s="92" t="s">
        <v>530</v>
      </c>
      <c r="D1" s="92" t="s">
        <v>531</v>
      </c>
      <c r="E1" s="92" t="s">
        <v>532</v>
      </c>
      <c r="F1" s="92" t="s">
        <v>533</v>
      </c>
      <c r="G1" s="92" t="s">
        <v>534</v>
      </c>
      <c r="H1" s="92" t="s">
        <v>535</v>
      </c>
      <c r="I1" s="92" t="s">
        <v>536</v>
      </c>
      <c r="J1" s="92" t="s">
        <v>537</v>
      </c>
      <c r="K1" s="92" t="s">
        <v>538</v>
      </c>
      <c r="L1" s="92" t="s">
        <v>539</v>
      </c>
      <c r="M1" s="92" t="s">
        <v>540</v>
      </c>
      <c r="N1" s="92" t="s">
        <v>541</v>
      </c>
      <c r="O1" s="92" t="s">
        <v>542</v>
      </c>
      <c r="P1" s="92" t="s">
        <v>543</v>
      </c>
      <c r="Q1" s="92" t="s">
        <v>544</v>
      </c>
      <c r="R1" s="92" t="s">
        <v>545</v>
      </c>
      <c r="S1" s="92" t="s">
        <v>546</v>
      </c>
      <c r="T1" s="92" t="s">
        <v>547</v>
      </c>
      <c r="U1" s="93" t="s">
        <v>548</v>
      </c>
    </row>
    <row r="2" spans="1:21" s="94" customFormat="1" ht="16.5" customHeight="1" x14ac:dyDescent="0.2">
      <c r="A2" s="94" t="str">
        <f t="shared" ref="A2:A33" si="0">LEFT(B2, FIND("-", B2) - 1)</f>
        <v>911</v>
      </c>
      <c r="B2" s="95" t="s">
        <v>549</v>
      </c>
      <c r="C2" s="96" t="s">
        <v>215</v>
      </c>
      <c r="D2" s="95" t="s">
        <v>30</v>
      </c>
      <c r="E2" s="95" t="s">
        <v>212</v>
      </c>
      <c r="F2" s="97" t="str">
        <f>IF(E2="","",IFERROR(IF(INDEX('Dashboard Items'!$B$2:$B$495,MATCH(E2,'Dashboard Items'!$A$2:$A$495,0))="Objective","Objectives go in the next column",IF(OR(D2="",INDEX('Dashboard Items'!$B$2:$B$495,MATCH(E2,'Dashboard Items'!$A$2:$A$495,0))=D2),INDEX('Dashboard Items'!$C$2:$C$495,MATCH(E2,'Dashboard Items'!$A$2:$A$495,0)),"Level does not match ID")),"ID not found"))</f>
        <v>911 Emergency Services</v>
      </c>
      <c r="G2" s="98"/>
      <c r="H2" s="97" t="str">
        <f>IF(G2="","",IF(ISNUMBER(SEARCH(",",G2)),"Several items (the script lists them)",IFERROR(INDEX('Dashboard Items'!$B$2:$B$495,MATCH(G2,'Dashboard Items'!$A$2:$A$495,0))&amp;": "&amp;INDEX('Dashboard Items'!$C$2:$C$495,MATCH(G2,'Dashboard Items'!$A$2:$A$495,0)),"ID not found")))</f>
        <v/>
      </c>
      <c r="I2" s="95" t="s">
        <v>550</v>
      </c>
      <c r="J2" s="95">
        <v>2</v>
      </c>
      <c r="K2" s="95" t="s">
        <v>551</v>
      </c>
      <c r="L2" s="95" t="s">
        <v>552</v>
      </c>
      <c r="M2" s="95">
        <v>0</v>
      </c>
      <c r="N2" s="95">
        <v>0</v>
      </c>
      <c r="O2" s="95" t="s">
        <v>551</v>
      </c>
      <c r="P2" s="95" t="s">
        <v>553</v>
      </c>
      <c r="Q2" s="95" t="s">
        <v>554</v>
      </c>
      <c r="R2" s="95"/>
      <c r="S2" s="95"/>
      <c r="T2" s="95"/>
      <c r="U2" s="99" t="str">
        <f>IF(B2="","",IF(IF(D2&lt;&gt;"",D2,IFERROR(INDEX('Dashboard Items'!$B$2:$B$495,MATCH(E2,'Dashboard Items'!$A$2:$A$495,0)),""))="Key Service",IF(O2="No","Key Service: shown, not counted","Counts in Key Service gauge"),IF(IF(D2&lt;&gt;"",D2,IFERROR(INDEX('Dashboard Items'!$B$2:$B$495,MATCH(E2,'Dashboard Items'!$A$2:$A$495,0)),""))="Program",IF(ISNUMBER(SEARCH("ks",G2)),IF(O2="No","Program, also at Key Service: not counted","Counts in Key Service gauge + sets Program chip"),IF(O2="No","Program: shown, no status chip","Sets Program status chip")),IF(IF(D2&lt;&gt;"",D2,IFERROR(INDEX('Dashboard Items'!$B$2:$B$495,MATCH(E2,'Dashboard Items'!$A$2:$A$495,0)),""))="Work System","Work System: shown, not counted","Check Level"))))</f>
        <v>Sets Program status chip</v>
      </c>
    </row>
    <row r="3" spans="1:21" s="94" customFormat="1" ht="15.75" customHeight="1" x14ac:dyDescent="0.2">
      <c r="A3" s="94" t="str">
        <f t="shared" si="0"/>
        <v>911</v>
      </c>
      <c r="B3" s="95" t="s">
        <v>555</v>
      </c>
      <c r="C3" s="100" t="s">
        <v>223</v>
      </c>
      <c r="D3" s="95" t="s">
        <v>30</v>
      </c>
      <c r="E3" s="95" t="s">
        <v>217</v>
      </c>
      <c r="F3" s="97" t="str">
        <f>IF(E3="","",IFERROR(IF(INDEX('Dashboard Items'!$B$2:$B$495,MATCH(E3,'Dashboard Items'!$A$2:$A$495,0))="Objective","Objectives go in the next column",IF(OR(D3="",INDEX('Dashboard Items'!$B$2:$B$495,MATCH(E3,'Dashboard Items'!$A$2:$A$495,0))=D3),INDEX('Dashboard Items'!$C$2:$C$495,MATCH(E3,'Dashboard Items'!$A$2:$A$495,0)),"Level does not match ID")),"ID not found"))</f>
        <v>Administrative Public Safety Services</v>
      </c>
      <c r="G3" s="98" t="s">
        <v>217</v>
      </c>
      <c r="H3" s="97" t="str">
        <f>IF(G3="","",IF(ISNUMBER(SEARCH(",",G3)),"Several items (the script lists them)",IFERROR(INDEX('Dashboard Items'!$B$2:$B$495,MATCH(G3,'Dashboard Items'!$A$2:$A$495,0))&amp;": "&amp;INDEX('Dashboard Items'!$C$2:$C$495,MATCH(G3,'Dashboard Items'!$A$2:$A$495,0)),"ID not found")))</f>
        <v>Program: Administrative Public Safety Services</v>
      </c>
      <c r="I3" s="95" t="s">
        <v>550</v>
      </c>
      <c r="J3" s="95">
        <v>2</v>
      </c>
      <c r="K3" s="95" t="s">
        <v>551</v>
      </c>
      <c r="L3" s="95" t="s">
        <v>552</v>
      </c>
      <c r="M3" s="95">
        <v>0</v>
      </c>
      <c r="N3" s="95">
        <v>0</v>
      </c>
      <c r="O3" s="95" t="s">
        <v>551</v>
      </c>
      <c r="P3" s="95" t="s">
        <v>553</v>
      </c>
      <c r="Q3" s="95" t="s">
        <v>554</v>
      </c>
      <c r="R3" s="95"/>
      <c r="S3" s="95"/>
      <c r="T3" s="95"/>
      <c r="U3" s="99" t="str">
        <f>IF(B3="","",IF(IF(D3&lt;&gt;"",D3,IFERROR(INDEX('Dashboard Items'!$B$2:$B$495,MATCH(E3,'Dashboard Items'!$A$2:$A$495,0)),""))="Key Service",IF(O3="No","Key Service: shown, not counted","Counts in Key Service gauge"),IF(IF(D3&lt;&gt;"",D3,IFERROR(INDEX('Dashboard Items'!$B$2:$B$495,MATCH(E3,'Dashboard Items'!$A$2:$A$495,0)),""))="Program",IF(ISNUMBER(SEARCH("ks",G3)),IF(O3="No","Program, also at Key Service: not counted","Counts in Key Service gauge + sets Program chip"),IF(O3="No","Program: shown, no status chip","Sets Program status chip")),IF(IF(D3&lt;&gt;"",D3,IFERROR(INDEX('Dashboard Items'!$B$2:$B$495,MATCH(E3,'Dashboard Items'!$A$2:$A$495,0)),""))="Work System","Work System: shown, not counted","Check Level"))))</f>
        <v>Sets Program status chip</v>
      </c>
    </row>
    <row r="4" spans="1:21" s="94" customFormat="1" ht="15.75" customHeight="1" x14ac:dyDescent="0.2">
      <c r="A4" s="94" t="str">
        <f t="shared" si="0"/>
        <v>911</v>
      </c>
      <c r="B4" s="95" t="s">
        <v>556</v>
      </c>
      <c r="C4" s="96" t="s">
        <v>557</v>
      </c>
      <c r="D4" s="95" t="s">
        <v>29</v>
      </c>
      <c r="E4" s="95" t="s">
        <v>558</v>
      </c>
      <c r="F4" s="97" t="str">
        <f>IF(E4="","",IFERROR(IF(INDEX('Dashboard Items'!$B$2:$B$495,MATCH(E4,'Dashboard Items'!$A$2:$A$495,0))="Objective","Objectives go in the next column",IF(OR(D4="",INDEX('Dashboard Items'!$B$2:$B$495,MATCH(E4,'Dashboard Items'!$A$2:$A$495,0))=D4),INDEX('Dashboard Items'!$C$2:$C$495,MATCH(E4,'Dashboard Items'!$A$2:$A$495,0)),"Level does not match ID")),"ID not found"))</f>
        <v>Public Safety Services</v>
      </c>
      <c r="G4" s="98" t="s">
        <v>212</v>
      </c>
      <c r="H4" s="97" t="str">
        <f>IF(G4="","",IF(ISNUMBER(SEARCH(",",G4)),"Several items (the script lists them)",IFERROR(INDEX('Dashboard Items'!$B$2:$B$495,MATCH(G4,'Dashboard Items'!$A$2:$A$495,0))&amp;": "&amp;INDEX('Dashboard Items'!$C$2:$C$495,MATCH(G4,'Dashboard Items'!$A$2:$A$495,0)),"ID not found")))</f>
        <v>Program: 911 Emergency Services</v>
      </c>
      <c r="I4" s="95" t="s">
        <v>550</v>
      </c>
      <c r="J4" s="95">
        <v>2</v>
      </c>
      <c r="K4" s="95" t="s">
        <v>551</v>
      </c>
      <c r="L4" s="95" t="s">
        <v>552</v>
      </c>
      <c r="M4" s="95">
        <v>0</v>
      </c>
      <c r="N4" s="95">
        <v>0</v>
      </c>
      <c r="O4" s="95" t="s">
        <v>551</v>
      </c>
      <c r="P4" s="95" t="s">
        <v>553</v>
      </c>
      <c r="Q4" s="95" t="s">
        <v>554</v>
      </c>
      <c r="R4" s="95"/>
      <c r="S4" s="95"/>
      <c r="T4" s="95"/>
      <c r="U4" s="99" t="str">
        <f>IF(B4="","",IF(IF(D4&lt;&gt;"",D4,IFERROR(INDEX('Dashboard Items'!$B$2:$B$495,MATCH(E4,'Dashboard Items'!$A$2:$A$495,0)),""))="Key Service",IF(O4="No","Key Service: shown, not counted","Counts in Key Service gauge"),IF(IF(D4&lt;&gt;"",D4,IFERROR(INDEX('Dashboard Items'!$B$2:$B$495,MATCH(E4,'Dashboard Items'!$A$2:$A$495,0)),""))="Program",IF(ISNUMBER(SEARCH("ks",G4)),IF(O4="No","Program, also at Key Service: not counted","Counts in Key Service gauge + sets Program chip"),IF(O4="No","Program: shown, no status chip","Sets Program status chip")),IF(IF(D4&lt;&gt;"",D4,IFERROR(INDEX('Dashboard Items'!$B$2:$B$495,MATCH(E4,'Dashboard Items'!$A$2:$A$495,0)),""))="Work System","Work System: shown, not counted","Check Level"))))</f>
        <v>Counts in Key Service gauge</v>
      </c>
    </row>
    <row r="5" spans="1:21" s="94" customFormat="1" ht="15.75" customHeight="1" x14ac:dyDescent="0.2">
      <c r="A5" s="94" t="str">
        <f t="shared" si="0"/>
        <v>911</v>
      </c>
      <c r="B5" s="95" t="s">
        <v>559</v>
      </c>
      <c r="C5" s="96" t="s">
        <v>214</v>
      </c>
      <c r="D5" s="95" t="s">
        <v>30</v>
      </c>
      <c r="E5" s="95" t="s">
        <v>212</v>
      </c>
      <c r="F5" s="97" t="str">
        <f>IF(E5="","",IFERROR(IF(INDEX('Dashboard Items'!$B$2:$B$495,MATCH(E5,'Dashboard Items'!$A$2:$A$495,0))="Objective","Objectives go in the next column",IF(OR(D5="",INDEX('Dashboard Items'!$B$2:$B$495,MATCH(E5,'Dashboard Items'!$A$2:$A$495,0))=D5),INDEX('Dashboard Items'!$C$2:$C$495,MATCH(E5,'Dashboard Items'!$A$2:$A$495,0)),"Level does not match ID")),"ID not found"))</f>
        <v>911 Emergency Services</v>
      </c>
      <c r="G5" s="98"/>
      <c r="H5" s="97" t="str">
        <f>IF(G5="","",IF(ISNUMBER(SEARCH(",",G5)),"Several items (the script lists them)",IFERROR(INDEX('Dashboard Items'!$B$2:$B$495,MATCH(G5,'Dashboard Items'!$A$2:$A$495,0))&amp;": "&amp;INDEX('Dashboard Items'!$C$2:$C$495,MATCH(G5,'Dashboard Items'!$A$2:$A$495,0)),"ID not found")))</f>
        <v/>
      </c>
      <c r="I5" s="95" t="s">
        <v>550</v>
      </c>
      <c r="J5" s="95">
        <v>2</v>
      </c>
      <c r="K5" s="95" t="s">
        <v>551</v>
      </c>
      <c r="L5" s="95" t="s">
        <v>552</v>
      </c>
      <c r="M5" s="95">
        <v>0</v>
      </c>
      <c r="N5" s="95">
        <v>0</v>
      </c>
      <c r="O5" s="95" t="s">
        <v>551</v>
      </c>
      <c r="P5" s="95" t="s">
        <v>553</v>
      </c>
      <c r="Q5" s="95" t="s">
        <v>554</v>
      </c>
      <c r="R5" s="95"/>
      <c r="S5" s="95"/>
      <c r="T5" s="95"/>
      <c r="U5" s="99" t="str">
        <f>IF(B5="","",IF(IF(D5&lt;&gt;"",D5,IFERROR(INDEX('Dashboard Items'!$B$2:$B$495,MATCH(E5,'Dashboard Items'!$A$2:$A$495,0)),""))="Key Service",IF(O5="No","Key Service: shown, not counted","Counts in Key Service gauge"),IF(IF(D5&lt;&gt;"",D5,IFERROR(INDEX('Dashboard Items'!$B$2:$B$495,MATCH(E5,'Dashboard Items'!$A$2:$A$495,0)),""))="Program",IF(ISNUMBER(SEARCH("ks",G5)),IF(O5="No","Program, also at Key Service: not counted","Counts in Key Service gauge + sets Program chip"),IF(O5="No","Program: shown, no status chip","Sets Program status chip")),IF(IF(D5&lt;&gt;"",D5,IFERROR(INDEX('Dashboard Items'!$B$2:$B$495,MATCH(E5,'Dashboard Items'!$A$2:$A$495,0)),""))="Work System","Work System: shown, not counted","Check Level"))))</f>
        <v>Sets Program status chip</v>
      </c>
    </row>
    <row r="6" spans="1:21" s="94" customFormat="1" ht="15.75" customHeight="1" x14ac:dyDescent="0.2">
      <c r="A6" s="94" t="str">
        <f t="shared" si="0"/>
        <v>911</v>
      </c>
      <c r="B6" s="95" t="s">
        <v>560</v>
      </c>
      <c r="C6" s="96" t="s">
        <v>213</v>
      </c>
      <c r="D6" s="95" t="s">
        <v>30</v>
      </c>
      <c r="E6" s="95" t="s">
        <v>212</v>
      </c>
      <c r="F6" s="97" t="str">
        <f>IF(E6="","",IFERROR(IF(INDEX('Dashboard Items'!$B$2:$B$495,MATCH(E6,'Dashboard Items'!$A$2:$A$495,0))="Objective","Objectives go in the next column",IF(OR(D6="",INDEX('Dashboard Items'!$B$2:$B$495,MATCH(E6,'Dashboard Items'!$A$2:$A$495,0))=D6),INDEX('Dashboard Items'!$C$2:$C$495,MATCH(E6,'Dashboard Items'!$A$2:$A$495,0)),"Level does not match ID")),"ID not found"))</f>
        <v>911 Emergency Services</v>
      </c>
      <c r="G6" s="98" t="s">
        <v>217</v>
      </c>
      <c r="H6" s="97" t="str">
        <f>IF(G6="","",IF(ISNUMBER(SEARCH(",",G6)),"Several items (the script lists them)",IFERROR(INDEX('Dashboard Items'!$B$2:$B$495,MATCH(G6,'Dashboard Items'!$A$2:$A$495,0))&amp;": "&amp;INDEX('Dashboard Items'!$C$2:$C$495,MATCH(G6,'Dashboard Items'!$A$2:$A$495,0)),"ID not found")))</f>
        <v>Program: Administrative Public Safety Services</v>
      </c>
      <c r="I6" s="95" t="s">
        <v>550</v>
      </c>
      <c r="J6" s="95">
        <v>2</v>
      </c>
      <c r="K6" s="95" t="s">
        <v>551</v>
      </c>
      <c r="L6" s="95" t="s">
        <v>552</v>
      </c>
      <c r="M6" s="95">
        <v>0</v>
      </c>
      <c r="N6" s="95">
        <v>0</v>
      </c>
      <c r="O6" s="95" t="s">
        <v>551</v>
      </c>
      <c r="P6" s="95" t="s">
        <v>553</v>
      </c>
      <c r="Q6" s="95" t="s">
        <v>554</v>
      </c>
      <c r="R6" s="95"/>
      <c r="S6" s="95"/>
      <c r="T6" s="95"/>
      <c r="U6" s="99" t="str">
        <f>IF(B6="","",IF(IF(D6&lt;&gt;"",D6,IFERROR(INDEX('Dashboard Items'!$B$2:$B$495,MATCH(E6,'Dashboard Items'!$A$2:$A$495,0)),""))="Key Service",IF(O6="No","Key Service: shown, not counted","Counts in Key Service gauge"),IF(IF(D6&lt;&gt;"",D6,IFERROR(INDEX('Dashboard Items'!$B$2:$B$495,MATCH(E6,'Dashboard Items'!$A$2:$A$495,0)),""))="Program",IF(ISNUMBER(SEARCH("ks",G6)),IF(O6="No","Program, also at Key Service: not counted","Counts in Key Service gauge + sets Program chip"),IF(O6="No","Program: shown, no status chip","Sets Program status chip")),IF(IF(D6&lt;&gt;"",D6,IFERROR(INDEX('Dashboard Items'!$B$2:$B$495,MATCH(E6,'Dashboard Items'!$A$2:$A$495,0)),""))="Work System","Work System: shown, not counted","Check Level"))))</f>
        <v>Sets Program status chip</v>
      </c>
    </row>
    <row r="7" spans="1:21" s="94" customFormat="1" ht="15.75" customHeight="1" x14ac:dyDescent="0.2">
      <c r="A7" s="94" t="str">
        <f t="shared" si="0"/>
        <v>911</v>
      </c>
      <c r="B7" s="95" t="s">
        <v>561</v>
      </c>
      <c r="C7" s="100" t="s">
        <v>562</v>
      </c>
      <c r="D7" s="95" t="s">
        <v>30</v>
      </c>
      <c r="E7" s="95" t="s">
        <v>233</v>
      </c>
      <c r="F7" s="97" t="str">
        <f>IF(E7="","",IFERROR(IF(INDEX('Dashboard Items'!$B$2:$B$495,MATCH(E7,'Dashboard Items'!$A$2:$A$495,0))="Objective","Objectives go in the next column",IF(OR(D7="",INDEX('Dashboard Items'!$B$2:$B$495,MATCH(E7,'Dashboard Items'!$A$2:$A$495,0))=D7),INDEX('Dashboard Items'!$C$2:$C$495,MATCH(E7,'Dashboard Items'!$A$2:$A$495,0)),"Level does not match ID")),"ID not found"))</f>
        <v>Public Safety Technology NG (NextGen) 911 Technologies</v>
      </c>
      <c r="G7" s="98"/>
      <c r="H7" s="97" t="str">
        <f>IF(G7="","",IF(ISNUMBER(SEARCH(",",G7)),"Several items (the script lists them)",IFERROR(INDEX('Dashboard Items'!$B$2:$B$495,MATCH(G7,'Dashboard Items'!$A$2:$A$495,0))&amp;": "&amp;INDEX('Dashboard Items'!$C$2:$C$495,MATCH(G7,'Dashboard Items'!$A$2:$A$495,0)),"ID not found")))</f>
        <v/>
      </c>
      <c r="I7" s="95" t="s">
        <v>550</v>
      </c>
      <c r="J7" s="95">
        <v>2</v>
      </c>
      <c r="K7" s="95" t="s">
        <v>551</v>
      </c>
      <c r="L7" s="95" t="s">
        <v>552</v>
      </c>
      <c r="M7" s="95">
        <v>0</v>
      </c>
      <c r="N7" s="95">
        <v>0</v>
      </c>
      <c r="O7" s="95" t="s">
        <v>551</v>
      </c>
      <c r="P7" s="95" t="s">
        <v>553</v>
      </c>
      <c r="Q7" s="95" t="s">
        <v>554</v>
      </c>
      <c r="R7" s="95"/>
      <c r="S7" s="95"/>
      <c r="T7" s="95"/>
      <c r="U7" s="99" t="str">
        <f>IF(B7="","",IF(IF(D7&lt;&gt;"",D7,IFERROR(INDEX('Dashboard Items'!$B$2:$B$495,MATCH(E7,'Dashboard Items'!$A$2:$A$495,0)),""))="Key Service",IF(O7="No","Key Service: shown, not counted","Counts in Key Service gauge"),IF(IF(D7&lt;&gt;"",D7,IFERROR(INDEX('Dashboard Items'!$B$2:$B$495,MATCH(E7,'Dashboard Items'!$A$2:$A$495,0)),""))="Program",IF(ISNUMBER(SEARCH("ks",G7)),IF(O7="No","Program, also at Key Service: not counted","Counts in Key Service gauge + sets Program chip"),IF(O7="No","Program: shown, no status chip","Sets Program status chip")),IF(IF(D7&lt;&gt;"",D7,IFERROR(INDEX('Dashboard Items'!$B$2:$B$495,MATCH(E7,'Dashboard Items'!$A$2:$A$495,0)),""))="Work System","Work System: shown, not counted","Check Level"))))</f>
        <v>Sets Program status chip</v>
      </c>
    </row>
    <row r="8" spans="1:21" s="94" customFormat="1" ht="15.75" customHeight="1" x14ac:dyDescent="0.2">
      <c r="A8" s="94" t="str">
        <f t="shared" si="0"/>
        <v>911</v>
      </c>
      <c r="B8" s="95" t="s">
        <v>563</v>
      </c>
      <c r="C8" s="100" t="s">
        <v>564</v>
      </c>
      <c r="D8" s="95" t="s">
        <v>29</v>
      </c>
      <c r="E8" s="95" t="s">
        <v>558</v>
      </c>
      <c r="F8" s="97" t="str">
        <f>IF(E8="","",IFERROR(IF(INDEX('Dashboard Items'!$B$2:$B$495,MATCH(E8,'Dashboard Items'!$A$2:$A$495,0))="Objective","Objectives go in the next column",IF(OR(D8="",INDEX('Dashboard Items'!$B$2:$B$495,MATCH(E8,'Dashboard Items'!$A$2:$A$495,0))=D8),INDEX('Dashboard Items'!$C$2:$C$495,MATCH(E8,'Dashboard Items'!$A$2:$A$495,0)),"Level does not match ID")),"ID not found"))</f>
        <v>Public Safety Services</v>
      </c>
      <c r="G8" s="98"/>
      <c r="H8" s="97" t="str">
        <f>IF(G8="","",IF(ISNUMBER(SEARCH(",",G8)),"Several items (the script lists them)",IFERROR(INDEX('Dashboard Items'!$B$2:$B$495,MATCH(G8,'Dashboard Items'!$A$2:$A$495,0))&amp;": "&amp;INDEX('Dashboard Items'!$C$2:$C$495,MATCH(G8,'Dashboard Items'!$A$2:$A$495,0)),"ID not found")))</f>
        <v/>
      </c>
      <c r="I8" s="95" t="s">
        <v>550</v>
      </c>
      <c r="J8" s="95">
        <v>2</v>
      </c>
      <c r="K8" s="95" t="s">
        <v>551</v>
      </c>
      <c r="L8" s="95" t="s">
        <v>552</v>
      </c>
      <c r="M8" s="95">
        <v>0</v>
      </c>
      <c r="N8" s="95">
        <v>0</v>
      </c>
      <c r="O8" s="95" t="s">
        <v>551</v>
      </c>
      <c r="P8" s="95" t="s">
        <v>553</v>
      </c>
      <c r="Q8" s="95" t="s">
        <v>554</v>
      </c>
      <c r="R8" s="95"/>
      <c r="S8" s="95"/>
      <c r="T8" s="95"/>
      <c r="U8" s="99" t="str">
        <f>IF(B8="","",IF(IF(D8&lt;&gt;"",D8,IFERROR(INDEX('Dashboard Items'!$B$2:$B$495,MATCH(E8,'Dashboard Items'!$A$2:$A$495,0)),""))="Key Service",IF(O8="No","Key Service: shown, not counted","Counts in Key Service gauge"),IF(IF(D8&lt;&gt;"",D8,IFERROR(INDEX('Dashboard Items'!$B$2:$B$495,MATCH(E8,'Dashboard Items'!$A$2:$A$495,0)),""))="Program",IF(ISNUMBER(SEARCH("ks",G8)),IF(O8="No","Program, also at Key Service: not counted","Counts in Key Service gauge + sets Program chip"),IF(O8="No","Program: shown, no status chip","Sets Program status chip")),IF(IF(D8&lt;&gt;"",D8,IFERROR(INDEX('Dashboard Items'!$B$2:$B$495,MATCH(E8,'Dashboard Items'!$A$2:$A$495,0)),""))="Work System","Work System: shown, not counted","Check Level"))))</f>
        <v>Counts in Key Service gauge</v>
      </c>
    </row>
    <row r="9" spans="1:21" s="94" customFormat="1" ht="15.75" customHeight="1" x14ac:dyDescent="0.2">
      <c r="A9" s="101" t="str">
        <f t="shared" si="0"/>
        <v>CLERK</v>
      </c>
      <c r="B9" s="101" t="s">
        <v>565</v>
      </c>
      <c r="C9" s="102" t="s">
        <v>61</v>
      </c>
      <c r="D9" s="101" t="s">
        <v>30</v>
      </c>
      <c r="E9" s="101" t="s">
        <v>60</v>
      </c>
      <c r="F9" s="103" t="str">
        <f>IF(E9="","",IFERROR(IF(INDEX('Dashboard Items'!$B$2:$B$495,MATCH(E9,'Dashboard Items'!$A$2:$A$495,0))="Objective","Objectives go in the next column",IF(OR(D9="",INDEX('Dashboard Items'!$B$2:$B$495,MATCH(E9,'Dashboard Items'!$A$2:$A$495,0))=D9),INDEX('Dashboard Items'!$C$2:$C$495,MATCH(E9,'Dashboard Items'!$A$2:$A$495,0)),"Level does not match ID")),"ID not found"))</f>
        <v>Council/Board Support</v>
      </c>
      <c r="G9" s="104" t="s">
        <v>566</v>
      </c>
      <c r="H9" s="103" t="str">
        <f>IF(G9="","",IF(ISNUMBER(SEARCH(",",G9)),"Several items (the script lists them)",IFERROR(INDEX('Dashboard Items'!$B$2:$B$495,MATCH(G9,'Dashboard Items'!$A$2:$A$495,0))&amp;": "&amp;INDEX('Dashboard Items'!$C$2:$C$495,MATCH(G9,'Dashboard Items'!$A$2:$A$495,0)),"ID not found")))</f>
        <v>Key Service: City Clerk &amp; Records Management</v>
      </c>
      <c r="I9" s="101"/>
      <c r="J9" s="101"/>
      <c r="K9" s="101"/>
      <c r="L9" s="101"/>
      <c r="M9" s="101"/>
      <c r="N9" s="101"/>
      <c r="O9" s="101"/>
      <c r="P9" s="101"/>
      <c r="Q9" s="101"/>
      <c r="R9" s="101"/>
      <c r="S9" s="101"/>
      <c r="T9" s="101"/>
      <c r="U9" s="99" t="str">
        <f>IF(B9="","",IF(IF(D9&lt;&gt;"",D9,IFERROR(INDEX('Dashboard Items'!$B$2:$B$495,MATCH(E9,'Dashboard Items'!$A$2:$A$495,0)),""))="Key Service",IF(O9="No","Key Service: shown, not counted","Counts in Key Service gauge"),IF(IF(D9&lt;&gt;"",D9,IFERROR(INDEX('Dashboard Items'!$B$2:$B$495,MATCH(E9,'Dashboard Items'!$A$2:$A$495,0)),""))="Program",IF(ISNUMBER(SEARCH("ks",G9)),IF(O9="No","Program, also at Key Service: not counted","Counts in Key Service gauge + sets Program chip"),IF(O9="No","Program: shown, no status chip","Sets Program status chip")),IF(IF(D9&lt;&gt;"",D9,IFERROR(INDEX('Dashboard Items'!$B$2:$B$495,MATCH(E9,'Dashboard Items'!$A$2:$A$495,0)),""))="Work System","Work System: shown, not counted","Check Level"))))</f>
        <v>Counts in Key Service gauge + sets Program chip</v>
      </c>
    </row>
    <row r="10" spans="1:21" s="94" customFormat="1" ht="15.75" customHeight="1" x14ac:dyDescent="0.2">
      <c r="A10" s="101" t="str">
        <f t="shared" si="0"/>
        <v>CLERK</v>
      </c>
      <c r="B10" s="101" t="s">
        <v>567</v>
      </c>
      <c r="C10" s="102" t="s">
        <v>65</v>
      </c>
      <c r="D10" s="101" t="s">
        <v>30</v>
      </c>
      <c r="E10" s="101" t="s">
        <v>63</v>
      </c>
      <c r="F10" s="103" t="str">
        <f>IF(E10="","",IFERROR(IF(INDEX('Dashboard Items'!$B$2:$B$495,MATCH(E10,'Dashboard Items'!$A$2:$A$495,0))="Objective","Objectives go in the next column",IF(OR(D10="",INDEX('Dashboard Items'!$B$2:$B$495,MATCH(E10,'Dashboard Items'!$A$2:$A$495,0))=D10),INDEX('Dashboard Items'!$C$2:$C$495,MATCH(E10,'Dashboard Items'!$A$2:$A$495,0)),"Level does not match ID")),"ID not found"))</f>
        <v>Licensing</v>
      </c>
      <c r="G10" s="104" t="s">
        <v>566</v>
      </c>
      <c r="H10" s="103" t="str">
        <f>IF(G10="","",IF(ISNUMBER(SEARCH(",",G10)),"Several items (the script lists them)",IFERROR(INDEX('Dashboard Items'!$B$2:$B$495,MATCH(G10,'Dashboard Items'!$A$2:$A$495,0))&amp;": "&amp;INDEX('Dashboard Items'!$C$2:$C$495,MATCH(G10,'Dashboard Items'!$A$2:$A$495,0)),"ID not found")))</f>
        <v>Key Service: City Clerk &amp; Records Management</v>
      </c>
      <c r="I10" s="101"/>
      <c r="J10" s="101"/>
      <c r="K10" s="101"/>
      <c r="L10" s="101"/>
      <c r="M10" s="101"/>
      <c r="N10" s="101"/>
      <c r="O10" s="101"/>
      <c r="P10" s="101"/>
      <c r="Q10" s="101"/>
      <c r="R10" s="101"/>
      <c r="S10" s="101"/>
      <c r="T10" s="101"/>
      <c r="U10" s="99" t="str">
        <f>IF(B10="","",IF(IF(D10&lt;&gt;"",D10,IFERROR(INDEX('Dashboard Items'!$B$2:$B$495,MATCH(E10,'Dashboard Items'!$A$2:$A$495,0)),""))="Key Service",IF(O10="No","Key Service: shown, not counted","Counts in Key Service gauge"),IF(IF(D10&lt;&gt;"",D10,IFERROR(INDEX('Dashboard Items'!$B$2:$B$495,MATCH(E10,'Dashboard Items'!$A$2:$A$495,0)),""))="Program",IF(ISNUMBER(SEARCH("ks",G10)),IF(O10="No","Program, also at Key Service: not counted","Counts in Key Service gauge + sets Program chip"),IF(O10="No","Program: shown, no status chip","Sets Program status chip")),IF(IF(D10&lt;&gt;"",D10,IFERROR(INDEX('Dashboard Items'!$B$2:$B$495,MATCH(E10,'Dashboard Items'!$A$2:$A$495,0)),""))="Work System","Work System: shown, not counted","Check Level"))))</f>
        <v>Counts in Key Service gauge + sets Program chip</v>
      </c>
    </row>
    <row r="11" spans="1:21" s="94" customFormat="1" ht="15.75" customHeight="1" x14ac:dyDescent="0.2">
      <c r="A11" s="101" t="str">
        <f t="shared" si="0"/>
        <v>CLERK</v>
      </c>
      <c r="B11" s="101" t="s">
        <v>568</v>
      </c>
      <c r="C11" s="102" t="s">
        <v>58</v>
      </c>
      <c r="D11" s="101" t="s">
        <v>30</v>
      </c>
      <c r="E11" s="101" t="s">
        <v>54</v>
      </c>
      <c r="F11" s="103" t="str">
        <f>IF(E11="","",IFERROR(IF(INDEX('Dashboard Items'!$B$2:$B$495,MATCH(E11,'Dashboard Items'!$A$2:$A$495,0))="Objective","Objectives go in the next column",IF(OR(D11="",INDEX('Dashboard Items'!$B$2:$B$495,MATCH(E11,'Dashboard Items'!$A$2:$A$495,0))=D11),INDEX('Dashboard Items'!$C$2:$C$495,MATCH(E11,'Dashboard Items'!$A$2:$A$495,0)),"Level does not match ID")),"ID not found"))</f>
        <v>Elections Administration</v>
      </c>
      <c r="G11" s="104"/>
      <c r="H11" s="103" t="str">
        <f>IF(G11="","",IF(ISNUMBER(SEARCH(",",G11)),"Several items (the script lists them)",IFERROR(INDEX('Dashboard Items'!$B$2:$B$495,MATCH(G11,'Dashboard Items'!$A$2:$A$495,0))&amp;": "&amp;INDEX('Dashboard Items'!$C$2:$C$495,MATCH(G11,'Dashboard Items'!$A$2:$A$495,0)),"ID not found")))</f>
        <v/>
      </c>
      <c r="I11" s="101"/>
      <c r="J11" s="101"/>
      <c r="K11" s="101"/>
      <c r="L11" s="101"/>
      <c r="M11" s="101"/>
      <c r="N11" s="101"/>
      <c r="O11" s="101"/>
      <c r="P11" s="101"/>
      <c r="Q11" s="101"/>
      <c r="R11" s="101"/>
      <c r="S11" s="101"/>
      <c r="T11" s="101"/>
      <c r="U11" s="99" t="str">
        <f>IF(B11="","",IF(IF(D11&lt;&gt;"",D11,IFERROR(INDEX('Dashboard Items'!$B$2:$B$495,MATCH(E11,'Dashboard Items'!$A$2:$A$495,0)),""))="Key Service",IF(O11="No","Key Service: shown, not counted","Counts in Key Service gauge"),IF(IF(D11&lt;&gt;"",D11,IFERROR(INDEX('Dashboard Items'!$B$2:$B$495,MATCH(E11,'Dashboard Items'!$A$2:$A$495,0)),""))="Program",IF(ISNUMBER(SEARCH("ks",G11)),IF(O11="No","Program, also at Key Service: not counted","Counts in Key Service gauge + sets Program chip"),IF(O11="No","Program: shown, no status chip","Sets Program status chip")),IF(IF(D11&lt;&gt;"",D11,IFERROR(INDEX('Dashboard Items'!$B$2:$B$495,MATCH(E11,'Dashboard Items'!$A$2:$A$495,0)),""))="Work System","Work System: shown, not counted","Check Level"))))</f>
        <v>Sets Program status chip</v>
      </c>
    </row>
    <row r="12" spans="1:21" s="94" customFormat="1" ht="15.75" customHeight="1" x14ac:dyDescent="0.2">
      <c r="A12" s="101" t="str">
        <f t="shared" si="0"/>
        <v>CLERK</v>
      </c>
      <c r="B12" s="101" t="s">
        <v>569</v>
      </c>
      <c r="C12" s="102" t="s">
        <v>52</v>
      </c>
      <c r="D12" s="101" t="s">
        <v>30</v>
      </c>
      <c r="E12" s="101" t="s">
        <v>51</v>
      </c>
      <c r="F12" s="103" t="str">
        <f>IF(E12="","",IFERROR(IF(INDEX('Dashboard Items'!$B$2:$B$495,MATCH(E12,'Dashboard Items'!$A$2:$A$495,0))="Objective","Objectives go in the next column",IF(OR(D12="",INDEX('Dashboard Items'!$B$2:$B$495,MATCH(E12,'Dashboard Items'!$A$2:$A$495,0))=D12),INDEX('Dashboard Items'!$C$2:$C$495,MATCH(E12,'Dashboard Items'!$A$2:$A$495,0)),"Level does not match ID")),"ID not found"))</f>
        <v>Records Management</v>
      </c>
      <c r="G12" s="104" t="s">
        <v>566</v>
      </c>
      <c r="H12" s="103" t="str">
        <f>IF(G12="","",IF(ISNUMBER(SEARCH(",",G12)),"Several items (the script lists them)",IFERROR(INDEX('Dashboard Items'!$B$2:$B$495,MATCH(G12,'Dashboard Items'!$A$2:$A$495,0))&amp;": "&amp;INDEX('Dashboard Items'!$C$2:$C$495,MATCH(G12,'Dashboard Items'!$A$2:$A$495,0)),"ID not found")))</f>
        <v>Key Service: City Clerk &amp; Records Management</v>
      </c>
      <c r="I12" s="101"/>
      <c r="J12" s="101"/>
      <c r="K12" s="101"/>
      <c r="L12" s="101"/>
      <c r="M12" s="101"/>
      <c r="N12" s="101"/>
      <c r="O12" s="101"/>
      <c r="P12" s="101"/>
      <c r="Q12" s="101"/>
      <c r="R12" s="101"/>
      <c r="S12" s="101"/>
      <c r="T12" s="101"/>
      <c r="U12" s="99" t="str">
        <f>IF(B12="","",IF(IF(D12&lt;&gt;"",D12,IFERROR(INDEX('Dashboard Items'!$B$2:$B$495,MATCH(E12,'Dashboard Items'!$A$2:$A$495,0)),""))="Key Service",IF(O12="No","Key Service: shown, not counted","Counts in Key Service gauge"),IF(IF(D12&lt;&gt;"",D12,IFERROR(INDEX('Dashboard Items'!$B$2:$B$495,MATCH(E12,'Dashboard Items'!$A$2:$A$495,0)),""))="Program",IF(ISNUMBER(SEARCH("ks",G12)),IF(O12="No","Program, also at Key Service: not counted","Counts in Key Service gauge + sets Program chip"),IF(O12="No","Program: shown, no status chip","Sets Program status chip")),IF(IF(D12&lt;&gt;"",D12,IFERROR(INDEX('Dashboard Items'!$B$2:$B$495,MATCH(E12,'Dashboard Items'!$A$2:$A$495,0)),""))="Work System","Work System: shown, not counted","Check Level"))))</f>
        <v>Counts in Key Service gauge + sets Program chip</v>
      </c>
    </row>
    <row r="13" spans="1:21" s="94" customFormat="1" ht="15.75" customHeight="1" x14ac:dyDescent="0.2">
      <c r="A13" s="101" t="str">
        <f t="shared" si="0"/>
        <v>CLERK</v>
      </c>
      <c r="B13" s="101" t="s">
        <v>570</v>
      </c>
      <c r="C13" s="102" t="s">
        <v>64</v>
      </c>
      <c r="D13" s="101" t="s">
        <v>30</v>
      </c>
      <c r="E13" s="101" t="s">
        <v>63</v>
      </c>
      <c r="F13" s="103" t="str">
        <f>IF(E13="","",IFERROR(IF(INDEX('Dashboard Items'!$B$2:$B$495,MATCH(E13,'Dashboard Items'!$A$2:$A$495,0))="Objective","Objectives go in the next column",IF(OR(D13="",INDEX('Dashboard Items'!$B$2:$B$495,MATCH(E13,'Dashboard Items'!$A$2:$A$495,0))=D13),INDEX('Dashboard Items'!$C$2:$C$495,MATCH(E13,'Dashboard Items'!$A$2:$A$495,0)),"Level does not match ID")),"ID not found"))</f>
        <v>Licensing</v>
      </c>
      <c r="G13" s="104" t="s">
        <v>566</v>
      </c>
      <c r="H13" s="103" t="str">
        <f>IF(G13="","",IF(ISNUMBER(SEARCH(",",G13)),"Several items (the script lists them)",IFERROR(INDEX('Dashboard Items'!$B$2:$B$495,MATCH(G13,'Dashboard Items'!$A$2:$A$495,0))&amp;": "&amp;INDEX('Dashboard Items'!$C$2:$C$495,MATCH(G13,'Dashboard Items'!$A$2:$A$495,0)),"ID not found")))</f>
        <v>Key Service: City Clerk &amp; Records Management</v>
      </c>
      <c r="I13" s="101"/>
      <c r="J13" s="101"/>
      <c r="K13" s="101"/>
      <c r="L13" s="101"/>
      <c r="M13" s="101"/>
      <c r="N13" s="101"/>
      <c r="O13" s="101"/>
      <c r="P13" s="101"/>
      <c r="Q13" s="101"/>
      <c r="R13" s="101"/>
      <c r="S13" s="101"/>
      <c r="T13" s="101"/>
      <c r="U13" s="99" t="str">
        <f>IF(B13="","",IF(IF(D13&lt;&gt;"",D13,IFERROR(INDEX('Dashboard Items'!$B$2:$B$495,MATCH(E13,'Dashboard Items'!$A$2:$A$495,0)),""))="Key Service",IF(O13="No","Key Service: shown, not counted","Counts in Key Service gauge"),IF(IF(D13&lt;&gt;"",D13,IFERROR(INDEX('Dashboard Items'!$B$2:$B$495,MATCH(E13,'Dashboard Items'!$A$2:$A$495,0)),""))="Program",IF(ISNUMBER(SEARCH("ks",G13)),IF(O13="No","Program, also at Key Service: not counted","Counts in Key Service gauge + sets Program chip"),IF(O13="No","Program: shown, no status chip","Sets Program status chip")),IF(IF(D13&lt;&gt;"",D13,IFERROR(INDEX('Dashboard Items'!$B$2:$B$495,MATCH(E13,'Dashboard Items'!$A$2:$A$495,0)),""))="Work System","Work System: shown, not counted","Check Level"))))</f>
        <v>Counts in Key Service gauge + sets Program chip</v>
      </c>
    </row>
    <row r="14" spans="1:21" s="94" customFormat="1" ht="15.75" customHeight="1" x14ac:dyDescent="0.2">
      <c r="A14" s="101" t="str">
        <f t="shared" si="0"/>
        <v>CLERK</v>
      </c>
      <c r="B14" s="101" t="s">
        <v>571</v>
      </c>
      <c r="C14" s="102" t="s">
        <v>57</v>
      </c>
      <c r="D14" s="101" t="s">
        <v>30</v>
      </c>
      <c r="E14" s="101" t="s">
        <v>54</v>
      </c>
      <c r="F14" s="103" t="str">
        <f>IF(E14="","",IFERROR(IF(INDEX('Dashboard Items'!$B$2:$B$495,MATCH(E14,'Dashboard Items'!$A$2:$A$495,0))="Objective","Objectives go in the next column",IF(OR(D14="",INDEX('Dashboard Items'!$B$2:$B$495,MATCH(E14,'Dashboard Items'!$A$2:$A$495,0))=D14),INDEX('Dashboard Items'!$C$2:$C$495,MATCH(E14,'Dashboard Items'!$A$2:$A$495,0)),"Level does not match ID")),"ID not found"))</f>
        <v>Elections Administration</v>
      </c>
      <c r="G14" s="104"/>
      <c r="H14" s="103" t="str">
        <f>IF(G14="","",IF(ISNUMBER(SEARCH(",",G14)),"Several items (the script lists them)",IFERROR(INDEX('Dashboard Items'!$B$2:$B$495,MATCH(G14,'Dashboard Items'!$A$2:$A$495,0))&amp;": "&amp;INDEX('Dashboard Items'!$C$2:$C$495,MATCH(G14,'Dashboard Items'!$A$2:$A$495,0)),"ID not found")))</f>
        <v/>
      </c>
      <c r="I14" s="101"/>
      <c r="J14" s="101"/>
      <c r="K14" s="101"/>
      <c r="L14" s="101"/>
      <c r="M14" s="101"/>
      <c r="N14" s="101"/>
      <c r="O14" s="101"/>
      <c r="P14" s="101"/>
      <c r="Q14" s="101"/>
      <c r="R14" s="101"/>
      <c r="S14" s="101"/>
      <c r="T14" s="101"/>
      <c r="U14" s="99" t="str">
        <f>IF(B14="","",IF(IF(D14&lt;&gt;"",D14,IFERROR(INDEX('Dashboard Items'!$B$2:$B$495,MATCH(E14,'Dashboard Items'!$A$2:$A$495,0)),""))="Key Service",IF(O14="No","Key Service: shown, not counted","Counts in Key Service gauge"),IF(IF(D14&lt;&gt;"",D14,IFERROR(INDEX('Dashboard Items'!$B$2:$B$495,MATCH(E14,'Dashboard Items'!$A$2:$A$495,0)),""))="Program",IF(ISNUMBER(SEARCH("ks",G14)),IF(O14="No","Program, also at Key Service: not counted","Counts in Key Service gauge + sets Program chip"),IF(O14="No","Program: shown, no status chip","Sets Program status chip")),IF(IF(D14&lt;&gt;"",D14,IFERROR(INDEX('Dashboard Items'!$B$2:$B$495,MATCH(E14,'Dashboard Items'!$A$2:$A$495,0)),""))="Work System","Work System: shown, not counted","Check Level"))))</f>
        <v>Sets Program status chip</v>
      </c>
    </row>
    <row r="15" spans="1:21" s="94" customFormat="1" ht="15.75" customHeight="1" x14ac:dyDescent="0.2">
      <c r="A15" s="101" t="str">
        <f t="shared" si="0"/>
        <v>CLERK</v>
      </c>
      <c r="B15" s="101" t="s">
        <v>572</v>
      </c>
      <c r="C15" s="102" t="s">
        <v>56</v>
      </c>
      <c r="D15" s="101" t="s">
        <v>30</v>
      </c>
      <c r="E15" s="101" t="s">
        <v>54</v>
      </c>
      <c r="F15" s="103" t="str">
        <f>IF(E15="","",IFERROR(IF(INDEX('Dashboard Items'!$B$2:$B$495,MATCH(E15,'Dashboard Items'!$A$2:$A$495,0))="Objective","Objectives go in the next column",IF(OR(D15="",INDEX('Dashboard Items'!$B$2:$B$495,MATCH(E15,'Dashboard Items'!$A$2:$A$495,0))=D15),INDEX('Dashboard Items'!$C$2:$C$495,MATCH(E15,'Dashboard Items'!$A$2:$A$495,0)),"Level does not match ID")),"ID not found"))</f>
        <v>Elections Administration</v>
      </c>
      <c r="G15" s="104"/>
      <c r="H15" s="103" t="str">
        <f>IF(G15="","",IF(ISNUMBER(SEARCH(",",G15)),"Several items (the script lists them)",IFERROR(INDEX('Dashboard Items'!$B$2:$B$495,MATCH(G15,'Dashboard Items'!$A$2:$A$495,0))&amp;": "&amp;INDEX('Dashboard Items'!$C$2:$C$495,MATCH(G15,'Dashboard Items'!$A$2:$A$495,0)),"ID not found")))</f>
        <v/>
      </c>
      <c r="I15" s="101"/>
      <c r="J15" s="101"/>
      <c r="K15" s="101"/>
      <c r="L15" s="101"/>
      <c r="M15" s="101"/>
      <c r="N15" s="101"/>
      <c r="O15" s="101"/>
      <c r="P15" s="101"/>
      <c r="Q15" s="101"/>
      <c r="R15" s="101"/>
      <c r="S15" s="101"/>
      <c r="T15" s="101"/>
      <c r="U15" s="99" t="str">
        <f>IF(B15="","",IF(IF(D15&lt;&gt;"",D15,IFERROR(INDEX('Dashboard Items'!$B$2:$B$495,MATCH(E15,'Dashboard Items'!$A$2:$A$495,0)),""))="Key Service",IF(O15="No","Key Service: shown, not counted","Counts in Key Service gauge"),IF(IF(D15&lt;&gt;"",D15,IFERROR(INDEX('Dashboard Items'!$B$2:$B$495,MATCH(E15,'Dashboard Items'!$A$2:$A$495,0)),""))="Program",IF(ISNUMBER(SEARCH("ks",G15)),IF(O15="No","Program, also at Key Service: not counted","Counts in Key Service gauge + sets Program chip"),IF(O15="No","Program: shown, no status chip","Sets Program status chip")),IF(IF(D15&lt;&gt;"",D15,IFERROR(INDEX('Dashboard Items'!$B$2:$B$495,MATCH(E15,'Dashboard Items'!$A$2:$A$495,0)),""))="Work System","Work System: shown, not counted","Check Level"))))</f>
        <v>Sets Program status chip</v>
      </c>
    </row>
    <row r="16" spans="1:21" s="94" customFormat="1" ht="15.75" customHeight="1" x14ac:dyDescent="0.2">
      <c r="A16" s="101" t="str">
        <f t="shared" si="0"/>
        <v>CLERK</v>
      </c>
      <c r="B16" s="101" t="s">
        <v>573</v>
      </c>
      <c r="C16" s="102" t="s">
        <v>574</v>
      </c>
      <c r="D16" s="101" t="s">
        <v>30</v>
      </c>
      <c r="E16" s="101" t="s">
        <v>245</v>
      </c>
      <c r="F16" s="103" t="str">
        <f>IF(E16="","",IFERROR(IF(INDEX('Dashboard Items'!$B$2:$B$495,MATCH(E16,'Dashboard Items'!$A$2:$A$495,0))="Objective","Objectives go in the next column",IF(OR(D16="",INDEX('Dashboard Items'!$B$2:$B$495,MATCH(E16,'Dashboard Items'!$A$2:$A$495,0))=D16),INDEX('Dashboard Items'!$C$2:$C$495,MATCH(E16,'Dashboard Items'!$A$2:$A$495,0)),"Level does not match ID")),"ID not found"))</f>
        <v>Specialty Court</v>
      </c>
      <c r="G16" s="104" t="s">
        <v>575</v>
      </c>
      <c r="H16" s="103" t="str">
        <f>IF(G16="","",IF(ISNUMBER(SEARCH(",",G16)),"Several items (the script lists them)",IFERROR(INDEX('Dashboard Items'!$B$2:$B$495,MATCH(G16,'Dashboard Items'!$A$2:$A$495,0))&amp;": "&amp;INDEX('Dashboard Items'!$C$2:$C$495,MATCH(G16,'Dashboard Items'!$A$2:$A$495,0)),"ID not found")))</f>
        <v>Key Service: Municipal Court</v>
      </c>
      <c r="I16" s="101"/>
      <c r="J16" s="101"/>
      <c r="K16" s="101"/>
      <c r="L16" s="101"/>
      <c r="M16" s="101"/>
      <c r="N16" s="101"/>
      <c r="O16" s="101"/>
      <c r="P16" s="101"/>
      <c r="Q16" s="101"/>
      <c r="R16" s="101"/>
      <c r="S16" s="101"/>
      <c r="T16" s="101"/>
      <c r="U16" s="99" t="str">
        <f>IF(B16="","",IF(IF(D16&lt;&gt;"",D16,IFERROR(INDEX('Dashboard Items'!$B$2:$B$495,MATCH(E16,'Dashboard Items'!$A$2:$A$495,0)),""))="Key Service",IF(O16="No","Key Service: shown, not counted","Counts in Key Service gauge"),IF(IF(D16&lt;&gt;"",D16,IFERROR(INDEX('Dashboard Items'!$B$2:$B$495,MATCH(E16,'Dashboard Items'!$A$2:$A$495,0)),""))="Program",IF(ISNUMBER(SEARCH("ks",G16)),IF(O16="No","Program, also at Key Service: not counted","Counts in Key Service gauge + sets Program chip"),IF(O16="No","Program: shown, no status chip","Sets Program status chip")),IF(IF(D16&lt;&gt;"",D16,IFERROR(INDEX('Dashboard Items'!$B$2:$B$495,MATCH(E16,'Dashboard Items'!$A$2:$A$495,0)),""))="Work System","Work System: shown, not counted","Check Level"))))</f>
        <v>Counts in Key Service gauge + sets Program chip</v>
      </c>
    </row>
    <row r="17" spans="1:21" s="94" customFormat="1" ht="15.75" customHeight="1" x14ac:dyDescent="0.2">
      <c r="A17" s="101" t="str">
        <f t="shared" si="0"/>
        <v>CLERK</v>
      </c>
      <c r="B17" s="101" t="s">
        <v>576</v>
      </c>
      <c r="C17" s="102" t="s">
        <v>55</v>
      </c>
      <c r="D17" s="101" t="s">
        <v>30</v>
      </c>
      <c r="E17" s="101" t="s">
        <v>54</v>
      </c>
      <c r="F17" s="103" t="str">
        <f>IF(E17="","",IFERROR(IF(INDEX('Dashboard Items'!$B$2:$B$495,MATCH(E17,'Dashboard Items'!$A$2:$A$495,0))="Objective","Objectives go in the next column",IF(OR(D17="",INDEX('Dashboard Items'!$B$2:$B$495,MATCH(E17,'Dashboard Items'!$A$2:$A$495,0))=D17),INDEX('Dashboard Items'!$C$2:$C$495,MATCH(E17,'Dashboard Items'!$A$2:$A$495,0)),"Level does not match ID")),"ID not found"))</f>
        <v>Elections Administration</v>
      </c>
      <c r="G17" s="104" t="s">
        <v>566</v>
      </c>
      <c r="H17" s="103" t="str">
        <f>IF(G17="","",IF(ISNUMBER(SEARCH(",",G17)),"Several items (the script lists them)",IFERROR(INDEX('Dashboard Items'!$B$2:$B$495,MATCH(G17,'Dashboard Items'!$A$2:$A$495,0))&amp;": "&amp;INDEX('Dashboard Items'!$C$2:$C$495,MATCH(G17,'Dashboard Items'!$A$2:$A$495,0)),"ID not found")))</f>
        <v>Key Service: City Clerk &amp; Records Management</v>
      </c>
      <c r="I17" s="101"/>
      <c r="J17" s="101"/>
      <c r="K17" s="101"/>
      <c r="L17" s="101"/>
      <c r="M17" s="101"/>
      <c r="N17" s="101"/>
      <c r="O17" s="101"/>
      <c r="P17" s="101"/>
      <c r="Q17" s="101"/>
      <c r="R17" s="101"/>
      <c r="S17" s="101"/>
      <c r="T17" s="101"/>
      <c r="U17" s="99" t="str">
        <f>IF(B17="","",IF(IF(D17&lt;&gt;"",D17,IFERROR(INDEX('Dashboard Items'!$B$2:$B$495,MATCH(E17,'Dashboard Items'!$A$2:$A$495,0)),""))="Key Service",IF(O17="No","Key Service: shown, not counted","Counts in Key Service gauge"),IF(IF(D17&lt;&gt;"",D17,IFERROR(INDEX('Dashboard Items'!$B$2:$B$495,MATCH(E17,'Dashboard Items'!$A$2:$A$495,0)),""))="Program",IF(ISNUMBER(SEARCH("ks",G17)),IF(O17="No","Program, also at Key Service: not counted","Counts in Key Service gauge + sets Program chip"),IF(O17="No","Program: shown, no status chip","Sets Program status chip")),IF(IF(D17&lt;&gt;"",D17,IFERROR(INDEX('Dashboard Items'!$B$2:$B$495,MATCH(E17,'Dashboard Items'!$A$2:$A$495,0)),""))="Work System","Work System: shown, not counted","Check Level"))))</f>
        <v>Counts in Key Service gauge + sets Program chip</v>
      </c>
    </row>
    <row r="18" spans="1:21" s="94" customFormat="1" ht="15.75" customHeight="1" x14ac:dyDescent="0.2">
      <c r="A18" s="95" t="str">
        <f t="shared" si="0"/>
        <v>HR</v>
      </c>
      <c r="B18" s="95" t="s">
        <v>577</v>
      </c>
      <c r="C18" s="105" t="s">
        <v>129</v>
      </c>
      <c r="D18" s="95" t="s">
        <v>30</v>
      </c>
      <c r="E18" s="95" t="s">
        <v>124</v>
      </c>
      <c r="F18" s="97" t="str">
        <f>IF(E18="","",IFERROR(IF(INDEX('Dashboard Items'!$B$2:$B$495,MATCH(E18,'Dashboard Items'!$A$2:$A$495,0))="Objective","Objectives go in the next column",IF(OR(D18="",INDEX('Dashboard Items'!$B$2:$B$495,MATCH(E18,'Dashboard Items'!$A$2:$A$495,0))=D18),INDEX('Dashboard Items'!$C$2:$C$495,MATCH(E18,'Dashboard Items'!$A$2:$A$495,0)),"Level does not match ID")),"ID not found"))</f>
        <v>Risk Management</v>
      </c>
      <c r="G18" s="98"/>
      <c r="H18" s="97" t="str">
        <f>IF(G18="","",IF(ISNUMBER(SEARCH(",",G18)),"Several items (the script lists them)",IFERROR(INDEX('Dashboard Items'!$B$2:$B$495,MATCH(G18,'Dashboard Items'!$A$2:$A$495,0))&amp;": "&amp;INDEX('Dashboard Items'!$C$2:$C$495,MATCH(G18,'Dashboard Items'!$A$2:$A$495,0)),"ID not found")))</f>
        <v/>
      </c>
      <c r="I18" s="95"/>
      <c r="J18" s="95"/>
      <c r="K18" s="95"/>
      <c r="L18" s="95"/>
      <c r="M18" s="95"/>
      <c r="N18" s="95"/>
      <c r="O18" s="95"/>
      <c r="P18" s="95"/>
      <c r="Q18" s="95"/>
      <c r="R18" s="95"/>
      <c r="S18" s="95"/>
      <c r="T18" s="95"/>
      <c r="U18" s="99" t="str">
        <f>IF(B18="","",IF(IF(D18&lt;&gt;"",D18,IFERROR(INDEX('Dashboard Items'!$B$2:$B$495,MATCH(E18,'Dashboard Items'!$A$2:$A$495,0)),""))="Key Service",IF(O18="No","Key Service: shown, not counted","Counts in Key Service gauge"),IF(IF(D18&lt;&gt;"",D18,IFERROR(INDEX('Dashboard Items'!$B$2:$B$495,MATCH(E18,'Dashboard Items'!$A$2:$A$495,0)),""))="Program",IF(ISNUMBER(SEARCH("ks",G18)),IF(O18="No","Program, also at Key Service: not counted","Counts in Key Service gauge + sets Program chip"),IF(O18="No","Program: shown, no status chip","Sets Program status chip")),IF(IF(D18&lt;&gt;"",D18,IFERROR(INDEX('Dashboard Items'!$B$2:$B$495,MATCH(E18,'Dashboard Items'!$A$2:$A$495,0)),""))="Work System","Work System: shown, not counted","Check Level"))))</f>
        <v>Sets Program status chip</v>
      </c>
    </row>
    <row r="19" spans="1:21" s="94" customFormat="1" ht="15.75" customHeight="1" x14ac:dyDescent="0.2">
      <c r="A19" s="95" t="str">
        <f t="shared" si="0"/>
        <v>HR</v>
      </c>
      <c r="B19" s="95" t="s">
        <v>578</v>
      </c>
      <c r="C19" s="105" t="s">
        <v>108</v>
      </c>
      <c r="D19" s="95" t="s">
        <v>30</v>
      </c>
      <c r="E19" s="95" t="s">
        <v>105</v>
      </c>
      <c r="F19" s="97" t="str">
        <f>IF(E19="","",IFERROR(IF(INDEX('Dashboard Items'!$B$2:$B$495,MATCH(E19,'Dashboard Items'!$A$2:$A$495,0))="Objective","Objectives go in the next column",IF(OR(D19="",INDEX('Dashboard Items'!$B$2:$B$495,MATCH(E19,'Dashboard Items'!$A$2:$A$495,0))=D19),INDEX('Dashboard Items'!$C$2:$C$495,MATCH(E19,'Dashboard Items'!$A$2:$A$495,0)),"Level does not match ID")),"ID not found"))</f>
        <v>Recruitment &amp; Retention</v>
      </c>
      <c r="G19" s="98"/>
      <c r="H19" s="97" t="str">
        <f>IF(G19="","",IF(ISNUMBER(SEARCH(",",G19)),"Several items (the script lists them)",IFERROR(INDEX('Dashboard Items'!$B$2:$B$495,MATCH(G19,'Dashboard Items'!$A$2:$A$495,0))&amp;": "&amp;INDEX('Dashboard Items'!$C$2:$C$495,MATCH(G19,'Dashboard Items'!$A$2:$A$495,0)),"ID not found")))</f>
        <v/>
      </c>
      <c r="I19" s="95"/>
      <c r="J19" s="95"/>
      <c r="K19" s="95"/>
      <c r="L19" s="95"/>
      <c r="M19" s="95"/>
      <c r="N19" s="95"/>
      <c r="O19" s="95"/>
      <c r="P19" s="95"/>
      <c r="Q19" s="95" t="s">
        <v>579</v>
      </c>
      <c r="R19" s="95"/>
      <c r="S19" s="95"/>
      <c r="T19" s="95"/>
      <c r="U19" s="99" t="str">
        <f>IF(B19="","",IF(IF(D19&lt;&gt;"",D19,IFERROR(INDEX('Dashboard Items'!$B$2:$B$495,MATCH(E19,'Dashboard Items'!$A$2:$A$495,0)),""))="Key Service",IF(O19="No","Key Service: shown, not counted","Counts in Key Service gauge"),IF(IF(D19&lt;&gt;"",D19,IFERROR(INDEX('Dashboard Items'!$B$2:$B$495,MATCH(E19,'Dashboard Items'!$A$2:$A$495,0)),""))="Program",IF(ISNUMBER(SEARCH("ks",G19)),IF(O19="No","Program, also at Key Service: not counted","Counts in Key Service gauge + sets Program chip"),IF(O19="No","Program: shown, no status chip","Sets Program status chip")),IF(IF(D19&lt;&gt;"",D19,IFERROR(INDEX('Dashboard Items'!$B$2:$B$495,MATCH(E19,'Dashboard Items'!$A$2:$A$495,0)),""))="Work System","Work System: shown, not counted","Check Level"))))</f>
        <v>Sets Program status chip</v>
      </c>
    </row>
    <row r="20" spans="1:21" s="94" customFormat="1" ht="15.75" customHeight="1" x14ac:dyDescent="0.2">
      <c r="A20" s="95" t="str">
        <f t="shared" si="0"/>
        <v>HR</v>
      </c>
      <c r="B20" s="95" t="s">
        <v>580</v>
      </c>
      <c r="C20" s="105" t="s">
        <v>101</v>
      </c>
      <c r="D20" s="95" t="s">
        <v>30</v>
      </c>
      <c r="E20" s="95" t="s">
        <v>100</v>
      </c>
      <c r="F20" s="97" t="str">
        <f>IF(E20="","",IFERROR(IF(INDEX('Dashboard Items'!$B$2:$B$495,MATCH(E20,'Dashboard Items'!$A$2:$A$495,0))="Objective","Objectives go in the next column",IF(OR(D20="",INDEX('Dashboard Items'!$B$2:$B$495,MATCH(E20,'Dashboard Items'!$A$2:$A$495,0))=D20),INDEX('Dashboard Items'!$C$2:$C$495,MATCH(E20,'Dashboard Items'!$A$2:$A$495,0)),"Level does not match ID")),"ID not found"))</f>
        <v>Learning &amp; Development</v>
      </c>
      <c r="G20" s="98"/>
      <c r="H20" s="97" t="str">
        <f>IF(G20="","",IF(ISNUMBER(SEARCH(",",G20)),"Several items (the script lists them)",IFERROR(INDEX('Dashboard Items'!$B$2:$B$495,MATCH(G20,'Dashboard Items'!$A$2:$A$495,0))&amp;": "&amp;INDEX('Dashboard Items'!$C$2:$C$495,MATCH(G20,'Dashboard Items'!$A$2:$A$495,0)),"ID not found")))</f>
        <v/>
      </c>
      <c r="I20" s="95"/>
      <c r="J20" s="95"/>
      <c r="K20" s="95"/>
      <c r="L20" s="95"/>
      <c r="M20" s="95"/>
      <c r="N20" s="95"/>
      <c r="O20" s="95"/>
      <c r="P20" s="95"/>
      <c r="Q20" s="95"/>
      <c r="R20" s="95"/>
      <c r="S20" s="95"/>
      <c r="T20" s="95"/>
      <c r="U20" s="99" t="str">
        <f>IF(B20="","",IF(IF(D20&lt;&gt;"",D20,IFERROR(INDEX('Dashboard Items'!$B$2:$B$495,MATCH(E20,'Dashboard Items'!$A$2:$A$495,0)),""))="Key Service",IF(O20="No","Key Service: shown, not counted","Counts in Key Service gauge"),IF(IF(D20&lt;&gt;"",D20,IFERROR(INDEX('Dashboard Items'!$B$2:$B$495,MATCH(E20,'Dashboard Items'!$A$2:$A$495,0)),""))="Program",IF(ISNUMBER(SEARCH("ks",G20)),IF(O20="No","Program, also at Key Service: not counted","Counts in Key Service gauge + sets Program chip"),IF(O20="No","Program: shown, no status chip","Sets Program status chip")),IF(IF(D20&lt;&gt;"",D20,IFERROR(INDEX('Dashboard Items'!$B$2:$B$495,MATCH(E20,'Dashboard Items'!$A$2:$A$495,0)),""))="Work System","Work System: shown, not counted","Check Level"))))</f>
        <v>Sets Program status chip</v>
      </c>
    </row>
    <row r="21" spans="1:21" s="94" customFormat="1" ht="15.75" customHeight="1" x14ac:dyDescent="0.2">
      <c r="A21" s="95" t="str">
        <f t="shared" si="0"/>
        <v>HR</v>
      </c>
      <c r="B21" s="95" t="s">
        <v>581</v>
      </c>
      <c r="C21" s="105" t="s">
        <v>119</v>
      </c>
      <c r="D21" s="95" t="s">
        <v>30</v>
      </c>
      <c r="E21" s="95" t="s">
        <v>117</v>
      </c>
      <c r="F21" s="97" t="str">
        <f>IF(E21="","",IFERROR(IF(INDEX('Dashboard Items'!$B$2:$B$495,MATCH(E21,'Dashboard Items'!$A$2:$A$495,0))="Objective","Objectives go in the next column",IF(OR(D21="",INDEX('Dashboard Items'!$B$2:$B$495,MATCH(E21,'Dashboard Items'!$A$2:$A$495,0))=D21),INDEX('Dashboard Items'!$C$2:$C$495,MATCH(E21,'Dashboard Items'!$A$2:$A$495,0)),"Level does not match ID")),"ID not found"))</f>
        <v>Compensation &amp; Benefits</v>
      </c>
      <c r="G21" s="98"/>
      <c r="H21" s="97" t="str">
        <f>IF(G21="","",IF(ISNUMBER(SEARCH(",",G21)),"Several items (the script lists them)",IFERROR(INDEX('Dashboard Items'!$B$2:$B$495,MATCH(G21,'Dashboard Items'!$A$2:$A$495,0))&amp;": "&amp;INDEX('Dashboard Items'!$C$2:$C$495,MATCH(G21,'Dashboard Items'!$A$2:$A$495,0)),"ID not found")))</f>
        <v/>
      </c>
      <c r="I21" s="95"/>
      <c r="J21" s="95"/>
      <c r="K21" s="95"/>
      <c r="L21" s="95"/>
      <c r="M21" s="95"/>
      <c r="N21" s="95"/>
      <c r="O21" s="95"/>
      <c r="P21" s="95"/>
      <c r="Q21" s="95"/>
      <c r="R21" s="95"/>
      <c r="S21" s="95"/>
      <c r="T21" s="95"/>
      <c r="U21" s="99" t="str">
        <f>IF(B21="","",IF(IF(D21&lt;&gt;"",D21,IFERROR(INDEX('Dashboard Items'!$B$2:$B$495,MATCH(E21,'Dashboard Items'!$A$2:$A$495,0)),""))="Key Service",IF(O21="No","Key Service: shown, not counted","Counts in Key Service gauge"),IF(IF(D21&lt;&gt;"",D21,IFERROR(INDEX('Dashboard Items'!$B$2:$B$495,MATCH(E21,'Dashboard Items'!$A$2:$A$495,0)),""))="Program",IF(ISNUMBER(SEARCH("ks",G21)),IF(O21="No","Program, also at Key Service: not counted","Counts in Key Service gauge + sets Program chip"),IF(O21="No","Program: shown, no status chip","Sets Program status chip")),IF(IF(D21&lt;&gt;"",D21,IFERROR(INDEX('Dashboard Items'!$B$2:$B$495,MATCH(E21,'Dashboard Items'!$A$2:$A$495,0)),""))="Work System","Work System: shown, not counted","Check Level"))))</f>
        <v>Sets Program status chip</v>
      </c>
    </row>
    <row r="22" spans="1:21" s="107" customFormat="1" ht="15.75" customHeight="1" x14ac:dyDescent="0.2">
      <c r="A22" s="95" t="str">
        <f t="shared" si="0"/>
        <v>HR</v>
      </c>
      <c r="B22" s="106" t="s">
        <v>582</v>
      </c>
      <c r="C22" s="105" t="s">
        <v>125</v>
      </c>
      <c r="D22" s="95" t="s">
        <v>30</v>
      </c>
      <c r="E22" s="95" t="s">
        <v>124</v>
      </c>
      <c r="F22" s="97" t="str">
        <f>IF(E22="","",IFERROR(IF(INDEX('Dashboard Items'!$B$2:$B$495,MATCH(E22,'Dashboard Items'!$A$2:$A$495,0))="Objective","Objectives go in the next column",IF(OR(D22="",INDEX('Dashboard Items'!$B$2:$B$495,MATCH(E22,'Dashboard Items'!$A$2:$A$495,0))=D22),INDEX('Dashboard Items'!$C$2:$C$495,MATCH(E22,'Dashboard Items'!$A$2:$A$495,0)),"Level does not match ID")),"ID not found"))</f>
        <v>Risk Management</v>
      </c>
      <c r="G22" s="98"/>
      <c r="H22" s="97" t="str">
        <f>IF(G22="","",IF(ISNUMBER(SEARCH(",",G22)),"Several items (the script lists them)",IFERROR(INDEX('Dashboard Items'!$B$2:$B$495,MATCH(G22,'Dashboard Items'!$A$2:$A$495,0))&amp;": "&amp;INDEX('Dashboard Items'!$C$2:$C$495,MATCH(G22,'Dashboard Items'!$A$2:$A$495,0)),"ID not found")))</f>
        <v/>
      </c>
      <c r="I22" s="95"/>
      <c r="J22" s="95"/>
      <c r="K22" s="95"/>
      <c r="L22" s="95"/>
      <c r="M22" s="95"/>
      <c r="N22" s="95"/>
      <c r="O22" s="95"/>
      <c r="P22" s="95"/>
      <c r="Q22" s="95"/>
      <c r="R22" s="95"/>
      <c r="S22" s="95"/>
      <c r="T22" s="95"/>
      <c r="U22" s="99" t="str">
        <f>IF(B22="","",IF(IF(D22&lt;&gt;"",D22,IFERROR(INDEX('Dashboard Items'!$B$2:$B$495,MATCH(E22,'Dashboard Items'!$A$2:$A$495,0)),""))="Key Service",IF(O22="No","Key Service: shown, not counted","Counts in Key Service gauge"),IF(IF(D22&lt;&gt;"",D22,IFERROR(INDEX('Dashboard Items'!$B$2:$B$495,MATCH(E22,'Dashboard Items'!$A$2:$A$495,0)),""))="Program",IF(ISNUMBER(SEARCH("ks",G22)),IF(O22="No","Program, also at Key Service: not counted","Counts in Key Service gauge + sets Program chip"),IF(O22="No","Program: shown, no status chip","Sets Program status chip")),IF(IF(D22&lt;&gt;"",D22,IFERROR(INDEX('Dashboard Items'!$B$2:$B$495,MATCH(E22,'Dashboard Items'!$A$2:$A$495,0)),""))="Work System","Work System: shown, not counted","Check Level"))))</f>
        <v>Sets Program status chip</v>
      </c>
    </row>
    <row r="23" spans="1:21" s="107" customFormat="1" ht="15.75" customHeight="1" x14ac:dyDescent="0.2">
      <c r="A23" s="95" t="str">
        <f t="shared" si="0"/>
        <v>HR</v>
      </c>
      <c r="B23" s="108" t="s">
        <v>583</v>
      </c>
      <c r="C23" s="105" t="s">
        <v>126</v>
      </c>
      <c r="D23" s="95" t="s">
        <v>30</v>
      </c>
      <c r="E23" s="95" t="s">
        <v>124</v>
      </c>
      <c r="F23" s="97" t="str">
        <f>IF(E23="","",IFERROR(IF(INDEX('Dashboard Items'!$B$2:$B$495,MATCH(E23,'Dashboard Items'!$A$2:$A$495,0))="Objective","Objectives go in the next column",IF(OR(D23="",INDEX('Dashboard Items'!$B$2:$B$495,MATCH(E23,'Dashboard Items'!$A$2:$A$495,0))=D23),INDEX('Dashboard Items'!$C$2:$C$495,MATCH(E23,'Dashboard Items'!$A$2:$A$495,0)),"Level does not match ID")),"ID not found"))</f>
        <v>Risk Management</v>
      </c>
      <c r="G23" s="98"/>
      <c r="H23" s="97" t="str">
        <f>IF(G23="","",IF(ISNUMBER(SEARCH(",",G23)),"Several items (the script lists them)",IFERROR(INDEX('Dashboard Items'!$B$2:$B$495,MATCH(G23,'Dashboard Items'!$A$2:$A$495,0))&amp;": "&amp;INDEX('Dashboard Items'!$C$2:$C$495,MATCH(G23,'Dashboard Items'!$A$2:$A$495,0)),"ID not found")))</f>
        <v/>
      </c>
      <c r="I23" s="95"/>
      <c r="J23" s="95"/>
      <c r="K23" s="95"/>
      <c r="L23" s="95"/>
      <c r="M23" s="95"/>
      <c r="N23" s="95"/>
      <c r="O23" s="95"/>
      <c r="P23" s="95"/>
      <c r="Q23" s="95"/>
      <c r="R23" s="95"/>
      <c r="S23" s="95"/>
      <c r="T23" s="95"/>
      <c r="U23" s="99" t="str">
        <f>IF(B23="","",IF(IF(D23&lt;&gt;"",D23,IFERROR(INDEX('Dashboard Items'!$B$2:$B$495,MATCH(E23,'Dashboard Items'!$A$2:$A$495,0)),""))="Key Service",IF(O23="No","Key Service: shown, not counted","Counts in Key Service gauge"),IF(IF(D23&lt;&gt;"",D23,IFERROR(INDEX('Dashboard Items'!$B$2:$B$495,MATCH(E23,'Dashboard Items'!$A$2:$A$495,0)),""))="Program",IF(ISNUMBER(SEARCH("ks",G23)),IF(O23="No","Program, also at Key Service: not counted","Counts in Key Service gauge + sets Program chip"),IF(O23="No","Program: shown, no status chip","Sets Program status chip")),IF(IF(D23&lt;&gt;"",D23,IFERROR(INDEX('Dashboard Items'!$B$2:$B$495,MATCH(E23,'Dashboard Items'!$A$2:$A$495,0)),""))="Work System","Work System: shown, not counted","Check Level"))))</f>
        <v>Sets Program status chip</v>
      </c>
    </row>
    <row r="24" spans="1:21" s="107" customFormat="1" ht="15" customHeight="1" x14ac:dyDescent="0.2">
      <c r="A24" s="95" t="str">
        <f t="shared" si="0"/>
        <v>HR</v>
      </c>
      <c r="B24" s="95" t="s">
        <v>584</v>
      </c>
      <c r="C24" s="105" t="s">
        <v>585</v>
      </c>
      <c r="D24" s="95" t="s">
        <v>29</v>
      </c>
      <c r="E24" s="95" t="s">
        <v>586</v>
      </c>
      <c r="F24" s="97" t="str">
        <f>IF(E24="","",IFERROR(IF(INDEX('Dashboard Items'!$B$2:$B$495,MATCH(E24,'Dashboard Items'!$A$2:$A$495,0))="Objective","Objectives go in the next column",IF(OR(D24="",INDEX('Dashboard Items'!$B$2:$B$495,MATCH(E24,'Dashboard Items'!$A$2:$A$495,0))=D24),INDEX('Dashboard Items'!$C$2:$C$495,MATCH(E24,'Dashboard Items'!$A$2:$A$495,0)),"Level does not match ID")),"ID not found"))</f>
        <v>Human Resources &amp; Workforce Development</v>
      </c>
      <c r="G24" s="98" t="s">
        <v>587</v>
      </c>
      <c r="H24" s="97" t="str">
        <f>IF(G24="","",IF(ISNUMBER(SEARCH(",",G24)),"Several items (the script lists them)",IFERROR(INDEX('Dashboard Items'!$B$2:$B$495,MATCH(G24,'Dashboard Items'!$A$2:$A$495,0))&amp;": "&amp;INDEX('Dashboard Items'!$C$2:$C$495,MATCH(G24,'Dashboard Items'!$A$2:$A$495,0)),"ID not found")))</f>
        <v>Several items (the script lists them)</v>
      </c>
      <c r="I24" s="95" t="s">
        <v>588</v>
      </c>
      <c r="J24" s="95">
        <v>1</v>
      </c>
      <c r="K24" s="95" t="s">
        <v>551</v>
      </c>
      <c r="L24" s="95" t="s">
        <v>552</v>
      </c>
      <c r="M24" s="95">
        <v>5</v>
      </c>
      <c r="N24" s="95">
        <v>15</v>
      </c>
      <c r="O24" s="95" t="s">
        <v>551</v>
      </c>
      <c r="P24" s="95" t="s">
        <v>589</v>
      </c>
      <c r="Q24" s="95" t="s">
        <v>590</v>
      </c>
      <c r="R24" s="95" t="s">
        <v>591</v>
      </c>
      <c r="S24" s="95" t="s">
        <v>592</v>
      </c>
      <c r="T24" s="95"/>
      <c r="U24" s="99" t="str">
        <f>IF(B24="","",IF(IF(D24&lt;&gt;"",D24,IFERROR(INDEX('Dashboard Items'!$B$2:$B$495,MATCH(E24,'Dashboard Items'!$A$2:$A$495,0)),""))="Key Service",IF(O24="No","Key Service: shown, not counted","Counts in Key Service gauge"),IF(IF(D24&lt;&gt;"",D24,IFERROR(INDEX('Dashboard Items'!$B$2:$B$495,MATCH(E24,'Dashboard Items'!$A$2:$A$495,0)),""))="Program",IF(ISNUMBER(SEARCH("ks",G24)),IF(O24="No","Program, also at Key Service: not counted","Counts in Key Service gauge + sets Program chip"),IF(O24="No","Program: shown, no status chip","Sets Program status chip")),IF(IF(D24&lt;&gt;"",D24,IFERROR(INDEX('Dashboard Items'!$B$2:$B$495,MATCH(E24,'Dashboard Items'!$A$2:$A$495,0)),""))="Work System","Work System: shown, not counted","Check Level"))))</f>
        <v>Counts in Key Service gauge</v>
      </c>
    </row>
    <row r="25" spans="1:21" s="107" customFormat="1" ht="15" customHeight="1" x14ac:dyDescent="0.2">
      <c r="A25" s="95" t="str">
        <f t="shared" si="0"/>
        <v>HR</v>
      </c>
      <c r="B25" s="95" t="s">
        <v>593</v>
      </c>
      <c r="C25" s="105" t="s">
        <v>114</v>
      </c>
      <c r="D25" s="95" t="s">
        <v>29</v>
      </c>
      <c r="E25" s="95" t="s">
        <v>586</v>
      </c>
      <c r="F25" s="97" t="str">
        <f>IF(E25="","",IFERROR(IF(INDEX('Dashboard Items'!$B$2:$B$495,MATCH(E25,'Dashboard Items'!$A$2:$A$495,0))="Objective","Objectives go in the next column",IF(OR(D25="",INDEX('Dashboard Items'!$B$2:$B$495,MATCH(E25,'Dashboard Items'!$A$2:$A$495,0))=D25),INDEX('Dashboard Items'!$C$2:$C$495,MATCH(E25,'Dashboard Items'!$A$2:$A$495,0)),"Level does not match ID")),"ID not found"))</f>
        <v>Human Resources &amp; Workforce Development</v>
      </c>
      <c r="G25" s="95" t="s">
        <v>105</v>
      </c>
      <c r="H25" s="97" t="str">
        <f>IF(G25="","",IF(ISNUMBER(SEARCH(",",G25)),"Several items (the script lists them)",IFERROR(INDEX('Dashboard Items'!$B$2:$B$495,MATCH(G25,'Dashboard Items'!$A$2:$A$495,0))&amp;": "&amp;INDEX('Dashboard Items'!$C$2:$C$495,MATCH(G25,'Dashboard Items'!$A$2:$A$495,0)),"ID not found")))</f>
        <v>Program: Recruitment &amp; Retention</v>
      </c>
      <c r="I25" s="95"/>
      <c r="J25" s="95"/>
      <c r="K25" s="95"/>
      <c r="L25" s="95"/>
      <c r="M25" s="95"/>
      <c r="N25" s="95"/>
      <c r="O25" s="95"/>
      <c r="P25" s="95"/>
      <c r="Q25" s="95"/>
      <c r="R25" s="95"/>
      <c r="S25" s="95"/>
      <c r="T25" s="95"/>
      <c r="U25" s="99" t="str">
        <f>IF(B25="","",IF(IF(D25&lt;&gt;"",D25,IFERROR(INDEX('Dashboard Items'!$B$2:$B$495,MATCH(E25,'Dashboard Items'!$A$2:$A$495,0)),""))="Key Service",IF(O25="No","Key Service: shown, not counted","Counts in Key Service gauge"),IF(IF(D25&lt;&gt;"",D25,IFERROR(INDEX('Dashboard Items'!$B$2:$B$495,MATCH(E25,'Dashboard Items'!$A$2:$A$495,0)),""))="Program",IF(ISNUMBER(SEARCH("ks",G25)),IF(O25="No","Program, also at Key Service: not counted","Counts in Key Service gauge + sets Program chip"),IF(O25="No","Program: shown, no status chip","Sets Program status chip")),IF(IF(D25&lt;&gt;"",D25,IFERROR(INDEX('Dashboard Items'!$B$2:$B$495,MATCH(E25,'Dashboard Items'!$A$2:$A$495,0)),""))="Work System","Work System: shown, not counted","Check Level"))))</f>
        <v>Counts in Key Service gauge</v>
      </c>
    </row>
    <row r="26" spans="1:21" s="109" customFormat="1" ht="15.75" customHeight="1" x14ac:dyDescent="0.2">
      <c r="A26" s="95" t="str">
        <f t="shared" si="0"/>
        <v>HR</v>
      </c>
      <c r="B26" s="95" t="s">
        <v>594</v>
      </c>
      <c r="C26" s="105" t="s">
        <v>107</v>
      </c>
      <c r="D26" s="95" t="s">
        <v>30</v>
      </c>
      <c r="E26" s="95" t="s">
        <v>105</v>
      </c>
      <c r="F26" s="97" t="str">
        <f>IF(E26="","",IFERROR(IF(INDEX('Dashboard Items'!$B$2:$B$495,MATCH(E26,'Dashboard Items'!$A$2:$A$495,0))="Objective","Objectives go in the next column",IF(OR(D26="",INDEX('Dashboard Items'!$B$2:$B$495,MATCH(E26,'Dashboard Items'!$A$2:$A$495,0))=D26),INDEX('Dashboard Items'!$C$2:$C$495,MATCH(E26,'Dashboard Items'!$A$2:$A$495,0)),"Level does not match ID")),"ID not found"))</f>
        <v>Recruitment &amp; Retention</v>
      </c>
      <c r="G26" s="98"/>
      <c r="H26" s="97" t="str">
        <f>IF(G26="","",IF(ISNUMBER(SEARCH(",",G26)),"Several items (the script lists them)",IFERROR(INDEX('Dashboard Items'!$B$2:$B$495,MATCH(G26,'Dashboard Items'!$A$2:$A$495,0))&amp;": "&amp;INDEX('Dashboard Items'!$C$2:$C$495,MATCH(G26,'Dashboard Items'!$A$2:$A$495,0)),"ID not found")))</f>
        <v/>
      </c>
      <c r="I26" s="95"/>
      <c r="J26" s="95"/>
      <c r="K26" s="95" t="s">
        <v>595</v>
      </c>
      <c r="L26" s="95"/>
      <c r="M26" s="95"/>
      <c r="N26" s="95"/>
      <c r="O26" s="95"/>
      <c r="P26" s="95"/>
      <c r="Q26" s="95" t="s">
        <v>579</v>
      </c>
      <c r="R26" s="95"/>
      <c r="S26" s="95"/>
      <c r="T26" s="95"/>
      <c r="U26" s="99" t="str">
        <f>IF(B26="","",IF(IF(D26&lt;&gt;"",D26,IFERROR(INDEX('Dashboard Items'!$B$2:$B$495,MATCH(E26,'Dashboard Items'!$A$2:$A$495,0)),""))="Key Service",IF(O26="No","Key Service: shown, not counted","Counts in Key Service gauge"),IF(IF(D26&lt;&gt;"",D26,IFERROR(INDEX('Dashboard Items'!$B$2:$B$495,MATCH(E26,'Dashboard Items'!$A$2:$A$495,0)),""))="Program",IF(ISNUMBER(SEARCH("ks",G26)),IF(O26="No","Program, also at Key Service: not counted","Counts in Key Service gauge + sets Program chip"),IF(O26="No","Program: shown, no status chip","Sets Program status chip")),IF(IF(D26&lt;&gt;"",D26,IFERROR(INDEX('Dashboard Items'!$B$2:$B$495,MATCH(E26,'Dashboard Items'!$A$2:$A$495,0)),""))="Work System","Work System: shown, not counted","Check Level"))))</f>
        <v>Sets Program status chip</v>
      </c>
    </row>
    <row r="27" spans="1:21" s="109" customFormat="1" ht="15.75" customHeight="1" x14ac:dyDescent="0.2">
      <c r="A27" s="95" t="str">
        <f t="shared" si="0"/>
        <v>HR</v>
      </c>
      <c r="B27" s="108" t="s">
        <v>596</v>
      </c>
      <c r="C27" s="105" t="s">
        <v>127</v>
      </c>
      <c r="D27" s="95" t="s">
        <v>30</v>
      </c>
      <c r="E27" s="95" t="s">
        <v>124</v>
      </c>
      <c r="F27" s="97" t="str">
        <f>IF(E27="","",IFERROR(IF(INDEX('Dashboard Items'!$B$2:$B$495,MATCH(E27,'Dashboard Items'!$A$2:$A$495,0))="Objective","Objectives go in the next column",IF(OR(D27="",INDEX('Dashboard Items'!$B$2:$B$495,MATCH(E27,'Dashboard Items'!$A$2:$A$495,0))=D27),INDEX('Dashboard Items'!$C$2:$C$495,MATCH(E27,'Dashboard Items'!$A$2:$A$495,0)),"Level does not match ID")),"ID not found"))</f>
        <v>Risk Management</v>
      </c>
      <c r="G27" s="98"/>
      <c r="H27" s="97" t="str">
        <f>IF(G27="","",IF(ISNUMBER(SEARCH(",",G27)),"Several items (the script lists them)",IFERROR(INDEX('Dashboard Items'!$B$2:$B$495,MATCH(G27,'Dashboard Items'!$A$2:$A$495,0))&amp;": "&amp;INDEX('Dashboard Items'!$C$2:$C$495,MATCH(G27,'Dashboard Items'!$A$2:$A$495,0)),"ID not found")))</f>
        <v/>
      </c>
      <c r="I27" s="95"/>
      <c r="J27" s="95"/>
      <c r="K27" s="95"/>
      <c r="L27" s="95"/>
      <c r="M27" s="95"/>
      <c r="N27" s="95"/>
      <c r="O27" s="95"/>
      <c r="P27" s="95"/>
      <c r="Q27" s="95"/>
      <c r="R27" s="95"/>
      <c r="S27" s="95"/>
      <c r="T27" s="95"/>
      <c r="U27" s="99" t="str">
        <f>IF(B27="","",IF(IF(D27&lt;&gt;"",D27,IFERROR(INDEX('Dashboard Items'!$B$2:$B$495,MATCH(E27,'Dashboard Items'!$A$2:$A$495,0)),""))="Key Service",IF(O27="No","Key Service: shown, not counted","Counts in Key Service gauge"),IF(IF(D27&lt;&gt;"",D27,IFERROR(INDEX('Dashboard Items'!$B$2:$B$495,MATCH(E27,'Dashboard Items'!$A$2:$A$495,0)),""))="Program",IF(ISNUMBER(SEARCH("ks",G27)),IF(O27="No","Program, also at Key Service: not counted","Counts in Key Service gauge + sets Program chip"),IF(O27="No","Program: shown, no status chip","Sets Program status chip")),IF(IF(D27&lt;&gt;"",D27,IFERROR(INDEX('Dashboard Items'!$B$2:$B$495,MATCH(E27,'Dashboard Items'!$A$2:$A$495,0)),""))="Work System","Work System: shown, not counted","Check Level"))))</f>
        <v>Sets Program status chip</v>
      </c>
    </row>
    <row r="28" spans="1:21" s="109" customFormat="1" ht="15.75" customHeight="1" x14ac:dyDescent="0.2">
      <c r="A28" s="95" t="str">
        <f t="shared" si="0"/>
        <v>HR</v>
      </c>
      <c r="B28" s="95" t="s">
        <v>597</v>
      </c>
      <c r="C28" s="105" t="s">
        <v>111</v>
      </c>
      <c r="D28" s="95" t="s">
        <v>30</v>
      </c>
      <c r="E28" s="95" t="s">
        <v>105</v>
      </c>
      <c r="F28" s="97" t="str">
        <f>IF(E28="","",IFERROR(IF(INDEX('Dashboard Items'!$B$2:$B$495,MATCH(E28,'Dashboard Items'!$A$2:$A$495,0))="Objective","Objectives go in the next column",IF(OR(D28="",INDEX('Dashboard Items'!$B$2:$B$495,MATCH(E28,'Dashboard Items'!$A$2:$A$495,0))=D28),INDEX('Dashboard Items'!$C$2:$C$495,MATCH(E28,'Dashboard Items'!$A$2:$A$495,0)),"Level does not match ID")),"ID not found"))</f>
        <v>Recruitment &amp; Retention</v>
      </c>
      <c r="G28" s="98"/>
      <c r="H28" s="97" t="str">
        <f>IF(G28="","",IF(ISNUMBER(SEARCH(",",G28)),"Several items (the script lists them)",IFERROR(INDEX('Dashboard Items'!$B$2:$B$495,MATCH(G28,'Dashboard Items'!$A$2:$A$495,0))&amp;": "&amp;INDEX('Dashboard Items'!$C$2:$C$495,MATCH(G28,'Dashboard Items'!$A$2:$A$495,0)),"ID not found")))</f>
        <v/>
      </c>
      <c r="I28" s="95"/>
      <c r="J28" s="95"/>
      <c r="K28" s="95" t="s">
        <v>595</v>
      </c>
      <c r="L28" s="95"/>
      <c r="M28" s="95"/>
      <c r="N28" s="95"/>
      <c r="O28" s="95"/>
      <c r="P28" s="95"/>
      <c r="Q28" s="95" t="s">
        <v>579</v>
      </c>
      <c r="R28" s="95"/>
      <c r="S28" s="95"/>
      <c r="T28" s="95"/>
      <c r="U28" s="99" t="str">
        <f>IF(B28="","",IF(IF(D28&lt;&gt;"",D28,IFERROR(INDEX('Dashboard Items'!$B$2:$B$495,MATCH(E28,'Dashboard Items'!$A$2:$A$495,0)),""))="Key Service",IF(O28="No","Key Service: shown, not counted","Counts in Key Service gauge"),IF(IF(D28&lt;&gt;"",D28,IFERROR(INDEX('Dashboard Items'!$B$2:$B$495,MATCH(E28,'Dashboard Items'!$A$2:$A$495,0)),""))="Program",IF(ISNUMBER(SEARCH("ks",G28)),IF(O28="No","Program, also at Key Service: not counted","Counts in Key Service gauge + sets Program chip"),IF(O28="No","Program: shown, no status chip","Sets Program status chip")),IF(IF(D28&lt;&gt;"",D28,IFERROR(INDEX('Dashboard Items'!$B$2:$B$495,MATCH(E28,'Dashboard Items'!$A$2:$A$495,0)),""))="Work System","Work System: shown, not counted","Check Level"))))</f>
        <v>Sets Program status chip</v>
      </c>
    </row>
    <row r="29" spans="1:21" s="109" customFormat="1" ht="15.75" customHeight="1" x14ac:dyDescent="0.2">
      <c r="A29" s="95" t="str">
        <f t="shared" si="0"/>
        <v>HR</v>
      </c>
      <c r="B29" s="95" t="s">
        <v>598</v>
      </c>
      <c r="C29" s="105" t="s">
        <v>103</v>
      </c>
      <c r="D29" s="95" t="s">
        <v>30</v>
      </c>
      <c r="E29" s="95" t="s">
        <v>100</v>
      </c>
      <c r="F29" s="97" t="str">
        <f>IF(E29="","",IFERROR(IF(INDEX('Dashboard Items'!$B$2:$B$495,MATCH(E29,'Dashboard Items'!$A$2:$A$495,0))="Objective","Objectives go in the next column",IF(OR(D29="",INDEX('Dashboard Items'!$B$2:$B$495,MATCH(E29,'Dashboard Items'!$A$2:$A$495,0))=D29),INDEX('Dashboard Items'!$C$2:$C$495,MATCH(E29,'Dashboard Items'!$A$2:$A$495,0)),"Level does not match ID")),"ID not found"))</f>
        <v>Learning &amp; Development</v>
      </c>
      <c r="G29" s="98"/>
      <c r="H29" s="97" t="str">
        <f>IF(G29="","",IF(ISNUMBER(SEARCH(",",G29)),"Several items (the script lists them)",IFERROR(INDEX('Dashboard Items'!$B$2:$B$495,MATCH(G29,'Dashboard Items'!$A$2:$A$495,0))&amp;": "&amp;INDEX('Dashboard Items'!$C$2:$C$495,MATCH(G29,'Dashboard Items'!$A$2:$A$495,0)),"ID not found")))</f>
        <v/>
      </c>
      <c r="I29" s="95"/>
      <c r="J29" s="95"/>
      <c r="K29" s="95"/>
      <c r="L29" s="95"/>
      <c r="M29" s="95"/>
      <c r="N29" s="95"/>
      <c r="O29" s="95"/>
      <c r="P29" s="95"/>
      <c r="Q29" s="95"/>
      <c r="R29" s="95"/>
      <c r="S29" s="95"/>
      <c r="T29" s="95"/>
      <c r="U29" s="99" t="str">
        <f>IF(B29="","",IF(IF(D29&lt;&gt;"",D29,IFERROR(INDEX('Dashboard Items'!$B$2:$B$495,MATCH(E29,'Dashboard Items'!$A$2:$A$495,0)),""))="Key Service",IF(O29="No","Key Service: shown, not counted","Counts in Key Service gauge"),IF(IF(D29&lt;&gt;"",D29,IFERROR(INDEX('Dashboard Items'!$B$2:$B$495,MATCH(E29,'Dashboard Items'!$A$2:$A$495,0)),""))="Program",IF(ISNUMBER(SEARCH("ks",G29)),IF(O29="No","Program, also at Key Service: not counted","Counts in Key Service gauge + sets Program chip"),IF(O29="No","Program: shown, no status chip","Sets Program status chip")),IF(IF(D29&lt;&gt;"",D29,IFERROR(INDEX('Dashboard Items'!$B$2:$B$495,MATCH(E29,'Dashboard Items'!$A$2:$A$495,0)),""))="Work System","Work System: shown, not counted","Check Level"))))</f>
        <v>Sets Program status chip</v>
      </c>
    </row>
    <row r="30" spans="1:21" s="109" customFormat="1" ht="15.75" customHeight="1" x14ac:dyDescent="0.2">
      <c r="A30" s="95" t="str">
        <f t="shared" si="0"/>
        <v>HR</v>
      </c>
      <c r="B30" s="108" t="s">
        <v>599</v>
      </c>
      <c r="C30" s="105" t="s">
        <v>128</v>
      </c>
      <c r="D30" s="95" t="s">
        <v>30</v>
      </c>
      <c r="E30" s="95" t="s">
        <v>124</v>
      </c>
      <c r="F30" s="97" t="str">
        <f>IF(E30="","",IFERROR(IF(INDEX('Dashboard Items'!$B$2:$B$495,MATCH(E30,'Dashboard Items'!$A$2:$A$495,0))="Objective","Objectives go in the next column",IF(OR(D30="",INDEX('Dashboard Items'!$B$2:$B$495,MATCH(E30,'Dashboard Items'!$A$2:$A$495,0))=D30),INDEX('Dashboard Items'!$C$2:$C$495,MATCH(E30,'Dashboard Items'!$A$2:$A$495,0)),"Level does not match ID")),"ID not found"))</f>
        <v>Risk Management</v>
      </c>
      <c r="G30" s="98"/>
      <c r="H30" s="97" t="str">
        <f>IF(G30="","",IF(ISNUMBER(SEARCH(",",G30)),"Several items (the script lists them)",IFERROR(INDEX('Dashboard Items'!$B$2:$B$495,MATCH(G30,'Dashboard Items'!$A$2:$A$495,0))&amp;": "&amp;INDEX('Dashboard Items'!$C$2:$C$495,MATCH(G30,'Dashboard Items'!$A$2:$A$495,0)),"ID not found")))</f>
        <v/>
      </c>
      <c r="I30" s="95"/>
      <c r="J30" s="95"/>
      <c r="K30" s="95"/>
      <c r="L30" s="95"/>
      <c r="M30" s="95"/>
      <c r="N30" s="95"/>
      <c r="O30" s="95"/>
      <c r="P30" s="95"/>
      <c r="Q30" s="95"/>
      <c r="R30" s="95"/>
      <c r="S30" s="95"/>
      <c r="T30" s="95"/>
      <c r="U30" s="99" t="str">
        <f>IF(B30="","",IF(IF(D30&lt;&gt;"",D30,IFERROR(INDEX('Dashboard Items'!$B$2:$B$495,MATCH(E30,'Dashboard Items'!$A$2:$A$495,0)),""))="Key Service",IF(O30="No","Key Service: shown, not counted","Counts in Key Service gauge"),IF(IF(D30&lt;&gt;"",D30,IFERROR(INDEX('Dashboard Items'!$B$2:$B$495,MATCH(E30,'Dashboard Items'!$A$2:$A$495,0)),""))="Program",IF(ISNUMBER(SEARCH("ks",G30)),IF(O30="No","Program, also at Key Service: not counted","Counts in Key Service gauge + sets Program chip"),IF(O30="No","Program: shown, no status chip","Sets Program status chip")),IF(IF(D30&lt;&gt;"",D30,IFERROR(INDEX('Dashboard Items'!$B$2:$B$495,MATCH(E30,'Dashboard Items'!$A$2:$A$495,0)),""))="Work System","Work System: shown, not counted","Check Level"))))</f>
        <v>Sets Program status chip</v>
      </c>
    </row>
    <row r="31" spans="1:21" s="109" customFormat="1" ht="15.75" customHeight="1" x14ac:dyDescent="0.2">
      <c r="A31" s="95" t="str">
        <f t="shared" si="0"/>
        <v>HR</v>
      </c>
      <c r="B31" s="95" t="s">
        <v>600</v>
      </c>
      <c r="C31" s="105" t="s">
        <v>113</v>
      </c>
      <c r="D31" s="95" t="s">
        <v>30</v>
      </c>
      <c r="E31" s="95" t="s">
        <v>105</v>
      </c>
      <c r="F31" s="97" t="str">
        <f>IF(E31="","",IFERROR(IF(INDEX('Dashboard Items'!$B$2:$B$495,MATCH(E31,'Dashboard Items'!$A$2:$A$495,0))="Objective","Objectives go in the next column",IF(OR(D31="",INDEX('Dashboard Items'!$B$2:$B$495,MATCH(E31,'Dashboard Items'!$A$2:$A$495,0))=D31),INDEX('Dashboard Items'!$C$2:$C$495,MATCH(E31,'Dashboard Items'!$A$2:$A$495,0)),"Level does not match ID")),"ID not found"))</f>
        <v>Recruitment &amp; Retention</v>
      </c>
      <c r="G31" s="98"/>
      <c r="H31" s="97" t="str">
        <f>IF(G31="","",IF(ISNUMBER(SEARCH(",",G31)),"Several items (the script lists them)",IFERROR(INDEX('Dashboard Items'!$B$2:$B$495,MATCH(G31,'Dashboard Items'!$A$2:$A$495,0))&amp;": "&amp;INDEX('Dashboard Items'!$C$2:$C$495,MATCH(G31,'Dashboard Items'!$A$2:$A$495,0)),"ID not found")))</f>
        <v/>
      </c>
      <c r="I31" s="95"/>
      <c r="J31" s="95"/>
      <c r="K31" s="95"/>
      <c r="L31" s="95"/>
      <c r="M31" s="95"/>
      <c r="N31" s="95"/>
      <c r="O31" s="95"/>
      <c r="P31" s="95"/>
      <c r="Q31" s="95"/>
      <c r="R31" s="95"/>
      <c r="S31" s="95"/>
      <c r="T31" s="95"/>
      <c r="U31" s="99" t="str">
        <f>IF(B31="","",IF(IF(D31&lt;&gt;"",D31,IFERROR(INDEX('Dashboard Items'!$B$2:$B$495,MATCH(E31,'Dashboard Items'!$A$2:$A$495,0)),""))="Key Service",IF(O31="No","Key Service: shown, not counted","Counts in Key Service gauge"),IF(IF(D31&lt;&gt;"",D31,IFERROR(INDEX('Dashboard Items'!$B$2:$B$495,MATCH(E31,'Dashboard Items'!$A$2:$A$495,0)),""))="Program",IF(ISNUMBER(SEARCH("ks",G31)),IF(O31="No","Program, also at Key Service: not counted","Counts in Key Service gauge + sets Program chip"),IF(O31="No","Program: shown, no status chip","Sets Program status chip")),IF(IF(D31&lt;&gt;"",D31,IFERROR(INDEX('Dashboard Items'!$B$2:$B$495,MATCH(E31,'Dashboard Items'!$A$2:$A$495,0)),""))="Work System","Work System: shown, not counted","Check Level"))))</f>
        <v>Sets Program status chip</v>
      </c>
    </row>
    <row r="32" spans="1:21" s="109" customFormat="1" ht="15.75" customHeight="1" x14ac:dyDescent="0.2">
      <c r="A32" s="95" t="str">
        <f t="shared" si="0"/>
        <v>HR</v>
      </c>
      <c r="B32" s="95" t="s">
        <v>601</v>
      </c>
      <c r="C32" s="105" t="s">
        <v>130</v>
      </c>
      <c r="D32" s="95" t="s">
        <v>30</v>
      </c>
      <c r="E32" s="95" t="s">
        <v>124</v>
      </c>
      <c r="F32" s="97" t="str">
        <f>IF(E32="","",IFERROR(IF(INDEX('Dashboard Items'!$B$2:$B$495,MATCH(E32,'Dashboard Items'!$A$2:$A$495,0))="Objective","Objectives go in the next column",IF(OR(D32="",INDEX('Dashboard Items'!$B$2:$B$495,MATCH(E32,'Dashboard Items'!$A$2:$A$495,0))=D32),INDEX('Dashboard Items'!$C$2:$C$495,MATCH(E32,'Dashboard Items'!$A$2:$A$495,0)),"Level does not match ID")),"ID not found"))</f>
        <v>Risk Management</v>
      </c>
      <c r="G32" s="98"/>
      <c r="H32" s="97" t="str">
        <f>IF(G32="","",IF(ISNUMBER(SEARCH(",",G32)),"Several items (the script lists them)",IFERROR(INDEX('Dashboard Items'!$B$2:$B$495,MATCH(G32,'Dashboard Items'!$A$2:$A$495,0))&amp;": "&amp;INDEX('Dashboard Items'!$C$2:$C$495,MATCH(G32,'Dashboard Items'!$A$2:$A$495,0)),"ID not found")))</f>
        <v/>
      </c>
      <c r="I32" s="95"/>
      <c r="J32" s="95"/>
      <c r="K32" s="95"/>
      <c r="L32" s="95"/>
      <c r="M32" s="95"/>
      <c r="N32" s="95"/>
      <c r="O32" s="95"/>
      <c r="P32" s="95"/>
      <c r="Q32" s="95"/>
      <c r="R32" s="95"/>
      <c r="S32" s="95"/>
      <c r="T32" s="95"/>
      <c r="U32" s="99" t="str">
        <f>IF(B32="","",IF(IF(D32&lt;&gt;"",D32,IFERROR(INDEX('Dashboard Items'!$B$2:$B$495,MATCH(E32,'Dashboard Items'!$A$2:$A$495,0)),""))="Key Service",IF(O32="No","Key Service: shown, not counted","Counts in Key Service gauge"),IF(IF(D32&lt;&gt;"",D32,IFERROR(INDEX('Dashboard Items'!$B$2:$B$495,MATCH(E32,'Dashboard Items'!$A$2:$A$495,0)),""))="Program",IF(ISNUMBER(SEARCH("ks",G32)),IF(O32="No","Program, also at Key Service: not counted","Counts in Key Service gauge + sets Program chip"),IF(O32="No","Program: shown, no status chip","Sets Program status chip")),IF(IF(D32&lt;&gt;"",D32,IFERROR(INDEX('Dashboard Items'!$B$2:$B$495,MATCH(E32,'Dashboard Items'!$A$2:$A$495,0)),""))="Work System","Work System: shown, not counted","Check Level"))))</f>
        <v>Sets Program status chip</v>
      </c>
    </row>
    <row r="33" spans="1:21" s="109" customFormat="1" ht="15.75" customHeight="1" x14ac:dyDescent="0.2">
      <c r="A33" s="95" t="str">
        <f t="shared" si="0"/>
        <v>HR</v>
      </c>
      <c r="B33" s="95" t="s">
        <v>602</v>
      </c>
      <c r="C33" s="105" t="s">
        <v>110</v>
      </c>
      <c r="D33" s="95" t="s">
        <v>29</v>
      </c>
      <c r="E33" s="95" t="s">
        <v>586</v>
      </c>
      <c r="F33" s="97" t="str">
        <f>IF(E33="","",IFERROR(IF(INDEX('Dashboard Items'!$B$2:$B$495,MATCH(E33,'Dashboard Items'!$A$2:$A$495,0))="Objective","Objectives go in the next column",IF(OR(D33="",INDEX('Dashboard Items'!$B$2:$B$495,MATCH(E33,'Dashboard Items'!$A$2:$A$495,0))=D33),INDEX('Dashboard Items'!$C$2:$C$495,MATCH(E33,'Dashboard Items'!$A$2:$A$495,0)),"Level does not match ID")),"ID not found"))</f>
        <v>Human Resources &amp; Workforce Development</v>
      </c>
      <c r="G33" s="98" t="s">
        <v>105</v>
      </c>
      <c r="H33" s="97" t="str">
        <f>IF(G33="","",IF(ISNUMBER(SEARCH(",",G33)),"Several items (the script lists them)",IFERROR(INDEX('Dashboard Items'!$B$2:$B$495,MATCH(G33,'Dashboard Items'!$A$2:$A$495,0))&amp;": "&amp;INDEX('Dashboard Items'!$C$2:$C$495,MATCH(G33,'Dashboard Items'!$A$2:$A$495,0)),"ID not found")))</f>
        <v>Program: Recruitment &amp; Retention</v>
      </c>
      <c r="I33" s="95"/>
      <c r="J33" s="95"/>
      <c r="K33" s="95"/>
      <c r="L33" s="95"/>
      <c r="M33" s="95"/>
      <c r="N33" s="95"/>
      <c r="O33" s="95"/>
      <c r="P33" s="95"/>
      <c r="Q33" s="95" t="s">
        <v>579</v>
      </c>
      <c r="R33" s="95"/>
      <c r="S33" s="95"/>
      <c r="T33" s="95"/>
      <c r="U33" s="99" t="str">
        <f>IF(B33="","",IF(IF(D33&lt;&gt;"",D33,IFERROR(INDEX('Dashboard Items'!$B$2:$B$495,MATCH(E33,'Dashboard Items'!$A$2:$A$495,0)),""))="Key Service",IF(O33="No","Key Service: shown, not counted","Counts in Key Service gauge"),IF(IF(D33&lt;&gt;"",D33,IFERROR(INDEX('Dashboard Items'!$B$2:$B$495,MATCH(E33,'Dashboard Items'!$A$2:$A$495,0)),""))="Program",IF(ISNUMBER(SEARCH("ks",G33)),IF(O33="No","Program, also at Key Service: not counted","Counts in Key Service gauge + sets Program chip"),IF(O33="No","Program: shown, no status chip","Sets Program status chip")),IF(IF(D33&lt;&gt;"",D33,IFERROR(INDEX('Dashboard Items'!$B$2:$B$495,MATCH(E33,'Dashboard Items'!$A$2:$A$495,0)),""))="Work System","Work System: shown, not counted","Check Level"))))</f>
        <v>Counts in Key Service gauge</v>
      </c>
    </row>
    <row r="34" spans="1:21" s="109" customFormat="1" ht="15.75" customHeight="1" x14ac:dyDescent="0.2">
      <c r="A34" s="95" t="str">
        <f t="shared" ref="A34:A65" si="1">LEFT(B34, FIND("-", B34) - 1)</f>
        <v>HR</v>
      </c>
      <c r="B34" s="95" t="s">
        <v>603</v>
      </c>
      <c r="C34" s="105" t="s">
        <v>109</v>
      </c>
      <c r="D34" s="95" t="s">
        <v>30</v>
      </c>
      <c r="E34" s="95" t="s">
        <v>105</v>
      </c>
      <c r="F34" s="97" t="str">
        <f>IF(E34="","",IFERROR(IF(INDEX('Dashboard Items'!$B$2:$B$495,MATCH(E34,'Dashboard Items'!$A$2:$A$495,0))="Objective","Objectives go in the next column",IF(OR(D34="",INDEX('Dashboard Items'!$B$2:$B$495,MATCH(E34,'Dashboard Items'!$A$2:$A$495,0))=D34),INDEX('Dashboard Items'!$C$2:$C$495,MATCH(E34,'Dashboard Items'!$A$2:$A$495,0)),"Level does not match ID")),"ID not found"))</f>
        <v>Recruitment &amp; Retention</v>
      </c>
      <c r="G34" s="98"/>
      <c r="H34" s="97" t="str">
        <f>IF(G34="","",IF(ISNUMBER(SEARCH(",",G34)),"Several items (the script lists them)",IFERROR(INDEX('Dashboard Items'!$B$2:$B$495,MATCH(G34,'Dashboard Items'!$A$2:$A$495,0))&amp;": "&amp;INDEX('Dashboard Items'!$C$2:$C$495,MATCH(G34,'Dashboard Items'!$A$2:$A$495,0)),"ID not found")))</f>
        <v/>
      </c>
      <c r="I34" s="95"/>
      <c r="J34" s="95"/>
      <c r="K34" s="95"/>
      <c r="L34" s="95"/>
      <c r="M34" s="95"/>
      <c r="N34" s="95"/>
      <c r="O34" s="95"/>
      <c r="P34" s="95"/>
      <c r="Q34" s="95" t="s">
        <v>579</v>
      </c>
      <c r="R34" s="95"/>
      <c r="S34" s="95"/>
      <c r="T34" s="95"/>
      <c r="U34" s="99" t="str">
        <f>IF(B34="","",IF(IF(D34&lt;&gt;"",D34,IFERROR(INDEX('Dashboard Items'!$B$2:$B$495,MATCH(E34,'Dashboard Items'!$A$2:$A$495,0)),""))="Key Service",IF(O34="No","Key Service: shown, not counted","Counts in Key Service gauge"),IF(IF(D34&lt;&gt;"",D34,IFERROR(INDEX('Dashboard Items'!$B$2:$B$495,MATCH(E34,'Dashboard Items'!$A$2:$A$495,0)),""))="Program",IF(ISNUMBER(SEARCH("ks",G34)),IF(O34="No","Program, also at Key Service: not counted","Counts in Key Service gauge + sets Program chip"),IF(O34="No","Program: shown, no status chip","Sets Program status chip")),IF(IF(D34&lt;&gt;"",D34,IFERROR(INDEX('Dashboard Items'!$B$2:$B$495,MATCH(E34,'Dashboard Items'!$A$2:$A$495,0)),""))="Work System","Work System: shown, not counted","Check Level"))))</f>
        <v>Sets Program status chip</v>
      </c>
    </row>
    <row r="35" spans="1:21" s="110" customFormat="1" ht="15.75" customHeight="1" x14ac:dyDescent="0.2">
      <c r="A35" s="95" t="str">
        <f t="shared" si="1"/>
        <v>HR</v>
      </c>
      <c r="B35" s="95" t="s">
        <v>604</v>
      </c>
      <c r="C35" s="105" t="s">
        <v>102</v>
      </c>
      <c r="D35" s="95" t="s">
        <v>30</v>
      </c>
      <c r="E35" s="95" t="s">
        <v>100</v>
      </c>
      <c r="F35" s="97" t="str">
        <f>IF(E35="","",IFERROR(IF(INDEX('Dashboard Items'!$B$2:$B$495,MATCH(E35,'Dashboard Items'!$A$2:$A$495,0))="Objective","Objectives go in the next column",IF(OR(D35="",INDEX('Dashboard Items'!$B$2:$B$495,MATCH(E35,'Dashboard Items'!$A$2:$A$495,0))=D35),INDEX('Dashboard Items'!$C$2:$C$495,MATCH(E35,'Dashboard Items'!$A$2:$A$495,0)),"Level does not match ID")),"ID not found"))</f>
        <v>Learning &amp; Development</v>
      </c>
      <c r="G35" s="98"/>
      <c r="H35" s="97" t="str">
        <f>IF(G35="","",IF(ISNUMBER(SEARCH(",",G35)),"Several items (the script lists them)",IFERROR(INDEX('Dashboard Items'!$B$2:$B$495,MATCH(G35,'Dashboard Items'!$A$2:$A$495,0))&amp;": "&amp;INDEX('Dashboard Items'!$C$2:$C$495,MATCH(G35,'Dashboard Items'!$A$2:$A$495,0)),"ID not found")))</f>
        <v/>
      </c>
      <c r="I35" s="95"/>
      <c r="J35" s="95"/>
      <c r="K35" s="95"/>
      <c r="L35" s="95"/>
      <c r="M35" s="95"/>
      <c r="N35" s="95"/>
      <c r="O35" s="95"/>
      <c r="P35" s="95"/>
      <c r="Q35" s="95"/>
      <c r="R35" s="95"/>
      <c r="S35" s="95"/>
      <c r="T35" s="95"/>
      <c r="U35" s="99" t="str">
        <f>IF(B35="","",IF(IF(D35&lt;&gt;"",D35,IFERROR(INDEX('Dashboard Items'!$B$2:$B$495,MATCH(E35,'Dashboard Items'!$A$2:$A$495,0)),""))="Key Service",IF(O35="No","Key Service: shown, not counted","Counts in Key Service gauge"),IF(IF(D35&lt;&gt;"",D35,IFERROR(INDEX('Dashboard Items'!$B$2:$B$495,MATCH(E35,'Dashboard Items'!$A$2:$A$495,0)),""))="Program",IF(ISNUMBER(SEARCH("ks",G35)),IF(O35="No","Program, also at Key Service: not counted","Counts in Key Service gauge + sets Program chip"),IF(O35="No","Program: shown, no status chip","Sets Program status chip")),IF(IF(D35&lt;&gt;"",D35,IFERROR(INDEX('Dashboard Items'!$B$2:$B$495,MATCH(E35,'Dashboard Items'!$A$2:$A$495,0)),""))="Work System","Work System: shown, not counted","Check Level"))))</f>
        <v>Sets Program status chip</v>
      </c>
    </row>
    <row r="36" spans="1:21" s="110" customFormat="1" ht="15.75" customHeight="1" x14ac:dyDescent="0.2">
      <c r="A36" s="95" t="str">
        <f t="shared" si="1"/>
        <v>HR</v>
      </c>
      <c r="B36" s="95" t="s">
        <v>605</v>
      </c>
      <c r="C36" s="105" t="s">
        <v>606</v>
      </c>
      <c r="D36" s="95" t="s">
        <v>29</v>
      </c>
      <c r="E36" s="95" t="s">
        <v>586</v>
      </c>
      <c r="F36" s="97" t="str">
        <f>IF(E36="","",IFERROR(IF(INDEX('Dashboard Items'!$B$2:$B$495,MATCH(E36,'Dashboard Items'!$A$2:$A$495,0))="Objective","Objectives go in the next column",IF(OR(D36="",INDEX('Dashboard Items'!$B$2:$B$495,MATCH(E36,'Dashboard Items'!$A$2:$A$495,0))=D36),INDEX('Dashboard Items'!$C$2:$C$495,MATCH(E36,'Dashboard Items'!$A$2:$A$495,0)),"Level does not match ID")),"ID not found"))</f>
        <v>Human Resources &amp; Workforce Development</v>
      </c>
      <c r="G36" s="98" t="s">
        <v>105</v>
      </c>
      <c r="H36" s="97" t="str">
        <f>IF(G36="","",IF(ISNUMBER(SEARCH(",",G36)),"Several items (the script lists them)",IFERROR(INDEX('Dashboard Items'!$B$2:$B$495,MATCH(G36,'Dashboard Items'!$A$2:$A$495,0))&amp;": "&amp;INDEX('Dashboard Items'!$C$2:$C$495,MATCH(G36,'Dashboard Items'!$A$2:$A$495,0)),"ID not found")))</f>
        <v>Program: Recruitment &amp; Retention</v>
      </c>
      <c r="I36" s="95"/>
      <c r="J36" s="95"/>
      <c r="K36" s="95"/>
      <c r="L36" s="95"/>
      <c r="M36" s="95"/>
      <c r="N36" s="95"/>
      <c r="O36" s="95"/>
      <c r="P36" s="95"/>
      <c r="Q36" s="95"/>
      <c r="R36" s="95"/>
      <c r="S36" s="95"/>
      <c r="T36" s="95"/>
      <c r="U36" s="99" t="str">
        <f>IF(B36="","",IF(IF(D36&lt;&gt;"",D36,IFERROR(INDEX('Dashboard Items'!$B$2:$B$495,MATCH(E36,'Dashboard Items'!$A$2:$A$495,0)),""))="Key Service",IF(O36="No","Key Service: shown, not counted","Counts in Key Service gauge"),IF(IF(D36&lt;&gt;"",D36,IFERROR(INDEX('Dashboard Items'!$B$2:$B$495,MATCH(E36,'Dashboard Items'!$A$2:$A$495,0)),""))="Program",IF(ISNUMBER(SEARCH("ks",G36)),IF(O36="No","Program, also at Key Service: not counted","Counts in Key Service gauge + sets Program chip"),IF(O36="No","Program: shown, no status chip","Sets Program status chip")),IF(IF(D36&lt;&gt;"",D36,IFERROR(INDEX('Dashboard Items'!$B$2:$B$495,MATCH(E36,'Dashboard Items'!$A$2:$A$495,0)),""))="Work System","Work System: shown, not counted","Check Level"))))</f>
        <v>Counts in Key Service gauge</v>
      </c>
    </row>
    <row r="37" spans="1:21" s="110" customFormat="1" ht="15.75" customHeight="1" x14ac:dyDescent="0.2">
      <c r="A37" s="95" t="str">
        <f t="shared" si="1"/>
        <v>HR</v>
      </c>
      <c r="B37" s="95" t="s">
        <v>607</v>
      </c>
      <c r="C37" s="105" t="s">
        <v>112</v>
      </c>
      <c r="D37" s="95" t="s">
        <v>30</v>
      </c>
      <c r="E37" s="95" t="s">
        <v>105</v>
      </c>
      <c r="F37" s="97" t="str">
        <f>IF(E37="","",IFERROR(IF(INDEX('Dashboard Items'!$B$2:$B$495,MATCH(E37,'Dashboard Items'!$A$2:$A$495,0))="Objective","Objectives go in the next column",IF(OR(D37="",INDEX('Dashboard Items'!$B$2:$B$495,MATCH(E37,'Dashboard Items'!$A$2:$A$495,0))=D37),INDEX('Dashboard Items'!$C$2:$C$495,MATCH(E37,'Dashboard Items'!$A$2:$A$495,0)),"Level does not match ID")),"ID not found"))</f>
        <v>Recruitment &amp; Retention</v>
      </c>
      <c r="G37" s="98"/>
      <c r="H37" s="97" t="str">
        <f>IF(G37="","",IF(ISNUMBER(SEARCH(",",G37)),"Several items (the script lists them)",IFERROR(INDEX('Dashboard Items'!$B$2:$B$495,MATCH(G37,'Dashboard Items'!$A$2:$A$495,0))&amp;": "&amp;INDEX('Dashboard Items'!$C$2:$C$495,MATCH(G37,'Dashboard Items'!$A$2:$A$495,0)),"ID not found")))</f>
        <v/>
      </c>
      <c r="I37" s="95"/>
      <c r="J37" s="95"/>
      <c r="K37" s="95" t="s">
        <v>551</v>
      </c>
      <c r="L37" s="95"/>
      <c r="M37" s="95"/>
      <c r="N37" s="95"/>
      <c r="O37" s="95"/>
      <c r="P37" s="95"/>
      <c r="Q37" s="95" t="s">
        <v>579</v>
      </c>
      <c r="R37" s="95"/>
      <c r="S37" s="95"/>
      <c r="T37" s="95"/>
      <c r="U37" s="99" t="str">
        <f>IF(B37="","",IF(IF(D37&lt;&gt;"",D37,IFERROR(INDEX('Dashboard Items'!$B$2:$B$495,MATCH(E37,'Dashboard Items'!$A$2:$A$495,0)),""))="Key Service",IF(O37="No","Key Service: shown, not counted","Counts in Key Service gauge"),IF(IF(D37&lt;&gt;"",D37,IFERROR(INDEX('Dashboard Items'!$B$2:$B$495,MATCH(E37,'Dashboard Items'!$A$2:$A$495,0)),""))="Program",IF(ISNUMBER(SEARCH("ks",G37)),IF(O37="No","Program, also at Key Service: not counted","Counts in Key Service gauge + sets Program chip"),IF(O37="No","Program: shown, no status chip","Sets Program status chip")),IF(IF(D37&lt;&gt;"",D37,IFERROR(INDEX('Dashboard Items'!$B$2:$B$495,MATCH(E37,'Dashboard Items'!$A$2:$A$495,0)),""))="Work System","Work System: shown, not counted","Check Level"))))</f>
        <v>Sets Program status chip</v>
      </c>
    </row>
    <row r="38" spans="1:21" s="110" customFormat="1" ht="15.75" customHeight="1" x14ac:dyDescent="0.2">
      <c r="A38" s="111" t="str">
        <f t="shared" si="1"/>
        <v>IT</v>
      </c>
      <c r="B38" s="111" t="s">
        <v>608</v>
      </c>
      <c r="C38" s="111" t="s">
        <v>139</v>
      </c>
      <c r="D38" s="111" t="s">
        <v>30</v>
      </c>
      <c r="E38" s="111" t="s">
        <v>138</v>
      </c>
      <c r="F38" s="112" t="str">
        <f>IF(E38="","",IFERROR(IF(INDEX('Dashboard Items'!$B$2:$B$495,MATCH(E38,'Dashboard Items'!$A$2:$A$495,0))="Objective","Objectives go in the next column",IF(OR(D38="",INDEX('Dashboard Items'!$B$2:$B$495,MATCH(E38,'Dashboard Items'!$A$2:$A$495,0))=D38),INDEX('Dashboard Items'!$C$2:$C$495,MATCH(E38,'Dashboard Items'!$A$2:$A$495,0)),"Level does not match ID")),"ID not found"))</f>
        <v>Cybersecurity</v>
      </c>
      <c r="G38" s="113" t="s">
        <v>609</v>
      </c>
      <c r="H38" s="112" t="str">
        <f>IF(G38="","",IF(ISNUMBER(SEARCH(",",G38)),"Several items (the script lists them)",IFERROR(INDEX('Dashboard Items'!$B$2:$B$495,MATCH(G38,'Dashboard Items'!$A$2:$A$495,0))&amp;": "&amp;INDEX('Dashboard Items'!$C$2:$C$495,MATCH(G38,'Dashboard Items'!$A$2:$A$495,0)),"ID not found")))</f>
        <v>Key Service: Information Technology Services</v>
      </c>
      <c r="I38" s="111" t="s">
        <v>588</v>
      </c>
      <c r="J38" s="111">
        <v>2</v>
      </c>
      <c r="K38" s="111" t="s">
        <v>595</v>
      </c>
      <c r="L38" s="111" t="s">
        <v>552</v>
      </c>
      <c r="M38" s="111">
        <v>5</v>
      </c>
      <c r="N38" s="111">
        <v>15</v>
      </c>
      <c r="O38" s="111" t="s">
        <v>551</v>
      </c>
      <c r="P38" s="111" t="s">
        <v>610</v>
      </c>
      <c r="Q38" s="111" t="s">
        <v>611</v>
      </c>
      <c r="R38" s="111" t="s">
        <v>612</v>
      </c>
      <c r="S38" s="111"/>
      <c r="T38" s="111"/>
      <c r="U38" s="99" t="str">
        <f>IF(B38="","",IF(IF(D38&lt;&gt;"",D38,IFERROR(INDEX('Dashboard Items'!$B$2:$B$495,MATCH(E38,'Dashboard Items'!$A$2:$A$495,0)),""))="Key Service",IF(O38="No","Key Service: shown, not counted","Counts in Key Service gauge"),IF(IF(D38&lt;&gt;"",D38,IFERROR(INDEX('Dashboard Items'!$B$2:$B$495,MATCH(E38,'Dashboard Items'!$A$2:$A$495,0)),""))="Program",IF(ISNUMBER(SEARCH("ks",G38)),IF(O38="No","Program, also at Key Service: not counted","Counts in Key Service gauge + sets Program chip"),IF(O38="No","Program: shown, no status chip","Sets Program status chip")),IF(IF(D38&lt;&gt;"",D38,IFERROR(INDEX('Dashboard Items'!$B$2:$B$495,MATCH(E38,'Dashboard Items'!$A$2:$A$495,0)),""))="Work System","Work System: shown, not counted","Check Level"))))</f>
        <v>Counts in Key Service gauge + sets Program chip</v>
      </c>
    </row>
    <row r="39" spans="1:21" s="110" customFormat="1" ht="15.75" customHeight="1" x14ac:dyDescent="0.2">
      <c r="A39" s="111" t="str">
        <f t="shared" si="1"/>
        <v>IT</v>
      </c>
      <c r="B39" s="111" t="s">
        <v>613</v>
      </c>
      <c r="C39" s="114" t="s">
        <v>614</v>
      </c>
      <c r="D39" s="111" t="s">
        <v>30</v>
      </c>
      <c r="E39" s="111" t="s">
        <v>149</v>
      </c>
      <c r="F39" s="112" t="str">
        <f>IF(E39="","",IFERROR(IF(INDEX('Dashboard Items'!$B$2:$B$495,MATCH(E39,'Dashboard Items'!$A$2:$A$495,0))="Objective","Objectives go in the next column",IF(OR(D39="",INDEX('Dashboard Items'!$B$2:$B$495,MATCH(E39,'Dashboard Items'!$A$2:$A$495,0))=D39),INDEX('Dashboard Items'!$C$2:$C$495,MATCH(E39,'Dashboard Items'!$A$2:$A$495,0)),"Level does not match ID")),"ID not found"))</f>
        <v>Help Desk</v>
      </c>
      <c r="G39" s="113" t="s">
        <v>609</v>
      </c>
      <c r="H39" s="112" t="str">
        <f>IF(G39="","",IF(ISNUMBER(SEARCH(",",G39)),"Several items (the script lists them)",IFERROR(INDEX('Dashboard Items'!$B$2:$B$495,MATCH(G39,'Dashboard Items'!$A$2:$A$495,0))&amp;": "&amp;INDEX('Dashboard Items'!$C$2:$C$495,MATCH(G39,'Dashboard Items'!$A$2:$A$495,0)),"ID not found")))</f>
        <v>Key Service: Information Technology Services</v>
      </c>
      <c r="I39" s="111" t="s">
        <v>588</v>
      </c>
      <c r="J39" s="111">
        <v>1</v>
      </c>
      <c r="K39" s="111" t="s">
        <v>551</v>
      </c>
      <c r="L39" s="111" t="s">
        <v>552</v>
      </c>
      <c r="M39" s="111">
        <v>5</v>
      </c>
      <c r="N39" s="111">
        <v>15</v>
      </c>
      <c r="O39" s="111" t="s">
        <v>551</v>
      </c>
      <c r="P39" s="111" t="s">
        <v>553</v>
      </c>
      <c r="Q39" s="111" t="s">
        <v>611</v>
      </c>
      <c r="R39" s="111" t="s">
        <v>615</v>
      </c>
      <c r="S39" s="111"/>
      <c r="T39" s="111"/>
      <c r="U39" s="99" t="str">
        <f>IF(B39="","",IF(IF(D39&lt;&gt;"",D39,IFERROR(INDEX('Dashboard Items'!$B$2:$B$495,MATCH(E39,'Dashboard Items'!$A$2:$A$495,0)),""))="Key Service",IF(O39="No","Key Service: shown, not counted","Counts in Key Service gauge"),IF(IF(D39&lt;&gt;"",D39,IFERROR(INDEX('Dashboard Items'!$B$2:$B$495,MATCH(E39,'Dashboard Items'!$A$2:$A$495,0)),""))="Program",IF(ISNUMBER(SEARCH("ks",G39)),IF(O39="No","Program, also at Key Service: not counted","Counts in Key Service gauge + sets Program chip"),IF(O39="No","Program: shown, no status chip","Sets Program status chip")),IF(IF(D39&lt;&gt;"",D39,IFERROR(INDEX('Dashboard Items'!$B$2:$B$495,MATCH(E39,'Dashboard Items'!$A$2:$A$495,0)),""))="Work System","Work System: shown, not counted","Check Level"))))</f>
        <v>Counts in Key Service gauge + sets Program chip</v>
      </c>
    </row>
    <row r="40" spans="1:21" s="110" customFormat="1" ht="15.75" customHeight="1" x14ac:dyDescent="0.2">
      <c r="A40" s="111" t="str">
        <f t="shared" si="1"/>
        <v>IT</v>
      </c>
      <c r="B40" s="111" t="s">
        <v>616</v>
      </c>
      <c r="C40" s="111" t="s">
        <v>617</v>
      </c>
      <c r="D40" s="111" t="s">
        <v>30</v>
      </c>
      <c r="E40" s="111" t="s">
        <v>149</v>
      </c>
      <c r="F40" s="112" t="str">
        <f>IF(E40="","",IFERROR(IF(INDEX('Dashboard Items'!$B$2:$B$495,MATCH(E40,'Dashboard Items'!$A$2:$A$495,0))="Objective","Objectives go in the next column",IF(OR(D40="",INDEX('Dashboard Items'!$B$2:$B$495,MATCH(E40,'Dashboard Items'!$A$2:$A$495,0))=D40),INDEX('Dashboard Items'!$C$2:$C$495,MATCH(E40,'Dashboard Items'!$A$2:$A$495,0)),"Level does not match ID")),"ID not found"))</f>
        <v>Help Desk</v>
      </c>
      <c r="G40" s="113" t="s">
        <v>609</v>
      </c>
      <c r="H40" s="112" t="str">
        <f>IF(G40="","",IF(ISNUMBER(SEARCH(",",G40)),"Several items (the script lists them)",IFERROR(INDEX('Dashboard Items'!$B$2:$B$495,MATCH(G40,'Dashboard Items'!$A$2:$A$495,0))&amp;": "&amp;INDEX('Dashboard Items'!$C$2:$C$495,MATCH(G40,'Dashboard Items'!$A$2:$A$495,0)),"ID not found")))</f>
        <v>Key Service: Information Technology Services</v>
      </c>
      <c r="I40" s="111" t="s">
        <v>588</v>
      </c>
      <c r="J40" s="111">
        <v>2</v>
      </c>
      <c r="K40" s="111" t="s">
        <v>551</v>
      </c>
      <c r="L40" s="111" t="s">
        <v>552</v>
      </c>
      <c r="M40" s="111">
        <v>5</v>
      </c>
      <c r="N40" s="111">
        <v>15</v>
      </c>
      <c r="O40" s="111" t="s">
        <v>551</v>
      </c>
      <c r="P40" s="111" t="s">
        <v>553</v>
      </c>
      <c r="Q40" s="111" t="s">
        <v>611</v>
      </c>
      <c r="R40" s="111" t="s">
        <v>615</v>
      </c>
      <c r="S40" s="111"/>
      <c r="T40" s="111"/>
      <c r="U40" s="99" t="str">
        <f>IF(B40="","",IF(IF(D40&lt;&gt;"",D40,IFERROR(INDEX('Dashboard Items'!$B$2:$B$495,MATCH(E40,'Dashboard Items'!$A$2:$A$495,0)),""))="Key Service",IF(O40="No","Key Service: shown, not counted","Counts in Key Service gauge"),IF(IF(D40&lt;&gt;"",D40,IFERROR(INDEX('Dashboard Items'!$B$2:$B$495,MATCH(E40,'Dashboard Items'!$A$2:$A$495,0)),""))="Program",IF(ISNUMBER(SEARCH("ks",G40)),IF(O40="No","Program, also at Key Service: not counted","Counts in Key Service gauge + sets Program chip"),IF(O40="No","Program: shown, no status chip","Sets Program status chip")),IF(IF(D40&lt;&gt;"",D40,IFERROR(INDEX('Dashboard Items'!$B$2:$B$495,MATCH(E40,'Dashboard Items'!$A$2:$A$495,0)),""))="Work System","Work System: shown, not counted","Check Level"))))</f>
        <v>Counts in Key Service gauge + sets Program chip</v>
      </c>
    </row>
    <row r="41" spans="1:21" s="110" customFormat="1" ht="15.75" customHeight="1" x14ac:dyDescent="0.2">
      <c r="A41" s="111" t="str">
        <f t="shared" si="1"/>
        <v>IT</v>
      </c>
      <c r="B41" s="111" t="s">
        <v>618</v>
      </c>
      <c r="C41" s="114" t="s">
        <v>619</v>
      </c>
      <c r="D41" s="111" t="s">
        <v>30</v>
      </c>
      <c r="E41" s="111" t="s">
        <v>135</v>
      </c>
      <c r="F41" s="112" t="str">
        <f>IF(E41="","",IFERROR(IF(INDEX('Dashboard Items'!$B$2:$B$495,MATCH(E41,'Dashboard Items'!$A$2:$A$495,0))="Objective","Objectives go in the next column",IF(OR(D41="",INDEX('Dashboard Items'!$B$2:$B$495,MATCH(E41,'Dashboard Items'!$A$2:$A$495,0))=D41),INDEX('Dashboard Items'!$C$2:$C$495,MATCH(E41,'Dashboard Items'!$A$2:$A$495,0)),"Level does not match ID")),"ID not found"))</f>
        <v>Network &amp; Infrastructure Management</v>
      </c>
      <c r="G41" s="113" t="s">
        <v>620</v>
      </c>
      <c r="H41" s="112" t="str">
        <f>IF(G41="","",IF(ISNUMBER(SEARCH(",",G41)),"Several items (the script lists them)",IFERROR(INDEX('Dashboard Items'!$B$2:$B$495,MATCH(G41,'Dashboard Items'!$A$2:$A$495,0))&amp;": "&amp;INDEX('Dashboard Items'!$C$2:$C$495,MATCH(G41,'Dashboard Items'!$A$2:$A$495,0)),"ID not found")))</f>
        <v>Several items (the script lists them)</v>
      </c>
      <c r="I41" s="111" t="s">
        <v>588</v>
      </c>
      <c r="J41" s="111">
        <v>2</v>
      </c>
      <c r="K41" s="111" t="s">
        <v>551</v>
      </c>
      <c r="L41" s="111" t="s">
        <v>552</v>
      </c>
      <c r="M41" s="111">
        <v>5</v>
      </c>
      <c r="N41" s="111">
        <v>15</v>
      </c>
      <c r="O41" s="111" t="s">
        <v>551</v>
      </c>
      <c r="P41" s="111" t="s">
        <v>553</v>
      </c>
      <c r="Q41" s="111" t="s">
        <v>611</v>
      </c>
      <c r="R41" s="111" t="s">
        <v>621</v>
      </c>
      <c r="S41" s="111"/>
      <c r="T41" s="111"/>
      <c r="U41" s="99" t="str">
        <f>IF(B41="","",IF(IF(D41&lt;&gt;"",D41,IFERROR(INDEX('Dashboard Items'!$B$2:$B$495,MATCH(E41,'Dashboard Items'!$A$2:$A$495,0)),""))="Key Service",IF(O41="No","Key Service: shown, not counted","Counts in Key Service gauge"),IF(IF(D41&lt;&gt;"",D41,IFERROR(INDEX('Dashboard Items'!$B$2:$B$495,MATCH(E41,'Dashboard Items'!$A$2:$A$495,0)),""))="Program",IF(ISNUMBER(SEARCH("ks",G41)),IF(O41="No","Program, also at Key Service: not counted","Counts in Key Service gauge + sets Program chip"),IF(O41="No","Program: shown, no status chip","Sets Program status chip")),IF(IF(D41&lt;&gt;"",D41,IFERROR(INDEX('Dashboard Items'!$B$2:$B$495,MATCH(E41,'Dashboard Items'!$A$2:$A$495,0)),""))="Work System","Work System: shown, not counted","Check Level"))))</f>
        <v>Counts in Key Service gauge + sets Program chip</v>
      </c>
    </row>
    <row r="42" spans="1:21" s="110" customFormat="1" ht="15.75" customHeight="1" x14ac:dyDescent="0.2">
      <c r="A42" s="115" t="str">
        <f t="shared" si="1"/>
        <v>LIB</v>
      </c>
      <c r="B42" s="115" t="s">
        <v>622</v>
      </c>
      <c r="C42" s="116" t="s">
        <v>336</v>
      </c>
      <c r="D42" s="115" t="s">
        <v>30</v>
      </c>
      <c r="E42" s="115" t="s">
        <v>335</v>
      </c>
      <c r="F42" s="117" t="str">
        <f>IF(E42="","",IFERROR(IF(INDEX('Dashboard Items'!$B$2:$B$495,MATCH(E42,'Dashboard Items'!$A$2:$A$495,0))="Objective","Objectives go in the next column",IF(OR(D42="",INDEX('Dashboard Items'!$B$2:$B$495,MATCH(E42,'Dashboard Items'!$A$2:$A$495,0))=D42),INDEX('Dashboard Items'!$C$2:$C$495,MATCH(E42,'Dashboard Items'!$A$2:$A$495,0)),"Level does not match ID")),"ID not found"))</f>
        <v>Library Collections &amp; Resources</v>
      </c>
      <c r="G42" s="118" t="s">
        <v>623</v>
      </c>
      <c r="H42" s="117" t="str">
        <f>IF(G42="","",IF(ISNUMBER(SEARCH(",",G42)),"Several items (the script lists them)",IFERROR(INDEX('Dashboard Items'!$B$2:$B$495,MATCH(G42,'Dashboard Items'!$A$2:$A$495,0))&amp;": "&amp;INDEX('Dashboard Items'!$C$2:$C$495,MATCH(G42,'Dashboard Items'!$A$2:$A$495,0)),"ID not found")))</f>
        <v>Key Service: Library &amp; Learning Services</v>
      </c>
      <c r="I42" s="115" t="s">
        <v>550</v>
      </c>
      <c r="J42" s="115">
        <v>0</v>
      </c>
      <c r="K42" s="115" t="s">
        <v>551</v>
      </c>
      <c r="L42" s="115" t="s">
        <v>552</v>
      </c>
      <c r="M42" s="115">
        <v>0</v>
      </c>
      <c r="N42" s="115">
        <v>0</v>
      </c>
      <c r="O42" s="115" t="s">
        <v>551</v>
      </c>
      <c r="P42" s="115" t="s">
        <v>624</v>
      </c>
      <c r="Q42" s="115" t="s">
        <v>625</v>
      </c>
      <c r="R42" s="115"/>
      <c r="S42" s="115"/>
      <c r="T42" s="115"/>
      <c r="U42" s="99" t="str">
        <f>IF(B42="","",IF(IF(D42&lt;&gt;"",D42,IFERROR(INDEX('Dashboard Items'!$B$2:$B$495,MATCH(E42,'Dashboard Items'!$A$2:$A$495,0)),""))="Key Service",IF(O42="No","Key Service: shown, not counted","Counts in Key Service gauge"),IF(IF(D42&lt;&gt;"",D42,IFERROR(INDEX('Dashboard Items'!$B$2:$B$495,MATCH(E42,'Dashboard Items'!$A$2:$A$495,0)),""))="Program",IF(ISNUMBER(SEARCH("ks",G42)),IF(O42="No","Program, also at Key Service: not counted","Counts in Key Service gauge + sets Program chip"),IF(O42="No","Program: shown, no status chip","Sets Program status chip")),IF(IF(D42&lt;&gt;"",D42,IFERROR(INDEX('Dashboard Items'!$B$2:$B$495,MATCH(E42,'Dashboard Items'!$A$2:$A$495,0)),""))="Work System","Work System: shown, not counted","Check Level"))))</f>
        <v>Counts in Key Service gauge + sets Program chip</v>
      </c>
    </row>
    <row r="43" spans="1:21" s="110" customFormat="1" ht="15.75" customHeight="1" x14ac:dyDescent="0.2">
      <c r="A43" s="115" t="str">
        <f t="shared" si="1"/>
        <v>LIB</v>
      </c>
      <c r="B43" s="115" t="s">
        <v>626</v>
      </c>
      <c r="C43" s="116" t="s">
        <v>341</v>
      </c>
      <c r="D43" s="115" t="s">
        <v>30</v>
      </c>
      <c r="E43" s="115" t="s">
        <v>338</v>
      </c>
      <c r="F43" s="117" t="str">
        <f>IF(E43="","",IFERROR(IF(INDEX('Dashboard Items'!$B$2:$B$495,MATCH(E43,'Dashboard Items'!$A$2:$A$495,0))="Objective","Objectives go in the next column",IF(OR(D43="",INDEX('Dashboard Items'!$B$2:$B$495,MATCH(E43,'Dashboard Items'!$A$2:$A$495,0))=D43),INDEX('Dashboard Items'!$C$2:$C$495,MATCH(E43,'Dashboard Items'!$A$2:$A$495,0)),"Level does not match ID")),"ID not found"))</f>
        <v>Library Space Utilization</v>
      </c>
      <c r="G43" s="118"/>
      <c r="H43" s="117" t="str">
        <f>IF(G43="","",IF(ISNUMBER(SEARCH(",",G43)),"Several items (the script lists them)",IFERROR(INDEX('Dashboard Items'!$B$2:$B$495,MATCH(G43,'Dashboard Items'!$A$2:$A$495,0))&amp;": "&amp;INDEX('Dashboard Items'!$C$2:$C$495,MATCH(G43,'Dashboard Items'!$A$2:$A$495,0)),"ID not found")))</f>
        <v/>
      </c>
      <c r="I43" s="115" t="s">
        <v>550</v>
      </c>
      <c r="J43" s="115">
        <v>2</v>
      </c>
      <c r="K43" s="115" t="s">
        <v>551</v>
      </c>
      <c r="L43" s="115" t="s">
        <v>552</v>
      </c>
      <c r="M43" s="115">
        <v>0</v>
      </c>
      <c r="N43" s="115">
        <v>0</v>
      </c>
      <c r="O43" s="115" t="s">
        <v>551</v>
      </c>
      <c r="P43" s="115" t="s">
        <v>624</v>
      </c>
      <c r="Q43" s="115" t="s">
        <v>625</v>
      </c>
      <c r="R43" s="115"/>
      <c r="S43" s="115"/>
      <c r="T43" s="115"/>
      <c r="U43" s="99" t="str">
        <f>IF(B43="","",IF(IF(D43&lt;&gt;"",D43,IFERROR(INDEX('Dashboard Items'!$B$2:$B$495,MATCH(E43,'Dashboard Items'!$A$2:$A$495,0)),""))="Key Service",IF(O43="No","Key Service: shown, not counted","Counts in Key Service gauge"),IF(IF(D43&lt;&gt;"",D43,IFERROR(INDEX('Dashboard Items'!$B$2:$B$495,MATCH(E43,'Dashboard Items'!$A$2:$A$495,0)),""))="Program",IF(ISNUMBER(SEARCH("ks",G43)),IF(O43="No","Program, also at Key Service: not counted","Counts in Key Service gauge + sets Program chip"),IF(O43="No","Program: shown, no status chip","Sets Program status chip")),IF(IF(D43&lt;&gt;"",D43,IFERROR(INDEX('Dashboard Items'!$B$2:$B$495,MATCH(E43,'Dashboard Items'!$A$2:$A$495,0)),""))="Work System","Work System: shown, not counted","Check Level"))))</f>
        <v>Sets Program status chip</v>
      </c>
    </row>
    <row r="44" spans="1:21" s="119" customFormat="1" ht="15" customHeight="1" x14ac:dyDescent="0.2">
      <c r="A44" s="115" t="str">
        <f t="shared" si="1"/>
        <v>LIB</v>
      </c>
      <c r="B44" s="115" t="s">
        <v>627</v>
      </c>
      <c r="C44" s="116" t="s">
        <v>350</v>
      </c>
      <c r="D44" s="115" t="s">
        <v>30</v>
      </c>
      <c r="E44" s="115" t="s">
        <v>346</v>
      </c>
      <c r="F44" s="117" t="str">
        <f>IF(E44="","",IFERROR(IF(INDEX('Dashboard Items'!$B$2:$B$495,MATCH(E44,'Dashboard Items'!$A$2:$A$495,0))="Objective","Objectives go in the next column",IF(OR(D44="",INDEX('Dashboard Items'!$B$2:$B$495,MATCH(E44,'Dashboard Items'!$A$2:$A$495,0))=D44),INDEX('Dashboard Items'!$C$2:$C$495,MATCH(E44,'Dashboard Items'!$A$2:$A$495,0)),"Level does not match ID")),"ID not found"))</f>
        <v>Library Programming &amp; Outreach</v>
      </c>
      <c r="G44" s="118"/>
      <c r="H44" s="117" t="str">
        <f>IF(G44="","",IF(ISNUMBER(SEARCH(",",G44)),"Several items (the script lists them)",IFERROR(INDEX('Dashboard Items'!$B$2:$B$495,MATCH(G44,'Dashboard Items'!$A$2:$A$495,0))&amp;": "&amp;INDEX('Dashboard Items'!$C$2:$C$495,MATCH(G44,'Dashboard Items'!$A$2:$A$495,0)),"ID not found")))</f>
        <v/>
      </c>
      <c r="I44" s="115" t="s">
        <v>550</v>
      </c>
      <c r="J44" s="115">
        <v>2</v>
      </c>
      <c r="K44" s="115" t="s">
        <v>551</v>
      </c>
      <c r="L44" s="115" t="s">
        <v>552</v>
      </c>
      <c r="M44" s="115">
        <v>0</v>
      </c>
      <c r="N44" s="115">
        <v>0</v>
      </c>
      <c r="O44" s="115" t="s">
        <v>551</v>
      </c>
      <c r="P44" s="115" t="s">
        <v>624</v>
      </c>
      <c r="Q44" s="115" t="s">
        <v>625</v>
      </c>
      <c r="R44" s="115"/>
      <c r="S44" s="115"/>
      <c r="T44" s="115"/>
      <c r="U44" s="99" t="str">
        <f>IF(B44="","",IF(IF(D44&lt;&gt;"",D44,IFERROR(INDEX('Dashboard Items'!$B$2:$B$495,MATCH(E44,'Dashboard Items'!$A$2:$A$495,0)),""))="Key Service",IF(O44="No","Key Service: shown, not counted","Counts in Key Service gauge"),IF(IF(D44&lt;&gt;"",D44,IFERROR(INDEX('Dashboard Items'!$B$2:$B$495,MATCH(E44,'Dashboard Items'!$A$2:$A$495,0)),""))="Program",IF(ISNUMBER(SEARCH("ks",G44)),IF(O44="No","Program, also at Key Service: not counted","Counts in Key Service gauge + sets Program chip"),IF(O44="No","Program: shown, no status chip","Sets Program status chip")),IF(IF(D44&lt;&gt;"",D44,IFERROR(INDEX('Dashboard Items'!$B$2:$B$495,MATCH(E44,'Dashboard Items'!$A$2:$A$495,0)),""))="Work System","Work System: shown, not counted","Check Level"))))</f>
        <v>Sets Program status chip</v>
      </c>
    </row>
    <row r="45" spans="1:21" s="119" customFormat="1" ht="15" customHeight="1" x14ac:dyDescent="0.2">
      <c r="A45" s="115" t="str">
        <f t="shared" si="1"/>
        <v>LIB</v>
      </c>
      <c r="B45" s="115" t="s">
        <v>628</v>
      </c>
      <c r="C45" s="116" t="s">
        <v>349</v>
      </c>
      <c r="D45" s="115" t="s">
        <v>30</v>
      </c>
      <c r="E45" s="115" t="s">
        <v>346</v>
      </c>
      <c r="F45" s="117" t="str">
        <f>IF(E45="","",IFERROR(IF(INDEX('Dashboard Items'!$B$2:$B$495,MATCH(E45,'Dashboard Items'!$A$2:$A$495,0))="Objective","Objectives go in the next column",IF(OR(D45="",INDEX('Dashboard Items'!$B$2:$B$495,MATCH(E45,'Dashboard Items'!$A$2:$A$495,0))=D45),INDEX('Dashboard Items'!$C$2:$C$495,MATCH(E45,'Dashboard Items'!$A$2:$A$495,0)),"Level does not match ID")),"ID not found"))</f>
        <v>Library Programming &amp; Outreach</v>
      </c>
      <c r="G45" s="118"/>
      <c r="H45" s="117" t="str">
        <f>IF(G45="","",IF(ISNUMBER(SEARCH(",",G45)),"Several items (the script lists them)",IFERROR(INDEX('Dashboard Items'!$B$2:$B$495,MATCH(G45,'Dashboard Items'!$A$2:$A$495,0))&amp;": "&amp;INDEX('Dashboard Items'!$C$2:$C$495,MATCH(G45,'Dashboard Items'!$A$2:$A$495,0)),"ID not found")))</f>
        <v/>
      </c>
      <c r="I45" s="115" t="s">
        <v>550</v>
      </c>
      <c r="J45" s="115">
        <v>2</v>
      </c>
      <c r="K45" s="115" t="s">
        <v>551</v>
      </c>
      <c r="L45" s="115" t="s">
        <v>552</v>
      </c>
      <c r="M45" s="115">
        <v>0</v>
      </c>
      <c r="N45" s="115">
        <v>0</v>
      </c>
      <c r="O45" s="115" t="s">
        <v>551</v>
      </c>
      <c r="P45" s="115" t="s">
        <v>624</v>
      </c>
      <c r="Q45" s="115" t="s">
        <v>625</v>
      </c>
      <c r="R45" s="115"/>
      <c r="S45" s="115"/>
      <c r="T45" s="115"/>
      <c r="U45" s="99" t="str">
        <f>IF(B45="","",IF(IF(D45&lt;&gt;"",D45,IFERROR(INDEX('Dashboard Items'!$B$2:$B$495,MATCH(E45,'Dashboard Items'!$A$2:$A$495,0)),""))="Key Service",IF(O45="No","Key Service: shown, not counted","Counts in Key Service gauge"),IF(IF(D45&lt;&gt;"",D45,IFERROR(INDEX('Dashboard Items'!$B$2:$B$495,MATCH(E45,'Dashboard Items'!$A$2:$A$495,0)),""))="Program",IF(ISNUMBER(SEARCH("ks",G45)),IF(O45="No","Program, also at Key Service: not counted","Counts in Key Service gauge + sets Program chip"),IF(O45="No","Program: shown, no status chip","Sets Program status chip")),IF(IF(D45&lt;&gt;"",D45,IFERROR(INDEX('Dashboard Items'!$B$2:$B$495,MATCH(E45,'Dashboard Items'!$A$2:$A$495,0)),""))="Work System","Work System: shown, not counted","Check Level"))))</f>
        <v>Sets Program status chip</v>
      </c>
    </row>
    <row r="46" spans="1:21" s="119" customFormat="1" ht="15" customHeight="1" x14ac:dyDescent="0.2">
      <c r="A46" s="115" t="str">
        <f t="shared" si="1"/>
        <v>LIB</v>
      </c>
      <c r="B46" s="115" t="s">
        <v>629</v>
      </c>
      <c r="C46" s="116" t="s">
        <v>348</v>
      </c>
      <c r="D46" s="115" t="s">
        <v>30</v>
      </c>
      <c r="E46" s="115" t="s">
        <v>346</v>
      </c>
      <c r="F46" s="117" t="str">
        <f>IF(E46="","",IFERROR(IF(INDEX('Dashboard Items'!$B$2:$B$495,MATCH(E46,'Dashboard Items'!$A$2:$A$495,0))="Objective","Objectives go in the next column",IF(OR(D46="",INDEX('Dashboard Items'!$B$2:$B$495,MATCH(E46,'Dashboard Items'!$A$2:$A$495,0))=D46),INDEX('Dashboard Items'!$C$2:$C$495,MATCH(E46,'Dashboard Items'!$A$2:$A$495,0)),"Level does not match ID")),"ID not found"))</f>
        <v>Library Programming &amp; Outreach</v>
      </c>
      <c r="G46" s="118"/>
      <c r="H46" s="117" t="str">
        <f>IF(G46="","",IF(ISNUMBER(SEARCH(",",G46)),"Several items (the script lists them)",IFERROR(INDEX('Dashboard Items'!$B$2:$B$495,MATCH(G46,'Dashboard Items'!$A$2:$A$495,0))&amp;": "&amp;INDEX('Dashboard Items'!$C$2:$C$495,MATCH(G46,'Dashboard Items'!$A$2:$A$495,0)),"ID not found")))</f>
        <v/>
      </c>
      <c r="I46" s="115" t="s">
        <v>550</v>
      </c>
      <c r="J46" s="115">
        <v>2</v>
      </c>
      <c r="K46" s="115" t="s">
        <v>551</v>
      </c>
      <c r="L46" s="115" t="s">
        <v>552</v>
      </c>
      <c r="M46" s="115">
        <v>0</v>
      </c>
      <c r="N46" s="115">
        <v>0</v>
      </c>
      <c r="O46" s="115" t="s">
        <v>551</v>
      </c>
      <c r="P46" s="115" t="s">
        <v>624</v>
      </c>
      <c r="Q46" s="115" t="s">
        <v>625</v>
      </c>
      <c r="R46" s="115"/>
      <c r="S46" s="115"/>
      <c r="T46" s="115"/>
      <c r="U46" s="99" t="str">
        <f>IF(B46="","",IF(IF(D46&lt;&gt;"",D46,IFERROR(INDEX('Dashboard Items'!$B$2:$B$495,MATCH(E46,'Dashboard Items'!$A$2:$A$495,0)),""))="Key Service",IF(O46="No","Key Service: shown, not counted","Counts in Key Service gauge"),IF(IF(D46&lt;&gt;"",D46,IFERROR(INDEX('Dashboard Items'!$B$2:$B$495,MATCH(E46,'Dashboard Items'!$A$2:$A$495,0)),""))="Program",IF(ISNUMBER(SEARCH("ks",G46)),IF(O46="No","Program, also at Key Service: not counted","Counts in Key Service gauge + sets Program chip"),IF(O46="No","Program: shown, no status chip","Sets Program status chip")),IF(IF(D46&lt;&gt;"",D46,IFERROR(INDEX('Dashboard Items'!$B$2:$B$495,MATCH(E46,'Dashboard Items'!$A$2:$A$495,0)),""))="Work System","Work System: shown, not counted","Check Level"))))</f>
        <v>Sets Program status chip</v>
      </c>
    </row>
    <row r="47" spans="1:21" s="119" customFormat="1" ht="15" customHeight="1" x14ac:dyDescent="0.2">
      <c r="A47" s="115" t="str">
        <f t="shared" si="1"/>
        <v>LIB</v>
      </c>
      <c r="B47" s="115" t="s">
        <v>630</v>
      </c>
      <c r="C47" s="116" t="s">
        <v>344</v>
      </c>
      <c r="D47" s="115" t="s">
        <v>30</v>
      </c>
      <c r="E47" s="115" t="s">
        <v>343</v>
      </c>
      <c r="F47" s="117" t="str">
        <f>IF(E47="","",IFERROR(IF(INDEX('Dashboard Items'!$B$2:$B$495,MATCH(E47,'Dashboard Items'!$A$2:$A$495,0))="Objective","Objectives go in the next column",IF(OR(D47="",INDEX('Dashboard Items'!$B$2:$B$495,MATCH(E47,'Dashboard Items'!$A$2:$A$495,0))=D47),INDEX('Dashboard Items'!$C$2:$C$495,MATCH(E47,'Dashboard Items'!$A$2:$A$495,0)),"Level does not match ID")),"ID not found"))</f>
        <v>Library Direct Patron Service</v>
      </c>
      <c r="G47" s="118"/>
      <c r="H47" s="117" t="str">
        <f>IF(G47="","",IF(ISNUMBER(SEARCH(",",G47)),"Several items (the script lists them)",IFERROR(INDEX('Dashboard Items'!$B$2:$B$495,MATCH(G47,'Dashboard Items'!$A$2:$A$495,0))&amp;": "&amp;INDEX('Dashboard Items'!$C$2:$C$495,MATCH(G47,'Dashboard Items'!$A$2:$A$495,0)),"ID not found")))</f>
        <v/>
      </c>
      <c r="I47" s="115" t="s">
        <v>550</v>
      </c>
      <c r="J47" s="115">
        <v>2</v>
      </c>
      <c r="K47" s="115" t="s">
        <v>551</v>
      </c>
      <c r="L47" s="115" t="s">
        <v>552</v>
      </c>
      <c r="M47" s="115">
        <v>0</v>
      </c>
      <c r="N47" s="115">
        <v>0</v>
      </c>
      <c r="O47" s="115" t="s">
        <v>551</v>
      </c>
      <c r="P47" s="115" t="s">
        <v>624</v>
      </c>
      <c r="Q47" s="115" t="s">
        <v>625</v>
      </c>
      <c r="R47" s="115"/>
      <c r="S47" s="115"/>
      <c r="T47" s="115"/>
      <c r="U47" s="99" t="str">
        <f>IF(B47="","",IF(IF(D47&lt;&gt;"",D47,IFERROR(INDEX('Dashboard Items'!$B$2:$B$495,MATCH(E47,'Dashboard Items'!$A$2:$A$495,0)),""))="Key Service",IF(O47="No","Key Service: shown, not counted","Counts in Key Service gauge"),IF(IF(D47&lt;&gt;"",D47,IFERROR(INDEX('Dashboard Items'!$B$2:$B$495,MATCH(E47,'Dashboard Items'!$A$2:$A$495,0)),""))="Program",IF(ISNUMBER(SEARCH("ks",G47)),IF(O47="No","Program, also at Key Service: not counted","Counts in Key Service gauge + sets Program chip"),IF(O47="No","Program: shown, no status chip","Sets Program status chip")),IF(IF(D47&lt;&gt;"",D47,IFERROR(INDEX('Dashboard Items'!$B$2:$B$495,MATCH(E47,'Dashboard Items'!$A$2:$A$495,0)),""))="Work System","Work System: shown, not counted","Check Level"))))</f>
        <v>Sets Program status chip</v>
      </c>
    </row>
    <row r="48" spans="1:21" s="120" customFormat="1" ht="15" customHeight="1" x14ac:dyDescent="0.2">
      <c r="A48" s="115" t="str">
        <f t="shared" si="1"/>
        <v>LIB</v>
      </c>
      <c r="B48" s="115" t="s">
        <v>631</v>
      </c>
      <c r="C48" s="116" t="s">
        <v>340</v>
      </c>
      <c r="D48" s="115" t="s">
        <v>30</v>
      </c>
      <c r="E48" s="115" t="s">
        <v>338</v>
      </c>
      <c r="F48" s="117" t="str">
        <f>IF(E48="","",IFERROR(IF(INDEX('Dashboard Items'!$B$2:$B$495,MATCH(E48,'Dashboard Items'!$A$2:$A$495,0))="Objective","Objectives go in the next column",IF(OR(D48="",INDEX('Dashboard Items'!$B$2:$B$495,MATCH(E48,'Dashboard Items'!$A$2:$A$495,0))=D48),INDEX('Dashboard Items'!$C$2:$C$495,MATCH(E48,'Dashboard Items'!$A$2:$A$495,0)),"Level does not match ID")),"ID not found"))</f>
        <v>Library Space Utilization</v>
      </c>
      <c r="G48" s="118"/>
      <c r="H48" s="117" t="str">
        <f>IF(G48="","",IF(ISNUMBER(SEARCH(",",G48)),"Several items (the script lists them)",IFERROR(INDEX('Dashboard Items'!$B$2:$B$495,MATCH(G48,'Dashboard Items'!$A$2:$A$495,0))&amp;": "&amp;INDEX('Dashboard Items'!$C$2:$C$495,MATCH(G48,'Dashboard Items'!$A$2:$A$495,0)),"ID not found")))</f>
        <v/>
      </c>
      <c r="I48" s="115" t="s">
        <v>550</v>
      </c>
      <c r="J48" s="115">
        <v>2</v>
      </c>
      <c r="K48" s="115" t="s">
        <v>551</v>
      </c>
      <c r="L48" s="115" t="s">
        <v>552</v>
      </c>
      <c r="M48" s="115">
        <v>0</v>
      </c>
      <c r="N48" s="115">
        <v>0</v>
      </c>
      <c r="O48" s="115" t="s">
        <v>551</v>
      </c>
      <c r="P48" s="115" t="s">
        <v>624</v>
      </c>
      <c r="Q48" s="115" t="s">
        <v>625</v>
      </c>
      <c r="R48" s="115"/>
      <c r="S48" s="115"/>
      <c r="T48" s="115"/>
      <c r="U48" s="99" t="str">
        <f>IF(B48="","",IF(IF(D48&lt;&gt;"",D48,IFERROR(INDEX('Dashboard Items'!$B$2:$B$495,MATCH(E48,'Dashboard Items'!$A$2:$A$495,0)),""))="Key Service",IF(O48="No","Key Service: shown, not counted","Counts in Key Service gauge"),IF(IF(D48&lt;&gt;"",D48,IFERROR(INDEX('Dashboard Items'!$B$2:$B$495,MATCH(E48,'Dashboard Items'!$A$2:$A$495,0)),""))="Program",IF(ISNUMBER(SEARCH("ks",G48)),IF(O48="No","Program, also at Key Service: not counted","Counts in Key Service gauge + sets Program chip"),IF(O48="No","Program: shown, no status chip","Sets Program status chip")),IF(IF(D48&lt;&gt;"",D48,IFERROR(INDEX('Dashboard Items'!$B$2:$B$495,MATCH(E48,'Dashboard Items'!$A$2:$A$495,0)),""))="Work System","Work System: shown, not counted","Check Level"))))</f>
        <v>Sets Program status chip</v>
      </c>
    </row>
    <row r="49" spans="1:21" s="120" customFormat="1" ht="15" customHeight="1" x14ac:dyDescent="0.2">
      <c r="A49" s="115" t="str">
        <f t="shared" si="1"/>
        <v>LIB</v>
      </c>
      <c r="B49" s="115" t="s">
        <v>632</v>
      </c>
      <c r="C49" s="116" t="s">
        <v>347</v>
      </c>
      <c r="D49" s="115" t="s">
        <v>30</v>
      </c>
      <c r="E49" s="115" t="s">
        <v>346</v>
      </c>
      <c r="F49" s="117" t="str">
        <f>IF(E49="","",IFERROR(IF(INDEX('Dashboard Items'!$B$2:$B$495,MATCH(E49,'Dashboard Items'!$A$2:$A$495,0))="Objective","Objectives go in the next column",IF(OR(D49="",INDEX('Dashboard Items'!$B$2:$B$495,MATCH(E49,'Dashboard Items'!$A$2:$A$495,0))=D49),INDEX('Dashboard Items'!$C$2:$C$495,MATCH(E49,'Dashboard Items'!$A$2:$A$495,0)),"Level does not match ID")),"ID not found"))</f>
        <v>Library Programming &amp; Outreach</v>
      </c>
      <c r="G49" s="118"/>
      <c r="H49" s="117" t="str">
        <f>IF(G49="","",IF(ISNUMBER(SEARCH(",",G49)),"Several items (the script lists them)",IFERROR(INDEX('Dashboard Items'!$B$2:$B$495,MATCH(G49,'Dashboard Items'!$A$2:$A$495,0))&amp;": "&amp;INDEX('Dashboard Items'!$C$2:$C$495,MATCH(G49,'Dashboard Items'!$A$2:$A$495,0)),"ID not found")))</f>
        <v/>
      </c>
      <c r="I49" s="115" t="s">
        <v>550</v>
      </c>
      <c r="J49" s="115">
        <v>2</v>
      </c>
      <c r="K49" s="115" t="s">
        <v>551</v>
      </c>
      <c r="L49" s="115" t="s">
        <v>552</v>
      </c>
      <c r="M49" s="115">
        <v>0</v>
      </c>
      <c r="N49" s="115">
        <v>0</v>
      </c>
      <c r="O49" s="115" t="s">
        <v>551</v>
      </c>
      <c r="P49" s="115" t="s">
        <v>624</v>
      </c>
      <c r="Q49" s="115" t="s">
        <v>625</v>
      </c>
      <c r="R49" s="115"/>
      <c r="S49" s="115"/>
      <c r="T49" s="115"/>
      <c r="U49" s="99" t="str">
        <f>IF(B49="","",IF(IF(D49&lt;&gt;"",D49,IFERROR(INDEX('Dashboard Items'!$B$2:$B$495,MATCH(E49,'Dashboard Items'!$A$2:$A$495,0)),""))="Key Service",IF(O49="No","Key Service: shown, not counted","Counts in Key Service gauge"),IF(IF(D49&lt;&gt;"",D49,IFERROR(INDEX('Dashboard Items'!$B$2:$B$495,MATCH(E49,'Dashboard Items'!$A$2:$A$495,0)),""))="Program",IF(ISNUMBER(SEARCH("ks",G49)),IF(O49="No","Program, also at Key Service: not counted","Counts in Key Service gauge + sets Program chip"),IF(O49="No","Program: shown, no status chip","Sets Program status chip")),IF(IF(D49&lt;&gt;"",D49,IFERROR(INDEX('Dashboard Items'!$B$2:$B$495,MATCH(E49,'Dashboard Items'!$A$2:$A$495,0)),""))="Work System","Work System: shown, not counted","Check Level"))))</f>
        <v>Sets Program status chip</v>
      </c>
    </row>
    <row r="50" spans="1:21" s="120" customFormat="1" ht="15" customHeight="1" x14ac:dyDescent="0.2">
      <c r="A50" s="115" t="str">
        <f t="shared" si="1"/>
        <v>LIB</v>
      </c>
      <c r="B50" s="115" t="s">
        <v>633</v>
      </c>
      <c r="C50" s="116" t="s">
        <v>339</v>
      </c>
      <c r="D50" s="115" t="s">
        <v>30</v>
      </c>
      <c r="E50" s="115" t="s">
        <v>338</v>
      </c>
      <c r="F50" s="117" t="str">
        <f>IF(E50="","",IFERROR(IF(INDEX('Dashboard Items'!$B$2:$B$495,MATCH(E50,'Dashboard Items'!$A$2:$A$495,0))="Objective","Objectives go in the next column",IF(OR(D50="",INDEX('Dashboard Items'!$B$2:$B$495,MATCH(E50,'Dashboard Items'!$A$2:$A$495,0))=D50),INDEX('Dashboard Items'!$C$2:$C$495,MATCH(E50,'Dashboard Items'!$A$2:$A$495,0)),"Level does not match ID")),"ID not found"))</f>
        <v>Library Space Utilization</v>
      </c>
      <c r="G50" s="118" t="s">
        <v>623</v>
      </c>
      <c r="H50" s="117" t="str">
        <f>IF(G50="","",IF(ISNUMBER(SEARCH(",",G50)),"Several items (the script lists them)",IFERROR(INDEX('Dashboard Items'!$B$2:$B$495,MATCH(G50,'Dashboard Items'!$A$2:$A$495,0))&amp;": "&amp;INDEX('Dashboard Items'!$C$2:$C$495,MATCH(G50,'Dashboard Items'!$A$2:$A$495,0)),"ID not found")))</f>
        <v>Key Service: Library &amp; Learning Services</v>
      </c>
      <c r="I50" s="115" t="s">
        <v>550</v>
      </c>
      <c r="J50" s="115">
        <v>0</v>
      </c>
      <c r="K50" s="115" t="s">
        <v>551</v>
      </c>
      <c r="L50" s="115" t="s">
        <v>552</v>
      </c>
      <c r="M50" s="115">
        <v>0</v>
      </c>
      <c r="N50" s="115">
        <v>0</v>
      </c>
      <c r="O50" s="115" t="s">
        <v>551</v>
      </c>
      <c r="P50" s="115" t="s">
        <v>624</v>
      </c>
      <c r="Q50" s="115" t="s">
        <v>625</v>
      </c>
      <c r="R50" s="115"/>
      <c r="S50" s="115"/>
      <c r="T50" s="115"/>
      <c r="U50" s="99" t="str">
        <f>IF(B50="","",IF(IF(D50&lt;&gt;"",D50,IFERROR(INDEX('Dashboard Items'!$B$2:$B$495,MATCH(E50,'Dashboard Items'!$A$2:$A$495,0)),""))="Key Service",IF(O50="No","Key Service: shown, not counted","Counts in Key Service gauge"),IF(IF(D50&lt;&gt;"",D50,IFERROR(INDEX('Dashboard Items'!$B$2:$B$495,MATCH(E50,'Dashboard Items'!$A$2:$A$495,0)),""))="Program",IF(ISNUMBER(SEARCH("ks",G50)),IF(O50="No","Program, also at Key Service: not counted","Counts in Key Service gauge + sets Program chip"),IF(O50="No","Program: shown, no status chip","Sets Program status chip")),IF(IF(D50&lt;&gt;"",D50,IFERROR(INDEX('Dashboard Items'!$B$2:$B$495,MATCH(E50,'Dashboard Items'!$A$2:$A$495,0)),""))="Work System","Work System: shown, not counted","Check Level"))))</f>
        <v>Counts in Key Service gauge + sets Program chip</v>
      </c>
    </row>
    <row r="51" spans="1:21" s="120" customFormat="1" ht="15" customHeight="1" x14ac:dyDescent="0.2">
      <c r="A51" s="121" t="str">
        <f t="shared" si="1"/>
        <v>PD</v>
      </c>
      <c r="B51" s="122" t="s">
        <v>634</v>
      </c>
      <c r="C51" s="123" t="s">
        <v>222</v>
      </c>
      <c r="D51" s="122" t="s">
        <v>30</v>
      </c>
      <c r="E51" s="124" t="s">
        <v>217</v>
      </c>
      <c r="F51" s="125" t="str">
        <f>IF(E51="","",IFERROR(IF(INDEX('Dashboard Items'!$B$2:$B$495,MATCH(E51,'Dashboard Items'!$A$2:$A$495,0))="Objective","Objectives go in the next column",IF(OR(D51="",INDEX('Dashboard Items'!$B$2:$B$495,MATCH(E51,'Dashboard Items'!$A$2:$A$495,0))=D51),INDEX('Dashboard Items'!$C$2:$C$495,MATCH(E51,'Dashboard Items'!$A$2:$A$495,0)),"Level does not match ID")),"ID not found"))</f>
        <v>Administrative Public Safety Services</v>
      </c>
      <c r="G51" s="124"/>
      <c r="H51" s="125" t="str">
        <f>IF(G51="","",IF(ISNUMBER(SEARCH(",",G51)),"Several items (the script lists them)",IFERROR(INDEX('Dashboard Items'!$B$2:$B$495,MATCH(G51,'Dashboard Items'!$A$2:$A$495,0))&amp;": "&amp;INDEX('Dashboard Items'!$C$2:$C$495,MATCH(G51,'Dashboard Items'!$A$2:$A$495,0)),"ID not found")))</f>
        <v/>
      </c>
      <c r="I51" s="122" t="s">
        <v>550</v>
      </c>
      <c r="J51" s="122">
        <v>2</v>
      </c>
      <c r="K51" s="122" t="s">
        <v>551</v>
      </c>
      <c r="L51" s="122" t="s">
        <v>552</v>
      </c>
      <c r="M51" s="122">
        <v>0</v>
      </c>
      <c r="N51" s="122">
        <v>0</v>
      </c>
      <c r="O51" s="122" t="s">
        <v>551</v>
      </c>
      <c r="P51" s="122" t="s">
        <v>553</v>
      </c>
      <c r="Q51" s="122" t="s">
        <v>554</v>
      </c>
      <c r="R51" s="122"/>
      <c r="S51" s="122"/>
      <c r="T51" s="122"/>
      <c r="U51" s="99" t="str">
        <f>IF(B51="","",IF(IF(D51&lt;&gt;"",D51,IFERROR(INDEX('Dashboard Items'!$B$2:$B$495,MATCH(E51,'Dashboard Items'!$A$2:$A$495,0)),""))="Key Service",IF(O51="No","Key Service: shown, not counted","Counts in Key Service gauge"),IF(IF(D51&lt;&gt;"",D51,IFERROR(INDEX('Dashboard Items'!$B$2:$B$495,MATCH(E51,'Dashboard Items'!$A$2:$A$495,0)),""))="Program",IF(ISNUMBER(SEARCH("ks",G51)),IF(O51="No","Program, also at Key Service: not counted","Counts in Key Service gauge + sets Program chip"),IF(O51="No","Program: shown, no status chip","Sets Program status chip")),IF(IF(D51&lt;&gt;"",D51,IFERROR(INDEX('Dashboard Items'!$B$2:$B$495,MATCH(E51,'Dashboard Items'!$A$2:$A$495,0)),""))="Work System","Work System: shown, not counted","Check Level"))))</f>
        <v>Sets Program status chip</v>
      </c>
    </row>
    <row r="52" spans="1:21" s="120" customFormat="1" ht="15" customHeight="1" x14ac:dyDescent="0.2">
      <c r="A52" s="121" t="str">
        <f t="shared" si="1"/>
        <v>PD</v>
      </c>
      <c r="B52" s="122" t="s">
        <v>635</v>
      </c>
      <c r="C52" s="123" t="s">
        <v>460</v>
      </c>
      <c r="D52" s="122" t="s">
        <v>29</v>
      </c>
      <c r="E52" s="122" t="s">
        <v>558</v>
      </c>
      <c r="F52" s="125" t="str">
        <f>IF(E52="","",IFERROR(IF(INDEX('Dashboard Items'!$B$2:$B$495,MATCH(E52,'Dashboard Items'!$A$2:$A$495,0))="Objective","Objectives go in the next column",IF(OR(D52="",INDEX('Dashboard Items'!$B$2:$B$495,MATCH(E52,'Dashboard Items'!$A$2:$A$495,0))=D52),INDEX('Dashboard Items'!$C$2:$C$495,MATCH(E52,'Dashboard Items'!$A$2:$A$495,0)),"Level does not match ID")),"ID not found"))</f>
        <v>Public Safety Services</v>
      </c>
      <c r="G52" s="124"/>
      <c r="H52" s="125" t="str">
        <f>IF(G52="","",IF(ISNUMBER(SEARCH(",",G52)),"Several items (the script lists them)",IFERROR(INDEX('Dashboard Items'!$B$2:$B$495,MATCH(G52,'Dashboard Items'!$A$2:$A$495,0))&amp;": "&amp;INDEX('Dashboard Items'!$C$2:$C$495,MATCH(G52,'Dashboard Items'!$A$2:$A$495,0)),"ID not found")))</f>
        <v/>
      </c>
      <c r="I52" s="122" t="s">
        <v>550</v>
      </c>
      <c r="J52" s="122">
        <v>2</v>
      </c>
      <c r="K52" s="122" t="s">
        <v>551</v>
      </c>
      <c r="L52" s="122" t="s">
        <v>552</v>
      </c>
      <c r="M52" s="122">
        <v>0</v>
      </c>
      <c r="N52" s="122">
        <v>0</v>
      </c>
      <c r="O52" s="122" t="s">
        <v>551</v>
      </c>
      <c r="P52" s="122" t="s">
        <v>553</v>
      </c>
      <c r="Q52" s="122" t="s">
        <v>554</v>
      </c>
      <c r="R52" s="122"/>
      <c r="S52" s="122"/>
      <c r="T52" s="122"/>
      <c r="U52" s="99" t="str">
        <f>IF(B52="","",IF(IF(D52&lt;&gt;"",D52,IFERROR(INDEX('Dashboard Items'!$B$2:$B$495,MATCH(E52,'Dashboard Items'!$A$2:$A$495,0)),""))="Key Service",IF(O52="No","Key Service: shown, not counted","Counts in Key Service gauge"),IF(IF(D52&lt;&gt;"",D52,IFERROR(INDEX('Dashboard Items'!$B$2:$B$495,MATCH(E52,'Dashboard Items'!$A$2:$A$495,0)),""))="Program",IF(ISNUMBER(SEARCH("ks",G52)),IF(O52="No","Program, also at Key Service: not counted","Counts in Key Service gauge + sets Program chip"),IF(O52="No","Program: shown, no status chip","Sets Program status chip")),IF(IF(D52&lt;&gt;"",D52,IFERROR(INDEX('Dashboard Items'!$B$2:$B$495,MATCH(E52,'Dashboard Items'!$A$2:$A$495,0)),""))="Work System","Work System: shown, not counted","Check Level"))))</f>
        <v>Counts in Key Service gauge</v>
      </c>
    </row>
    <row r="53" spans="1:21" s="120" customFormat="1" ht="15" customHeight="1" x14ac:dyDescent="0.2">
      <c r="A53" s="121" t="str">
        <f t="shared" si="1"/>
        <v>PD</v>
      </c>
      <c r="B53" s="122" t="s">
        <v>636</v>
      </c>
      <c r="C53" s="123" t="s">
        <v>209</v>
      </c>
      <c r="D53" s="122" t="s">
        <v>30</v>
      </c>
      <c r="E53" s="124" t="s">
        <v>217</v>
      </c>
      <c r="F53" s="125" t="str">
        <f>IF(E53="","",IFERROR(IF(INDEX('Dashboard Items'!$B$2:$B$495,MATCH(E53,'Dashboard Items'!$A$2:$A$495,0))="Objective","Objectives go in the next column",IF(OR(D53="",INDEX('Dashboard Items'!$B$2:$B$495,MATCH(E53,'Dashboard Items'!$A$2:$A$495,0))=D53),INDEX('Dashboard Items'!$C$2:$C$495,MATCH(E53,'Dashboard Items'!$A$2:$A$495,0)),"Level does not match ID")),"ID not found"))</f>
        <v>Administrative Public Safety Services</v>
      </c>
      <c r="G53" s="124" t="s">
        <v>207</v>
      </c>
      <c r="H53" s="125" t="str">
        <f>IF(G53="","",IF(ISNUMBER(SEARCH(",",G53)),"Several items (the script lists them)",IFERROR(INDEX('Dashboard Items'!$B$2:$B$495,MATCH(G53,'Dashboard Items'!$A$2:$A$495,0))&amp;": "&amp;INDEX('Dashboard Items'!$C$2:$C$495,MATCH(G53,'Dashboard Items'!$A$2:$A$495,0)),"ID not found")))</f>
        <v>Program: Criminal Investigations</v>
      </c>
      <c r="I53" s="122" t="s">
        <v>550</v>
      </c>
      <c r="J53" s="122">
        <v>2</v>
      </c>
      <c r="K53" s="122" t="s">
        <v>551</v>
      </c>
      <c r="L53" s="122" t="s">
        <v>552</v>
      </c>
      <c r="M53" s="122">
        <v>0</v>
      </c>
      <c r="N53" s="122">
        <v>0</v>
      </c>
      <c r="O53" s="122" t="s">
        <v>551</v>
      </c>
      <c r="P53" s="122" t="s">
        <v>553</v>
      </c>
      <c r="Q53" s="122" t="s">
        <v>554</v>
      </c>
      <c r="R53" s="122"/>
      <c r="S53" s="122"/>
      <c r="T53" s="122"/>
      <c r="U53" s="99" t="str">
        <f>IF(B53="","",IF(IF(D53&lt;&gt;"",D53,IFERROR(INDEX('Dashboard Items'!$B$2:$B$495,MATCH(E53,'Dashboard Items'!$A$2:$A$495,0)),""))="Key Service",IF(O53="No","Key Service: shown, not counted","Counts in Key Service gauge"),IF(IF(D53&lt;&gt;"",D53,IFERROR(INDEX('Dashboard Items'!$B$2:$B$495,MATCH(E53,'Dashboard Items'!$A$2:$A$495,0)),""))="Program",IF(ISNUMBER(SEARCH("ks",G53)),IF(O53="No","Program, also at Key Service: not counted","Counts in Key Service gauge + sets Program chip"),IF(O53="No","Program: shown, no status chip","Sets Program status chip")),IF(IF(D53&lt;&gt;"",D53,IFERROR(INDEX('Dashboard Items'!$B$2:$B$495,MATCH(E53,'Dashboard Items'!$A$2:$A$495,0)),""))="Work System","Work System: shown, not counted","Check Level"))))</f>
        <v>Sets Program status chip</v>
      </c>
    </row>
    <row r="54" spans="1:21" s="120" customFormat="1" ht="15" customHeight="1" x14ac:dyDescent="0.2">
      <c r="A54" s="121" t="str">
        <f t="shared" si="1"/>
        <v>PD</v>
      </c>
      <c r="B54" s="122" t="s">
        <v>637</v>
      </c>
      <c r="C54" s="123" t="s">
        <v>221</v>
      </c>
      <c r="D54" s="122" t="s">
        <v>30</v>
      </c>
      <c r="E54" s="124" t="s">
        <v>217</v>
      </c>
      <c r="F54" s="125" t="str">
        <f>IF(E54="","",IFERROR(IF(INDEX('Dashboard Items'!$B$2:$B$495,MATCH(E54,'Dashboard Items'!$A$2:$A$495,0))="Objective","Objectives go in the next column",IF(OR(D54="",INDEX('Dashboard Items'!$B$2:$B$495,MATCH(E54,'Dashboard Items'!$A$2:$A$495,0))=D54),INDEX('Dashboard Items'!$C$2:$C$495,MATCH(E54,'Dashboard Items'!$A$2:$A$495,0)),"Level does not match ID")),"ID not found"))</f>
        <v>Administrative Public Safety Services</v>
      </c>
      <c r="G54" s="124"/>
      <c r="H54" s="125" t="str">
        <f>IF(G54="","",IF(ISNUMBER(SEARCH(",",G54)),"Several items (the script lists them)",IFERROR(INDEX('Dashboard Items'!$B$2:$B$495,MATCH(G54,'Dashboard Items'!$A$2:$A$495,0))&amp;": "&amp;INDEX('Dashboard Items'!$C$2:$C$495,MATCH(G54,'Dashboard Items'!$A$2:$A$495,0)),"ID not found")))</f>
        <v/>
      </c>
      <c r="I54" s="122" t="s">
        <v>550</v>
      </c>
      <c r="J54" s="122">
        <v>2</v>
      </c>
      <c r="K54" s="122" t="s">
        <v>551</v>
      </c>
      <c r="L54" s="122" t="s">
        <v>552</v>
      </c>
      <c r="M54" s="122">
        <v>0</v>
      </c>
      <c r="N54" s="122">
        <v>0</v>
      </c>
      <c r="O54" s="122" t="s">
        <v>551</v>
      </c>
      <c r="P54" s="122" t="s">
        <v>553</v>
      </c>
      <c r="Q54" s="122" t="s">
        <v>554</v>
      </c>
      <c r="R54" s="122"/>
      <c r="S54" s="122"/>
      <c r="T54" s="122"/>
      <c r="U54" s="99" t="str">
        <f>IF(B54="","",IF(IF(D54&lt;&gt;"",D54,IFERROR(INDEX('Dashboard Items'!$B$2:$B$495,MATCH(E54,'Dashboard Items'!$A$2:$A$495,0)),""))="Key Service",IF(O54="No","Key Service: shown, not counted","Counts in Key Service gauge"),IF(IF(D54&lt;&gt;"",D54,IFERROR(INDEX('Dashboard Items'!$B$2:$B$495,MATCH(E54,'Dashboard Items'!$A$2:$A$495,0)),""))="Program",IF(ISNUMBER(SEARCH("ks",G54)),IF(O54="No","Program, also at Key Service: not counted","Counts in Key Service gauge + sets Program chip"),IF(O54="No","Program: shown, no status chip","Sets Program status chip")),IF(IF(D54&lt;&gt;"",D54,IFERROR(INDEX('Dashboard Items'!$B$2:$B$495,MATCH(E54,'Dashboard Items'!$A$2:$A$495,0)),""))="Work System","Work System: shown, not counted","Check Level"))))</f>
        <v>Sets Program status chip</v>
      </c>
    </row>
    <row r="55" spans="1:21" s="120" customFormat="1" ht="15" customHeight="1" x14ac:dyDescent="0.2">
      <c r="A55" s="121" t="str">
        <f t="shared" si="1"/>
        <v>PD</v>
      </c>
      <c r="B55" s="122" t="s">
        <v>638</v>
      </c>
      <c r="C55" s="123" t="s">
        <v>228</v>
      </c>
      <c r="D55" s="122" t="s">
        <v>30</v>
      </c>
      <c r="E55" s="122" t="s">
        <v>225</v>
      </c>
      <c r="F55" s="125" t="str">
        <f>IF(E55="","",IFERROR(IF(INDEX('Dashboard Items'!$B$2:$B$495,MATCH(E55,'Dashboard Items'!$A$2:$A$495,0))="Objective","Objectives go in the next column",IF(OR(D55="",INDEX('Dashboard Items'!$B$2:$B$495,MATCH(E55,'Dashboard Items'!$A$2:$A$495,0))=D55),INDEX('Dashboard Items'!$C$2:$C$495,MATCH(E55,'Dashboard Items'!$A$2:$A$495,0)),"Level does not match ID")),"ID not found"))</f>
        <v>Special Operations</v>
      </c>
      <c r="G55" s="124"/>
      <c r="H55" s="125" t="str">
        <f>IF(G55="","",IF(ISNUMBER(SEARCH(",",G55)),"Several items (the script lists them)",IFERROR(INDEX('Dashboard Items'!$B$2:$B$495,MATCH(G55,'Dashboard Items'!$A$2:$A$495,0))&amp;": "&amp;INDEX('Dashboard Items'!$C$2:$C$495,MATCH(G55,'Dashboard Items'!$A$2:$A$495,0)),"ID not found")))</f>
        <v/>
      </c>
      <c r="I55" s="122" t="s">
        <v>550</v>
      </c>
      <c r="J55" s="122">
        <v>2</v>
      </c>
      <c r="K55" s="122" t="s">
        <v>551</v>
      </c>
      <c r="L55" s="122" t="s">
        <v>552</v>
      </c>
      <c r="M55" s="122">
        <v>0</v>
      </c>
      <c r="N55" s="122">
        <v>0</v>
      </c>
      <c r="O55" s="122" t="s">
        <v>551</v>
      </c>
      <c r="P55" s="122" t="s">
        <v>553</v>
      </c>
      <c r="Q55" s="122" t="s">
        <v>554</v>
      </c>
      <c r="R55" s="122"/>
      <c r="S55" s="122"/>
      <c r="T55" s="122"/>
      <c r="U55" s="99" t="str">
        <f>IF(B55="","",IF(IF(D55&lt;&gt;"",D55,IFERROR(INDEX('Dashboard Items'!$B$2:$B$495,MATCH(E55,'Dashboard Items'!$A$2:$A$495,0)),""))="Key Service",IF(O55="No","Key Service: shown, not counted","Counts in Key Service gauge"),IF(IF(D55&lt;&gt;"",D55,IFERROR(INDEX('Dashboard Items'!$B$2:$B$495,MATCH(E55,'Dashboard Items'!$A$2:$A$495,0)),""))="Program",IF(ISNUMBER(SEARCH("ks",G55)),IF(O55="No","Program, also at Key Service: not counted","Counts in Key Service gauge + sets Program chip"),IF(O55="No","Program: shown, no status chip","Sets Program status chip")),IF(IF(D55&lt;&gt;"",D55,IFERROR(INDEX('Dashboard Items'!$B$2:$B$495,MATCH(E55,'Dashboard Items'!$A$2:$A$495,0)),""))="Work System","Work System: shown, not counted","Check Level"))))</f>
        <v>Sets Program status chip</v>
      </c>
    </row>
    <row r="56" spans="1:21" s="120" customFormat="1" ht="15" customHeight="1" x14ac:dyDescent="0.2">
      <c r="A56" s="121" t="str">
        <f t="shared" si="1"/>
        <v>PD</v>
      </c>
      <c r="B56" s="122" t="s">
        <v>639</v>
      </c>
      <c r="C56" s="123" t="s">
        <v>227</v>
      </c>
      <c r="D56" s="122" t="s">
        <v>30</v>
      </c>
      <c r="E56" s="122" t="s">
        <v>225</v>
      </c>
      <c r="F56" s="125" t="str">
        <f>IF(E56="","",IFERROR(IF(INDEX('Dashboard Items'!$B$2:$B$495,MATCH(E56,'Dashboard Items'!$A$2:$A$495,0))="Objective","Objectives go in the next column",IF(OR(D56="",INDEX('Dashboard Items'!$B$2:$B$495,MATCH(E56,'Dashboard Items'!$A$2:$A$495,0))=D56),INDEX('Dashboard Items'!$C$2:$C$495,MATCH(E56,'Dashboard Items'!$A$2:$A$495,0)),"Level does not match ID")),"ID not found"))</f>
        <v>Special Operations</v>
      </c>
      <c r="G56" s="124"/>
      <c r="H56" s="125" t="str">
        <f>IF(G56="","",IF(ISNUMBER(SEARCH(",",G56)),"Several items (the script lists them)",IFERROR(INDEX('Dashboard Items'!$B$2:$B$495,MATCH(G56,'Dashboard Items'!$A$2:$A$495,0))&amp;": "&amp;INDEX('Dashboard Items'!$C$2:$C$495,MATCH(G56,'Dashboard Items'!$A$2:$A$495,0)),"ID not found")))</f>
        <v/>
      </c>
      <c r="I56" s="122" t="s">
        <v>550</v>
      </c>
      <c r="J56" s="122">
        <v>2</v>
      </c>
      <c r="K56" s="122" t="s">
        <v>551</v>
      </c>
      <c r="L56" s="122" t="s">
        <v>552</v>
      </c>
      <c r="M56" s="122">
        <v>0</v>
      </c>
      <c r="N56" s="122">
        <v>0</v>
      </c>
      <c r="O56" s="122" t="s">
        <v>551</v>
      </c>
      <c r="P56" s="122" t="s">
        <v>553</v>
      </c>
      <c r="Q56" s="122" t="s">
        <v>554</v>
      </c>
      <c r="R56" s="122"/>
      <c r="S56" s="122"/>
      <c r="T56" s="122"/>
      <c r="U56" s="99" t="str">
        <f>IF(B56="","",IF(IF(D56&lt;&gt;"",D56,IFERROR(INDEX('Dashboard Items'!$B$2:$B$495,MATCH(E56,'Dashboard Items'!$A$2:$A$495,0)),""))="Key Service",IF(O56="No","Key Service: shown, not counted","Counts in Key Service gauge"),IF(IF(D56&lt;&gt;"",D56,IFERROR(INDEX('Dashboard Items'!$B$2:$B$495,MATCH(E56,'Dashboard Items'!$A$2:$A$495,0)),""))="Program",IF(ISNUMBER(SEARCH("ks",G56)),IF(O56="No","Program, also at Key Service: not counted","Counts in Key Service gauge + sets Program chip"),IF(O56="No","Program: shown, no status chip","Sets Program status chip")),IF(IF(D56&lt;&gt;"",D56,IFERROR(INDEX('Dashboard Items'!$B$2:$B$495,MATCH(E56,'Dashboard Items'!$A$2:$A$495,0)),""))="Work System","Work System: shown, not counted","Check Level"))))</f>
        <v>Sets Program status chip</v>
      </c>
    </row>
    <row r="57" spans="1:21" s="120" customFormat="1" ht="15" customHeight="1" x14ac:dyDescent="0.2">
      <c r="A57" s="121" t="str">
        <f t="shared" si="1"/>
        <v>PD</v>
      </c>
      <c r="B57" s="122" t="s">
        <v>640</v>
      </c>
      <c r="C57" s="123" t="s">
        <v>220</v>
      </c>
      <c r="D57" s="122" t="s">
        <v>30</v>
      </c>
      <c r="E57" s="124" t="s">
        <v>217</v>
      </c>
      <c r="F57" s="125" t="str">
        <f>IF(E57="","",IFERROR(IF(INDEX('Dashboard Items'!$B$2:$B$495,MATCH(E57,'Dashboard Items'!$A$2:$A$495,0))="Objective","Objectives go in the next column",IF(OR(D57="",INDEX('Dashboard Items'!$B$2:$B$495,MATCH(E57,'Dashboard Items'!$A$2:$A$495,0))=D57),INDEX('Dashboard Items'!$C$2:$C$495,MATCH(E57,'Dashboard Items'!$A$2:$A$495,0)),"Level does not match ID")),"ID not found"))</f>
        <v>Administrative Public Safety Services</v>
      </c>
      <c r="G57" s="124"/>
      <c r="H57" s="125" t="str">
        <f>IF(G57="","",IF(ISNUMBER(SEARCH(",",G57)),"Several items (the script lists them)",IFERROR(INDEX('Dashboard Items'!$B$2:$B$495,MATCH(G57,'Dashboard Items'!$A$2:$A$495,0))&amp;": "&amp;INDEX('Dashboard Items'!$C$2:$C$495,MATCH(G57,'Dashboard Items'!$A$2:$A$495,0)),"ID not found")))</f>
        <v/>
      </c>
      <c r="I57" s="122" t="s">
        <v>550</v>
      </c>
      <c r="J57" s="122">
        <v>2</v>
      </c>
      <c r="K57" s="122" t="s">
        <v>551</v>
      </c>
      <c r="L57" s="122" t="s">
        <v>552</v>
      </c>
      <c r="M57" s="122">
        <v>0</v>
      </c>
      <c r="N57" s="122">
        <v>0</v>
      </c>
      <c r="O57" s="122" t="s">
        <v>551</v>
      </c>
      <c r="P57" s="122" t="s">
        <v>553</v>
      </c>
      <c r="Q57" s="122" t="s">
        <v>554</v>
      </c>
      <c r="R57" s="122"/>
      <c r="S57" s="122"/>
      <c r="T57" s="122"/>
      <c r="U57" s="99" t="str">
        <f>IF(B57="","",IF(IF(D57&lt;&gt;"",D57,IFERROR(INDEX('Dashboard Items'!$B$2:$B$495,MATCH(E57,'Dashboard Items'!$A$2:$A$495,0)),""))="Key Service",IF(O57="No","Key Service: shown, not counted","Counts in Key Service gauge"),IF(IF(D57&lt;&gt;"",D57,IFERROR(INDEX('Dashboard Items'!$B$2:$B$495,MATCH(E57,'Dashboard Items'!$A$2:$A$495,0)),""))="Program",IF(ISNUMBER(SEARCH("ks",G57)),IF(O57="No","Program, also at Key Service: not counted","Counts in Key Service gauge + sets Program chip"),IF(O57="No","Program: shown, no status chip","Sets Program status chip")),IF(IF(D57&lt;&gt;"",D57,IFERROR(INDEX('Dashboard Items'!$B$2:$B$495,MATCH(E57,'Dashboard Items'!$A$2:$A$495,0)),""))="Work System","Work System: shown, not counted","Check Level"))))</f>
        <v>Sets Program status chip</v>
      </c>
    </row>
    <row r="58" spans="1:21" s="120" customFormat="1" ht="15" customHeight="1" x14ac:dyDescent="0.2">
      <c r="A58" s="121" t="str">
        <f t="shared" si="1"/>
        <v>PD</v>
      </c>
      <c r="B58" s="122" t="s">
        <v>641</v>
      </c>
      <c r="C58" s="123" t="s">
        <v>230</v>
      </c>
      <c r="D58" s="122" t="s">
        <v>30</v>
      </c>
      <c r="E58" s="122" t="s">
        <v>225</v>
      </c>
      <c r="F58" s="125" t="str">
        <f>IF(E58="","",IFERROR(IF(INDEX('Dashboard Items'!$B$2:$B$495,MATCH(E58,'Dashboard Items'!$A$2:$A$495,0))="Objective","Objectives go in the next column",IF(OR(D58="",INDEX('Dashboard Items'!$B$2:$B$495,MATCH(E58,'Dashboard Items'!$A$2:$A$495,0))=D58),INDEX('Dashboard Items'!$C$2:$C$495,MATCH(E58,'Dashboard Items'!$A$2:$A$495,0)),"Level does not match ID")),"ID not found"))</f>
        <v>Special Operations</v>
      </c>
      <c r="G58" s="124"/>
      <c r="H58" s="125" t="str">
        <f>IF(G58="","",IF(ISNUMBER(SEARCH(",",G58)),"Several items (the script lists them)",IFERROR(INDEX('Dashboard Items'!$B$2:$B$495,MATCH(G58,'Dashboard Items'!$A$2:$A$495,0))&amp;": "&amp;INDEX('Dashboard Items'!$C$2:$C$495,MATCH(G58,'Dashboard Items'!$A$2:$A$495,0)),"ID not found")))</f>
        <v/>
      </c>
      <c r="I58" s="122" t="s">
        <v>550</v>
      </c>
      <c r="J58" s="122">
        <v>2</v>
      </c>
      <c r="K58" s="122" t="s">
        <v>551</v>
      </c>
      <c r="L58" s="122" t="s">
        <v>552</v>
      </c>
      <c r="M58" s="122">
        <v>0</v>
      </c>
      <c r="N58" s="122">
        <v>0</v>
      </c>
      <c r="O58" s="122" t="s">
        <v>551</v>
      </c>
      <c r="P58" s="122" t="s">
        <v>553</v>
      </c>
      <c r="Q58" s="122" t="s">
        <v>554</v>
      </c>
      <c r="R58" s="122"/>
      <c r="S58" s="122"/>
      <c r="T58" s="122"/>
      <c r="U58" s="99" t="str">
        <f>IF(B58="","",IF(IF(D58&lt;&gt;"",D58,IFERROR(INDEX('Dashboard Items'!$B$2:$B$495,MATCH(E58,'Dashboard Items'!$A$2:$A$495,0)),""))="Key Service",IF(O58="No","Key Service: shown, not counted","Counts in Key Service gauge"),IF(IF(D58&lt;&gt;"",D58,IFERROR(INDEX('Dashboard Items'!$B$2:$B$495,MATCH(E58,'Dashboard Items'!$A$2:$A$495,0)),""))="Program",IF(ISNUMBER(SEARCH("ks",G58)),IF(O58="No","Program, also at Key Service: not counted","Counts in Key Service gauge + sets Program chip"),IF(O58="No","Program: shown, no status chip","Sets Program status chip")),IF(IF(D58&lt;&gt;"",D58,IFERROR(INDEX('Dashboard Items'!$B$2:$B$495,MATCH(E58,'Dashboard Items'!$A$2:$A$495,0)),""))="Work System","Work System: shown, not counted","Check Level"))))</f>
        <v>Sets Program status chip</v>
      </c>
    </row>
    <row r="59" spans="1:21" s="120" customFormat="1" ht="15" customHeight="1" x14ac:dyDescent="0.2">
      <c r="A59" s="121" t="str">
        <f t="shared" si="1"/>
        <v>PD</v>
      </c>
      <c r="B59" s="122" t="s">
        <v>642</v>
      </c>
      <c r="C59" s="123" t="s">
        <v>461</v>
      </c>
      <c r="D59" s="122" t="s">
        <v>29</v>
      </c>
      <c r="E59" s="122" t="s">
        <v>558</v>
      </c>
      <c r="F59" s="125" t="str">
        <f>IF(E59="","",IFERROR(IF(INDEX('Dashboard Items'!$B$2:$B$495,MATCH(E59,'Dashboard Items'!$A$2:$A$495,0))="Objective","Objectives go in the next column",IF(OR(D59="",INDEX('Dashboard Items'!$B$2:$B$495,MATCH(E59,'Dashboard Items'!$A$2:$A$495,0))=D59),INDEX('Dashboard Items'!$C$2:$C$495,MATCH(E59,'Dashboard Items'!$A$2:$A$495,0)),"Level does not match ID")),"ID not found"))</f>
        <v>Public Safety Services</v>
      </c>
      <c r="G59" s="124"/>
      <c r="H59" s="125" t="str">
        <f>IF(G59="","",IF(ISNUMBER(SEARCH(",",G59)),"Several items (the script lists them)",IFERROR(INDEX('Dashboard Items'!$B$2:$B$495,MATCH(G59,'Dashboard Items'!$A$2:$A$495,0))&amp;": "&amp;INDEX('Dashboard Items'!$C$2:$C$495,MATCH(G59,'Dashboard Items'!$A$2:$A$495,0)),"ID not found")))</f>
        <v/>
      </c>
      <c r="I59" s="122" t="s">
        <v>550</v>
      </c>
      <c r="J59" s="122">
        <v>2</v>
      </c>
      <c r="K59" s="122" t="s">
        <v>551</v>
      </c>
      <c r="L59" s="122" t="s">
        <v>552</v>
      </c>
      <c r="M59" s="122">
        <v>0</v>
      </c>
      <c r="N59" s="122">
        <v>0</v>
      </c>
      <c r="O59" s="122" t="s">
        <v>551</v>
      </c>
      <c r="P59" s="122" t="s">
        <v>553</v>
      </c>
      <c r="Q59" s="122" t="s">
        <v>554</v>
      </c>
      <c r="R59" s="122"/>
      <c r="S59" s="122"/>
      <c r="T59" s="122"/>
      <c r="U59" s="99" t="str">
        <f>IF(B59="","",IF(IF(D59&lt;&gt;"",D59,IFERROR(INDEX('Dashboard Items'!$B$2:$B$495,MATCH(E59,'Dashboard Items'!$A$2:$A$495,0)),""))="Key Service",IF(O59="No","Key Service: shown, not counted","Counts in Key Service gauge"),IF(IF(D59&lt;&gt;"",D59,IFERROR(INDEX('Dashboard Items'!$B$2:$B$495,MATCH(E59,'Dashboard Items'!$A$2:$A$495,0)),""))="Program",IF(ISNUMBER(SEARCH("ks",G59)),IF(O59="No","Program, also at Key Service: not counted","Counts in Key Service gauge + sets Program chip"),IF(O59="No","Program: shown, no status chip","Sets Program status chip")),IF(IF(D59&lt;&gt;"",D59,IFERROR(INDEX('Dashboard Items'!$B$2:$B$495,MATCH(E59,'Dashboard Items'!$A$2:$A$495,0)),""))="Work System","Work System: shown, not counted","Check Level"))))</f>
        <v>Counts in Key Service gauge</v>
      </c>
    </row>
    <row r="60" spans="1:21" s="120" customFormat="1" ht="15" customHeight="1" x14ac:dyDescent="0.2">
      <c r="A60" s="121" t="str">
        <f t="shared" si="1"/>
        <v>PD</v>
      </c>
      <c r="B60" s="122" t="s">
        <v>643</v>
      </c>
      <c r="C60" s="123" t="s">
        <v>208</v>
      </c>
      <c r="D60" s="122" t="s">
        <v>30</v>
      </c>
      <c r="E60" s="124" t="s">
        <v>217</v>
      </c>
      <c r="F60" s="125" t="str">
        <f>IF(E60="","",IFERROR(IF(INDEX('Dashboard Items'!$B$2:$B$495,MATCH(E60,'Dashboard Items'!$A$2:$A$495,0))="Objective","Objectives go in the next column",IF(OR(D60="",INDEX('Dashboard Items'!$B$2:$B$495,MATCH(E60,'Dashboard Items'!$A$2:$A$495,0))=D60),INDEX('Dashboard Items'!$C$2:$C$495,MATCH(E60,'Dashboard Items'!$A$2:$A$495,0)),"Level does not match ID")),"ID not found"))</f>
        <v>Administrative Public Safety Services</v>
      </c>
      <c r="G60" s="124" t="s">
        <v>207</v>
      </c>
      <c r="H60" s="125" t="str">
        <f>IF(G60="","",IF(ISNUMBER(SEARCH(",",G60)),"Several items (the script lists them)",IFERROR(INDEX('Dashboard Items'!$B$2:$B$495,MATCH(G60,'Dashboard Items'!$A$2:$A$495,0))&amp;": "&amp;INDEX('Dashboard Items'!$C$2:$C$495,MATCH(G60,'Dashboard Items'!$A$2:$A$495,0)),"ID not found")))</f>
        <v>Program: Criminal Investigations</v>
      </c>
      <c r="I60" s="122" t="s">
        <v>550</v>
      </c>
      <c r="J60" s="122">
        <v>2</v>
      </c>
      <c r="K60" s="122" t="s">
        <v>551</v>
      </c>
      <c r="L60" s="122" t="s">
        <v>552</v>
      </c>
      <c r="M60" s="122">
        <v>0</v>
      </c>
      <c r="N60" s="122">
        <v>0</v>
      </c>
      <c r="O60" s="122" t="s">
        <v>551</v>
      </c>
      <c r="P60" s="122" t="s">
        <v>553</v>
      </c>
      <c r="Q60" s="122" t="s">
        <v>554</v>
      </c>
      <c r="R60" s="122"/>
      <c r="S60" s="122"/>
      <c r="T60" s="122"/>
      <c r="U60" s="99" t="str">
        <f>IF(B60="","",IF(IF(D60&lt;&gt;"",D60,IFERROR(INDEX('Dashboard Items'!$B$2:$B$495,MATCH(E60,'Dashboard Items'!$A$2:$A$495,0)),""))="Key Service",IF(O60="No","Key Service: shown, not counted","Counts in Key Service gauge"),IF(IF(D60&lt;&gt;"",D60,IFERROR(INDEX('Dashboard Items'!$B$2:$B$495,MATCH(E60,'Dashboard Items'!$A$2:$A$495,0)),""))="Program",IF(ISNUMBER(SEARCH("ks",G60)),IF(O60="No","Program, also at Key Service: not counted","Counts in Key Service gauge + sets Program chip"),IF(O60="No","Program: shown, no status chip","Sets Program status chip")),IF(IF(D60&lt;&gt;"",D60,IFERROR(INDEX('Dashboard Items'!$B$2:$B$495,MATCH(E60,'Dashboard Items'!$A$2:$A$495,0)),""))="Work System","Work System: shown, not counted","Check Level"))))</f>
        <v>Sets Program status chip</v>
      </c>
    </row>
    <row r="61" spans="1:21" s="120" customFormat="1" ht="15" customHeight="1" x14ac:dyDescent="0.2">
      <c r="A61" s="121" t="str">
        <f t="shared" si="1"/>
        <v>PD</v>
      </c>
      <c r="B61" s="122" t="s">
        <v>644</v>
      </c>
      <c r="C61" s="123" t="s">
        <v>234</v>
      </c>
      <c r="D61" s="122" t="s">
        <v>30</v>
      </c>
      <c r="E61" s="124" t="s">
        <v>233</v>
      </c>
      <c r="F61" s="125" t="str">
        <f>IF(E61="","",IFERROR(IF(INDEX('Dashboard Items'!$B$2:$B$495,MATCH(E61,'Dashboard Items'!$A$2:$A$495,0))="Objective","Objectives go in the next column",IF(OR(D61="",INDEX('Dashboard Items'!$B$2:$B$495,MATCH(E61,'Dashboard Items'!$A$2:$A$495,0))=D61),INDEX('Dashboard Items'!$C$2:$C$495,MATCH(E61,'Dashboard Items'!$A$2:$A$495,0)),"Level does not match ID")),"ID not found"))</f>
        <v>Public Safety Technology NG (NextGen) 911 Technologies</v>
      </c>
      <c r="G61" s="124"/>
      <c r="H61" s="125" t="str">
        <f>IF(G61="","",IF(ISNUMBER(SEARCH(",",G61)),"Several items (the script lists them)",IFERROR(INDEX('Dashboard Items'!$B$2:$B$495,MATCH(G61,'Dashboard Items'!$A$2:$A$495,0))&amp;": "&amp;INDEX('Dashboard Items'!$C$2:$C$495,MATCH(G61,'Dashboard Items'!$A$2:$A$495,0)),"ID not found")))</f>
        <v/>
      </c>
      <c r="I61" s="122" t="s">
        <v>550</v>
      </c>
      <c r="J61" s="122">
        <v>2</v>
      </c>
      <c r="K61" s="122" t="s">
        <v>551</v>
      </c>
      <c r="L61" s="122" t="s">
        <v>552</v>
      </c>
      <c r="M61" s="122">
        <v>0</v>
      </c>
      <c r="N61" s="122">
        <v>0</v>
      </c>
      <c r="O61" s="122" t="s">
        <v>551</v>
      </c>
      <c r="P61" s="122" t="s">
        <v>553</v>
      </c>
      <c r="Q61" s="122" t="s">
        <v>554</v>
      </c>
      <c r="R61" s="122"/>
      <c r="S61" s="122"/>
      <c r="T61" s="122"/>
      <c r="U61" s="99" t="str">
        <f>IF(B61="","",IF(IF(D61&lt;&gt;"",D61,IFERROR(INDEX('Dashboard Items'!$B$2:$B$495,MATCH(E61,'Dashboard Items'!$A$2:$A$495,0)),""))="Key Service",IF(O61="No","Key Service: shown, not counted","Counts in Key Service gauge"),IF(IF(D61&lt;&gt;"",D61,IFERROR(INDEX('Dashboard Items'!$B$2:$B$495,MATCH(E61,'Dashboard Items'!$A$2:$A$495,0)),""))="Program",IF(ISNUMBER(SEARCH("ks",G61)),IF(O61="No","Program, also at Key Service: not counted","Counts in Key Service gauge + sets Program chip"),IF(O61="No","Program: shown, no status chip","Sets Program status chip")),IF(IF(D61&lt;&gt;"",D61,IFERROR(INDEX('Dashboard Items'!$B$2:$B$495,MATCH(E61,'Dashboard Items'!$A$2:$A$495,0)),""))="Work System","Work System: shown, not counted","Check Level"))))</f>
        <v>Sets Program status chip</v>
      </c>
    </row>
    <row r="62" spans="1:21" s="120" customFormat="1" ht="15" customHeight="1" x14ac:dyDescent="0.2">
      <c r="A62" s="121" t="str">
        <f t="shared" si="1"/>
        <v>PD</v>
      </c>
      <c r="B62" s="122" t="s">
        <v>645</v>
      </c>
      <c r="C62" s="123" t="s">
        <v>205</v>
      </c>
      <c r="D62" s="122" t="s">
        <v>30</v>
      </c>
      <c r="E62" s="122" t="s">
        <v>200</v>
      </c>
      <c r="F62" s="125" t="str">
        <f>IF(E62="","",IFERROR(IF(INDEX('Dashboard Items'!$B$2:$B$495,MATCH(E62,'Dashboard Items'!$A$2:$A$495,0))="Objective","Objectives go in the next column",IF(OR(D62="",INDEX('Dashboard Items'!$B$2:$B$495,MATCH(E62,'Dashboard Items'!$A$2:$A$495,0))=D62),INDEX('Dashboard Items'!$C$2:$C$495,MATCH(E62,'Dashboard Items'!$A$2:$A$495,0)),"Level does not match ID")),"ID not found"))</f>
        <v>Police Patrol</v>
      </c>
      <c r="G62" s="124"/>
      <c r="H62" s="125" t="str">
        <f>IF(G62="","",IF(ISNUMBER(SEARCH(",",G62)),"Several items (the script lists them)",IFERROR(INDEX('Dashboard Items'!$B$2:$B$495,MATCH(G62,'Dashboard Items'!$A$2:$A$495,0))&amp;": "&amp;INDEX('Dashboard Items'!$C$2:$C$495,MATCH(G62,'Dashboard Items'!$A$2:$A$495,0)),"ID not found")))</f>
        <v/>
      </c>
      <c r="I62" s="122" t="s">
        <v>550</v>
      </c>
      <c r="J62" s="122">
        <v>2</v>
      </c>
      <c r="K62" s="122" t="s">
        <v>551</v>
      </c>
      <c r="L62" s="122" t="s">
        <v>552</v>
      </c>
      <c r="M62" s="122">
        <v>0</v>
      </c>
      <c r="N62" s="122">
        <v>0</v>
      </c>
      <c r="O62" s="122" t="s">
        <v>551</v>
      </c>
      <c r="P62" s="122" t="s">
        <v>553</v>
      </c>
      <c r="Q62" s="122" t="s">
        <v>554</v>
      </c>
      <c r="R62" s="122"/>
      <c r="S62" s="122"/>
      <c r="T62" s="122"/>
      <c r="U62" s="99" t="str">
        <f>IF(B62="","",IF(IF(D62&lt;&gt;"",D62,IFERROR(INDEX('Dashboard Items'!$B$2:$B$495,MATCH(E62,'Dashboard Items'!$A$2:$A$495,0)),""))="Key Service",IF(O62="No","Key Service: shown, not counted","Counts in Key Service gauge"),IF(IF(D62&lt;&gt;"",D62,IFERROR(INDEX('Dashboard Items'!$B$2:$B$495,MATCH(E62,'Dashboard Items'!$A$2:$A$495,0)),""))="Program",IF(ISNUMBER(SEARCH("ks",G62)),IF(O62="No","Program, also at Key Service: not counted","Counts in Key Service gauge + sets Program chip"),IF(O62="No","Program: shown, no status chip","Sets Program status chip")),IF(IF(D62&lt;&gt;"",D62,IFERROR(INDEX('Dashboard Items'!$B$2:$B$495,MATCH(E62,'Dashboard Items'!$A$2:$A$495,0)),""))="Work System","Work System: shown, not counted","Check Level"))))</f>
        <v>Sets Program status chip</v>
      </c>
    </row>
    <row r="63" spans="1:21" s="120" customFormat="1" ht="15" customHeight="1" x14ac:dyDescent="0.2">
      <c r="A63" s="121" t="str">
        <f t="shared" si="1"/>
        <v>PD</v>
      </c>
      <c r="B63" s="122" t="s">
        <v>646</v>
      </c>
      <c r="C63" s="123" t="s">
        <v>219</v>
      </c>
      <c r="D63" s="122" t="s">
        <v>30</v>
      </c>
      <c r="E63" s="124" t="s">
        <v>217</v>
      </c>
      <c r="F63" s="125" t="str">
        <f>IF(E63="","",IFERROR(IF(INDEX('Dashboard Items'!$B$2:$B$495,MATCH(E63,'Dashboard Items'!$A$2:$A$495,0))="Objective","Objectives go in the next column",IF(OR(D63="",INDEX('Dashboard Items'!$B$2:$B$495,MATCH(E63,'Dashboard Items'!$A$2:$A$495,0))=D63),INDEX('Dashboard Items'!$C$2:$C$495,MATCH(E63,'Dashboard Items'!$A$2:$A$495,0)),"Level does not match ID")),"ID not found"))</f>
        <v>Administrative Public Safety Services</v>
      </c>
      <c r="G63" s="124"/>
      <c r="H63" s="125" t="str">
        <f>IF(G63="","",IF(ISNUMBER(SEARCH(",",G63)),"Several items (the script lists them)",IFERROR(INDEX('Dashboard Items'!$B$2:$B$495,MATCH(G63,'Dashboard Items'!$A$2:$A$495,0))&amp;": "&amp;INDEX('Dashboard Items'!$C$2:$C$495,MATCH(G63,'Dashboard Items'!$A$2:$A$495,0)),"ID not found")))</f>
        <v/>
      </c>
      <c r="I63" s="122" t="s">
        <v>550</v>
      </c>
      <c r="J63" s="122">
        <v>2</v>
      </c>
      <c r="K63" s="122" t="s">
        <v>551</v>
      </c>
      <c r="L63" s="122" t="s">
        <v>552</v>
      </c>
      <c r="M63" s="122">
        <v>0</v>
      </c>
      <c r="N63" s="122">
        <v>0</v>
      </c>
      <c r="O63" s="122" t="s">
        <v>551</v>
      </c>
      <c r="P63" s="122" t="s">
        <v>553</v>
      </c>
      <c r="Q63" s="122" t="s">
        <v>554</v>
      </c>
      <c r="R63" s="122"/>
      <c r="S63" s="122"/>
      <c r="T63" s="122"/>
      <c r="U63" s="99" t="str">
        <f>IF(B63="","",IF(IF(D63&lt;&gt;"",D63,IFERROR(INDEX('Dashboard Items'!$B$2:$B$495,MATCH(E63,'Dashboard Items'!$A$2:$A$495,0)),""))="Key Service",IF(O63="No","Key Service: shown, not counted","Counts in Key Service gauge"),IF(IF(D63&lt;&gt;"",D63,IFERROR(INDEX('Dashboard Items'!$B$2:$B$495,MATCH(E63,'Dashboard Items'!$A$2:$A$495,0)),""))="Program",IF(ISNUMBER(SEARCH("ks",G63)),IF(O63="No","Program, also at Key Service: not counted","Counts in Key Service gauge + sets Program chip"),IF(O63="No","Program: shown, no status chip","Sets Program status chip")),IF(IF(D63&lt;&gt;"",D63,IFERROR(INDEX('Dashboard Items'!$B$2:$B$495,MATCH(E63,'Dashboard Items'!$A$2:$A$495,0)),""))="Work System","Work System: shown, not counted","Check Level"))))</f>
        <v>Sets Program status chip</v>
      </c>
    </row>
    <row r="64" spans="1:21" s="126" customFormat="1" ht="15.75" customHeight="1" x14ac:dyDescent="0.2">
      <c r="A64" s="121" t="str">
        <f t="shared" si="1"/>
        <v>PD</v>
      </c>
      <c r="B64" s="122" t="s">
        <v>647</v>
      </c>
      <c r="C64" s="123" t="s">
        <v>458</v>
      </c>
      <c r="D64" s="122" t="s">
        <v>29</v>
      </c>
      <c r="E64" s="122" t="s">
        <v>558</v>
      </c>
      <c r="F64" s="125" t="str">
        <f>IF(E64="","",IFERROR(IF(INDEX('Dashboard Items'!$B$2:$B$495,MATCH(E64,'Dashboard Items'!$A$2:$A$495,0))="Objective","Objectives go in the next column",IF(OR(D64="",INDEX('Dashboard Items'!$B$2:$B$495,MATCH(E64,'Dashboard Items'!$A$2:$A$495,0))=D64),INDEX('Dashboard Items'!$C$2:$C$495,MATCH(E64,'Dashboard Items'!$A$2:$A$495,0)),"Level does not match ID")),"ID not found"))</f>
        <v>Public Safety Services</v>
      </c>
      <c r="G64" s="124"/>
      <c r="H64" s="125" t="str">
        <f>IF(G64="","",IF(ISNUMBER(SEARCH(",",G64)),"Several items (the script lists them)",IFERROR(INDEX('Dashboard Items'!$B$2:$B$495,MATCH(G64,'Dashboard Items'!$A$2:$A$495,0))&amp;": "&amp;INDEX('Dashboard Items'!$C$2:$C$495,MATCH(G64,'Dashboard Items'!$A$2:$A$495,0)),"ID not found")))</f>
        <v/>
      </c>
      <c r="I64" s="122" t="s">
        <v>550</v>
      </c>
      <c r="J64" s="122">
        <v>2</v>
      </c>
      <c r="K64" s="122" t="s">
        <v>551</v>
      </c>
      <c r="L64" s="122" t="s">
        <v>552</v>
      </c>
      <c r="M64" s="122">
        <v>0</v>
      </c>
      <c r="N64" s="122">
        <v>0</v>
      </c>
      <c r="O64" s="122" t="s">
        <v>551</v>
      </c>
      <c r="P64" s="122" t="s">
        <v>553</v>
      </c>
      <c r="Q64" s="122" t="s">
        <v>554</v>
      </c>
      <c r="R64" s="122"/>
      <c r="S64" s="122"/>
      <c r="T64" s="122"/>
      <c r="U64" s="99" t="str">
        <f>IF(B64="","",IF(IF(D64&lt;&gt;"",D64,IFERROR(INDEX('Dashboard Items'!$B$2:$B$495,MATCH(E64,'Dashboard Items'!$A$2:$A$495,0)),""))="Key Service",IF(O64="No","Key Service: shown, not counted","Counts in Key Service gauge"),IF(IF(D64&lt;&gt;"",D64,IFERROR(INDEX('Dashboard Items'!$B$2:$B$495,MATCH(E64,'Dashboard Items'!$A$2:$A$495,0)),""))="Program",IF(ISNUMBER(SEARCH("ks",G64)),IF(O64="No","Program, also at Key Service: not counted","Counts in Key Service gauge + sets Program chip"),IF(O64="No","Program: shown, no status chip","Sets Program status chip")),IF(IF(D64&lt;&gt;"",D64,IFERROR(INDEX('Dashboard Items'!$B$2:$B$495,MATCH(E64,'Dashboard Items'!$A$2:$A$495,0)),""))="Work System","Work System: shown, not counted","Check Level"))))</f>
        <v>Counts in Key Service gauge</v>
      </c>
    </row>
    <row r="65" spans="1:21" s="126" customFormat="1" ht="15.75" customHeight="1" x14ac:dyDescent="0.2">
      <c r="A65" s="121" t="str">
        <f t="shared" si="1"/>
        <v>PD</v>
      </c>
      <c r="B65" s="122" t="s">
        <v>648</v>
      </c>
      <c r="C65" s="123" t="s">
        <v>210</v>
      </c>
      <c r="D65" s="122" t="s">
        <v>30</v>
      </c>
      <c r="E65" s="124" t="s">
        <v>217</v>
      </c>
      <c r="F65" s="125" t="str">
        <f>IF(E65="","",IFERROR(IF(INDEX('Dashboard Items'!$B$2:$B$495,MATCH(E65,'Dashboard Items'!$A$2:$A$495,0))="Objective","Objectives go in the next column",IF(OR(D65="",INDEX('Dashboard Items'!$B$2:$B$495,MATCH(E65,'Dashboard Items'!$A$2:$A$495,0))=D65),INDEX('Dashboard Items'!$C$2:$C$495,MATCH(E65,'Dashboard Items'!$A$2:$A$495,0)),"Level does not match ID")),"ID not found"))</f>
        <v>Administrative Public Safety Services</v>
      </c>
      <c r="G65" s="124" t="s">
        <v>207</v>
      </c>
      <c r="H65" s="125" t="str">
        <f>IF(G65="","",IF(ISNUMBER(SEARCH(",",G65)),"Several items (the script lists them)",IFERROR(INDEX('Dashboard Items'!$B$2:$B$495,MATCH(G65,'Dashboard Items'!$A$2:$A$495,0))&amp;": "&amp;INDEX('Dashboard Items'!$C$2:$C$495,MATCH(G65,'Dashboard Items'!$A$2:$A$495,0)),"ID not found")))</f>
        <v>Program: Criminal Investigations</v>
      </c>
      <c r="I65" s="122" t="s">
        <v>550</v>
      </c>
      <c r="J65" s="122">
        <v>2</v>
      </c>
      <c r="K65" s="122" t="s">
        <v>551</v>
      </c>
      <c r="L65" s="122" t="s">
        <v>552</v>
      </c>
      <c r="M65" s="122">
        <v>0</v>
      </c>
      <c r="N65" s="122">
        <v>0</v>
      </c>
      <c r="O65" s="122" t="s">
        <v>551</v>
      </c>
      <c r="P65" s="122" t="s">
        <v>553</v>
      </c>
      <c r="Q65" s="122" t="s">
        <v>554</v>
      </c>
      <c r="R65" s="122"/>
      <c r="S65" s="122"/>
      <c r="T65" s="122"/>
      <c r="U65" s="99" t="str">
        <f>IF(B65="","",IF(IF(D65&lt;&gt;"",D65,IFERROR(INDEX('Dashboard Items'!$B$2:$B$495,MATCH(E65,'Dashboard Items'!$A$2:$A$495,0)),""))="Key Service",IF(O65="No","Key Service: shown, not counted","Counts in Key Service gauge"),IF(IF(D65&lt;&gt;"",D65,IFERROR(INDEX('Dashboard Items'!$B$2:$B$495,MATCH(E65,'Dashboard Items'!$A$2:$A$495,0)),""))="Program",IF(ISNUMBER(SEARCH("ks",G65)),IF(O65="No","Program, also at Key Service: not counted","Counts in Key Service gauge + sets Program chip"),IF(O65="No","Program: shown, no status chip","Sets Program status chip")),IF(IF(D65&lt;&gt;"",D65,IFERROR(INDEX('Dashboard Items'!$B$2:$B$495,MATCH(E65,'Dashboard Items'!$A$2:$A$495,0)),""))="Work System","Work System: shown, not counted","Check Level"))))</f>
        <v>Sets Program status chip</v>
      </c>
    </row>
    <row r="66" spans="1:21" s="126" customFormat="1" ht="15.75" customHeight="1" x14ac:dyDescent="0.2">
      <c r="A66" s="121" t="str">
        <f t="shared" ref="A66:A97" si="2">LEFT(B66, FIND("-", B66) - 1)</f>
        <v>PD</v>
      </c>
      <c r="B66" s="122" t="s">
        <v>649</v>
      </c>
      <c r="C66" s="123" t="s">
        <v>202</v>
      </c>
      <c r="D66" s="122" t="s">
        <v>30</v>
      </c>
      <c r="E66" s="122" t="s">
        <v>200</v>
      </c>
      <c r="F66" s="125" t="str">
        <f>IF(E66="","",IFERROR(IF(INDEX('Dashboard Items'!$B$2:$B$495,MATCH(E66,'Dashboard Items'!$A$2:$A$495,0))="Objective","Objectives go in the next column",IF(OR(D66="",INDEX('Dashboard Items'!$B$2:$B$495,MATCH(E66,'Dashboard Items'!$A$2:$A$495,0))=D66),INDEX('Dashboard Items'!$C$2:$C$495,MATCH(E66,'Dashboard Items'!$A$2:$A$495,0)),"Level does not match ID")),"ID not found"))</f>
        <v>Police Patrol</v>
      </c>
      <c r="G66" s="124"/>
      <c r="H66" s="125" t="str">
        <f>IF(G66="","",IF(ISNUMBER(SEARCH(",",G66)),"Several items (the script lists them)",IFERROR(INDEX('Dashboard Items'!$B$2:$B$495,MATCH(G66,'Dashboard Items'!$A$2:$A$495,0))&amp;": "&amp;INDEX('Dashboard Items'!$C$2:$C$495,MATCH(G66,'Dashboard Items'!$A$2:$A$495,0)),"ID not found")))</f>
        <v/>
      </c>
      <c r="I66" s="122" t="s">
        <v>550</v>
      </c>
      <c r="J66" s="122">
        <v>2</v>
      </c>
      <c r="K66" s="122" t="s">
        <v>551</v>
      </c>
      <c r="L66" s="122" t="s">
        <v>552</v>
      </c>
      <c r="M66" s="122">
        <v>0</v>
      </c>
      <c r="N66" s="122">
        <v>0</v>
      </c>
      <c r="O66" s="122" t="s">
        <v>551</v>
      </c>
      <c r="P66" s="122" t="s">
        <v>553</v>
      </c>
      <c r="Q66" s="122" t="s">
        <v>554</v>
      </c>
      <c r="R66" s="122"/>
      <c r="S66" s="122"/>
      <c r="T66" s="122"/>
      <c r="U66" s="99" t="str">
        <f>IF(B66="","",IF(IF(D66&lt;&gt;"",D66,IFERROR(INDEX('Dashboard Items'!$B$2:$B$495,MATCH(E66,'Dashboard Items'!$A$2:$A$495,0)),""))="Key Service",IF(O66="No","Key Service: shown, not counted","Counts in Key Service gauge"),IF(IF(D66&lt;&gt;"",D66,IFERROR(INDEX('Dashboard Items'!$B$2:$B$495,MATCH(E66,'Dashboard Items'!$A$2:$A$495,0)),""))="Program",IF(ISNUMBER(SEARCH("ks",G66)),IF(O66="No","Program, also at Key Service: not counted","Counts in Key Service gauge + sets Program chip"),IF(O66="No","Program: shown, no status chip","Sets Program status chip")),IF(IF(D66&lt;&gt;"",D66,IFERROR(INDEX('Dashboard Items'!$B$2:$B$495,MATCH(E66,'Dashboard Items'!$A$2:$A$495,0)),""))="Work System","Work System: shown, not counted","Check Level"))))</f>
        <v>Sets Program status chip</v>
      </c>
    </row>
    <row r="67" spans="1:21" s="126" customFormat="1" ht="15.75" customHeight="1" x14ac:dyDescent="0.2">
      <c r="A67" s="121" t="str">
        <f t="shared" si="2"/>
        <v>PD</v>
      </c>
      <c r="B67" s="122" t="s">
        <v>650</v>
      </c>
      <c r="C67" s="123" t="s">
        <v>204</v>
      </c>
      <c r="D67" s="122" t="s">
        <v>30</v>
      </c>
      <c r="E67" s="122" t="s">
        <v>200</v>
      </c>
      <c r="F67" s="125" t="str">
        <f>IF(E67="","",IFERROR(IF(INDEX('Dashboard Items'!$B$2:$B$495,MATCH(E67,'Dashboard Items'!$A$2:$A$495,0))="Objective","Objectives go in the next column",IF(OR(D67="",INDEX('Dashboard Items'!$B$2:$B$495,MATCH(E67,'Dashboard Items'!$A$2:$A$495,0))=D67),INDEX('Dashboard Items'!$C$2:$C$495,MATCH(E67,'Dashboard Items'!$A$2:$A$495,0)),"Level does not match ID")),"ID not found"))</f>
        <v>Police Patrol</v>
      </c>
      <c r="G67" s="124"/>
      <c r="H67" s="125" t="str">
        <f>IF(G67="","",IF(ISNUMBER(SEARCH(",",G67)),"Several items (the script lists them)",IFERROR(INDEX('Dashboard Items'!$B$2:$B$495,MATCH(G67,'Dashboard Items'!$A$2:$A$495,0))&amp;": "&amp;INDEX('Dashboard Items'!$C$2:$C$495,MATCH(G67,'Dashboard Items'!$A$2:$A$495,0)),"ID not found")))</f>
        <v/>
      </c>
      <c r="I67" s="122" t="s">
        <v>550</v>
      </c>
      <c r="J67" s="122">
        <v>2</v>
      </c>
      <c r="K67" s="122" t="s">
        <v>551</v>
      </c>
      <c r="L67" s="122" t="s">
        <v>552</v>
      </c>
      <c r="M67" s="122">
        <v>0</v>
      </c>
      <c r="N67" s="122">
        <v>0</v>
      </c>
      <c r="O67" s="122" t="s">
        <v>551</v>
      </c>
      <c r="P67" s="122" t="s">
        <v>553</v>
      </c>
      <c r="Q67" s="122" t="s">
        <v>554</v>
      </c>
      <c r="R67" s="122"/>
      <c r="S67" s="122"/>
      <c r="T67" s="122"/>
      <c r="U67" s="99" t="str">
        <f>IF(B67="","",IF(IF(D67&lt;&gt;"",D67,IFERROR(INDEX('Dashboard Items'!$B$2:$B$495,MATCH(E67,'Dashboard Items'!$A$2:$A$495,0)),""))="Key Service",IF(O67="No","Key Service: shown, not counted","Counts in Key Service gauge"),IF(IF(D67&lt;&gt;"",D67,IFERROR(INDEX('Dashboard Items'!$B$2:$B$495,MATCH(E67,'Dashboard Items'!$A$2:$A$495,0)),""))="Program",IF(ISNUMBER(SEARCH("ks",G67)),IF(O67="No","Program, also at Key Service: not counted","Counts in Key Service gauge + sets Program chip"),IF(O67="No","Program: shown, no status chip","Sets Program status chip")),IF(IF(D67&lt;&gt;"",D67,IFERROR(INDEX('Dashboard Items'!$B$2:$B$495,MATCH(E67,'Dashboard Items'!$A$2:$A$495,0)),""))="Work System","Work System: shown, not counted","Check Level"))))</f>
        <v>Sets Program status chip</v>
      </c>
    </row>
    <row r="68" spans="1:21" s="126" customFormat="1" ht="15.75" customHeight="1" x14ac:dyDescent="0.2">
      <c r="A68" s="121" t="str">
        <f t="shared" si="2"/>
        <v>PD</v>
      </c>
      <c r="B68" s="122" t="s">
        <v>651</v>
      </c>
      <c r="C68" s="123" t="s">
        <v>203</v>
      </c>
      <c r="D68" s="122" t="s">
        <v>30</v>
      </c>
      <c r="E68" s="122" t="s">
        <v>200</v>
      </c>
      <c r="F68" s="125" t="str">
        <f>IF(E68="","",IFERROR(IF(INDEX('Dashboard Items'!$B$2:$B$495,MATCH(E68,'Dashboard Items'!$A$2:$A$495,0))="Objective","Objectives go in the next column",IF(OR(D68="",INDEX('Dashboard Items'!$B$2:$B$495,MATCH(E68,'Dashboard Items'!$A$2:$A$495,0))=D68),INDEX('Dashboard Items'!$C$2:$C$495,MATCH(E68,'Dashboard Items'!$A$2:$A$495,0)),"Level does not match ID")),"ID not found"))</f>
        <v>Police Patrol</v>
      </c>
      <c r="G68" s="124"/>
      <c r="H68" s="125" t="str">
        <f>IF(G68="","",IF(ISNUMBER(SEARCH(",",G68)),"Several items (the script lists them)",IFERROR(INDEX('Dashboard Items'!$B$2:$B$495,MATCH(G68,'Dashboard Items'!$A$2:$A$495,0))&amp;": "&amp;INDEX('Dashboard Items'!$C$2:$C$495,MATCH(G68,'Dashboard Items'!$A$2:$A$495,0)),"ID not found")))</f>
        <v/>
      </c>
      <c r="I68" s="122" t="s">
        <v>550</v>
      </c>
      <c r="J68" s="122">
        <v>2</v>
      </c>
      <c r="K68" s="122" t="s">
        <v>551</v>
      </c>
      <c r="L68" s="122" t="s">
        <v>552</v>
      </c>
      <c r="M68" s="122">
        <v>0</v>
      </c>
      <c r="N68" s="122">
        <v>0</v>
      </c>
      <c r="O68" s="122" t="s">
        <v>551</v>
      </c>
      <c r="P68" s="122" t="s">
        <v>553</v>
      </c>
      <c r="Q68" s="122" t="s">
        <v>554</v>
      </c>
      <c r="R68" s="122"/>
      <c r="S68" s="122"/>
      <c r="T68" s="122"/>
      <c r="U68" s="99" t="str">
        <f>IF(B68="","",IF(IF(D68&lt;&gt;"",D68,IFERROR(INDEX('Dashboard Items'!$B$2:$B$495,MATCH(E68,'Dashboard Items'!$A$2:$A$495,0)),""))="Key Service",IF(O68="No","Key Service: shown, not counted","Counts in Key Service gauge"),IF(IF(D68&lt;&gt;"",D68,IFERROR(INDEX('Dashboard Items'!$B$2:$B$495,MATCH(E68,'Dashboard Items'!$A$2:$A$495,0)),""))="Program",IF(ISNUMBER(SEARCH("ks",G68)),IF(O68="No","Program, also at Key Service: not counted","Counts in Key Service gauge + sets Program chip"),IF(O68="No","Program: shown, no status chip","Sets Program status chip")),IF(IF(D68&lt;&gt;"",D68,IFERROR(INDEX('Dashboard Items'!$B$2:$B$495,MATCH(E68,'Dashboard Items'!$A$2:$A$495,0)),""))="Work System","Work System: shown, not counted","Check Level"))))</f>
        <v>Sets Program status chip</v>
      </c>
    </row>
    <row r="69" spans="1:21" s="126" customFormat="1" ht="15.75" customHeight="1" x14ac:dyDescent="0.2">
      <c r="A69" s="121" t="str">
        <f t="shared" si="2"/>
        <v>PD</v>
      </c>
      <c r="B69" s="122" t="s">
        <v>652</v>
      </c>
      <c r="C69" s="123" t="s">
        <v>218</v>
      </c>
      <c r="D69" s="122" t="s">
        <v>30</v>
      </c>
      <c r="E69" s="124" t="s">
        <v>217</v>
      </c>
      <c r="F69" s="125" t="str">
        <f>IF(E69="","",IFERROR(IF(INDEX('Dashboard Items'!$B$2:$B$495,MATCH(E69,'Dashboard Items'!$A$2:$A$495,0))="Objective","Objectives go in the next column",IF(OR(D69="",INDEX('Dashboard Items'!$B$2:$B$495,MATCH(E69,'Dashboard Items'!$A$2:$A$495,0))=D69),INDEX('Dashboard Items'!$C$2:$C$495,MATCH(E69,'Dashboard Items'!$A$2:$A$495,0)),"Level does not match ID")),"ID not found"))</f>
        <v>Administrative Public Safety Services</v>
      </c>
      <c r="G69" s="124"/>
      <c r="H69" s="125" t="str">
        <f>IF(G69="","",IF(ISNUMBER(SEARCH(",",G69)),"Several items (the script lists them)",IFERROR(INDEX('Dashboard Items'!$B$2:$B$495,MATCH(G69,'Dashboard Items'!$A$2:$A$495,0))&amp;": "&amp;INDEX('Dashboard Items'!$C$2:$C$495,MATCH(G69,'Dashboard Items'!$A$2:$A$495,0)),"ID not found")))</f>
        <v/>
      </c>
      <c r="I69" s="122" t="s">
        <v>550</v>
      </c>
      <c r="J69" s="122">
        <v>2</v>
      </c>
      <c r="K69" s="122" t="s">
        <v>551</v>
      </c>
      <c r="L69" s="122" t="s">
        <v>552</v>
      </c>
      <c r="M69" s="122">
        <v>0</v>
      </c>
      <c r="N69" s="122">
        <v>0</v>
      </c>
      <c r="O69" s="122" t="s">
        <v>551</v>
      </c>
      <c r="P69" s="122" t="s">
        <v>553</v>
      </c>
      <c r="Q69" s="122" t="s">
        <v>554</v>
      </c>
      <c r="R69" s="122"/>
      <c r="S69" s="122"/>
      <c r="T69" s="122"/>
      <c r="U69" s="99" t="str">
        <f>IF(B69="","",IF(IF(D69&lt;&gt;"",D69,IFERROR(INDEX('Dashboard Items'!$B$2:$B$495,MATCH(E69,'Dashboard Items'!$A$2:$A$495,0)),""))="Key Service",IF(O69="No","Key Service: shown, not counted","Counts in Key Service gauge"),IF(IF(D69&lt;&gt;"",D69,IFERROR(INDEX('Dashboard Items'!$B$2:$B$495,MATCH(E69,'Dashboard Items'!$A$2:$A$495,0)),""))="Program",IF(ISNUMBER(SEARCH("ks",G69)),IF(O69="No","Program, also at Key Service: not counted","Counts in Key Service gauge + sets Program chip"),IF(O69="No","Program: shown, no status chip","Sets Program status chip")),IF(IF(D69&lt;&gt;"",D69,IFERROR(INDEX('Dashboard Items'!$B$2:$B$495,MATCH(E69,'Dashboard Items'!$A$2:$A$495,0)),""))="Work System","Work System: shown, not counted","Check Level"))))</f>
        <v>Sets Program status chip</v>
      </c>
    </row>
    <row r="70" spans="1:21" s="126" customFormat="1" ht="15.75" customHeight="1" x14ac:dyDescent="0.2">
      <c r="A70" s="121" t="str">
        <f t="shared" si="2"/>
        <v>PD</v>
      </c>
      <c r="B70" s="122" t="s">
        <v>653</v>
      </c>
      <c r="C70" s="123" t="s">
        <v>459</v>
      </c>
      <c r="D70" s="122" t="s">
        <v>29</v>
      </c>
      <c r="E70" s="122" t="s">
        <v>558</v>
      </c>
      <c r="F70" s="125" t="str">
        <f>IF(E70="","",IFERROR(IF(INDEX('Dashboard Items'!$B$2:$B$495,MATCH(E70,'Dashboard Items'!$A$2:$A$495,0))="Objective","Objectives go in the next column",IF(OR(D70="",INDEX('Dashboard Items'!$B$2:$B$495,MATCH(E70,'Dashboard Items'!$A$2:$A$495,0))=D70),INDEX('Dashboard Items'!$C$2:$C$495,MATCH(E70,'Dashboard Items'!$A$2:$A$495,0)),"Level does not match ID")),"ID not found"))</f>
        <v>Public Safety Services</v>
      </c>
      <c r="G70" s="124" t="s">
        <v>654</v>
      </c>
      <c r="H70" s="125" t="str">
        <f>IF(G70="","",IF(ISNUMBER(SEARCH(",",G70)),"Several items (the script lists them)",IFERROR(INDEX('Dashboard Items'!$B$2:$B$495,MATCH(G70,'Dashboard Items'!$A$2:$A$495,0))&amp;": "&amp;INDEX('Dashboard Items'!$C$2:$C$495,MATCH(G70,'Dashboard Items'!$A$2:$A$495,0)),"ID not found")))</f>
        <v>Several items (the script lists them)</v>
      </c>
      <c r="I70" s="122" t="s">
        <v>550</v>
      </c>
      <c r="J70" s="122">
        <v>2</v>
      </c>
      <c r="K70" s="122" t="s">
        <v>551</v>
      </c>
      <c r="L70" s="122" t="s">
        <v>552</v>
      </c>
      <c r="M70" s="122">
        <v>0</v>
      </c>
      <c r="N70" s="122">
        <v>0</v>
      </c>
      <c r="O70" s="122" t="s">
        <v>551</v>
      </c>
      <c r="P70" s="122" t="s">
        <v>553</v>
      </c>
      <c r="Q70" s="122" t="s">
        <v>554</v>
      </c>
      <c r="R70" s="122"/>
      <c r="S70" s="122"/>
      <c r="T70" s="122"/>
      <c r="U70" s="99" t="str">
        <f>IF(B70="","",IF(IF(D70&lt;&gt;"",D70,IFERROR(INDEX('Dashboard Items'!$B$2:$B$495,MATCH(E70,'Dashboard Items'!$A$2:$A$495,0)),""))="Key Service",IF(O70="No","Key Service: shown, not counted","Counts in Key Service gauge"),IF(IF(D70&lt;&gt;"",D70,IFERROR(INDEX('Dashboard Items'!$B$2:$B$495,MATCH(E70,'Dashboard Items'!$A$2:$A$495,0)),""))="Program",IF(ISNUMBER(SEARCH("ks",G70)),IF(O70="No","Program, also at Key Service: not counted","Counts in Key Service gauge + sets Program chip"),IF(O70="No","Program: shown, no status chip","Sets Program status chip")),IF(IF(D70&lt;&gt;"",D70,IFERROR(INDEX('Dashboard Items'!$B$2:$B$495,MATCH(E70,'Dashboard Items'!$A$2:$A$495,0)),""))="Work System","Work System: shown, not counted","Check Level"))))</f>
        <v>Counts in Key Service gauge</v>
      </c>
    </row>
    <row r="71" spans="1:21" s="126" customFormat="1" ht="15.75" customHeight="1" x14ac:dyDescent="0.2">
      <c r="A71" s="121" t="str">
        <f t="shared" si="2"/>
        <v>PD</v>
      </c>
      <c r="B71" s="122" t="s">
        <v>655</v>
      </c>
      <c r="C71" s="123" t="s">
        <v>231</v>
      </c>
      <c r="D71" s="122" t="s">
        <v>30</v>
      </c>
      <c r="E71" s="122" t="s">
        <v>225</v>
      </c>
      <c r="F71" s="125" t="str">
        <f>IF(E71="","",IFERROR(IF(INDEX('Dashboard Items'!$B$2:$B$495,MATCH(E71,'Dashboard Items'!$A$2:$A$495,0))="Objective","Objectives go in the next column",IF(OR(D71="",INDEX('Dashboard Items'!$B$2:$B$495,MATCH(E71,'Dashboard Items'!$A$2:$A$495,0))=D71),INDEX('Dashboard Items'!$C$2:$C$495,MATCH(E71,'Dashboard Items'!$A$2:$A$495,0)),"Level does not match ID")),"ID not found"))</f>
        <v>Special Operations</v>
      </c>
      <c r="G71" s="124"/>
      <c r="H71" s="125" t="str">
        <f>IF(G71="","",IF(ISNUMBER(SEARCH(",",G71)),"Several items (the script lists them)",IFERROR(INDEX('Dashboard Items'!$B$2:$B$495,MATCH(G71,'Dashboard Items'!$A$2:$A$495,0))&amp;": "&amp;INDEX('Dashboard Items'!$C$2:$C$495,MATCH(G71,'Dashboard Items'!$A$2:$A$495,0)),"ID not found")))</f>
        <v/>
      </c>
      <c r="I71" s="122" t="s">
        <v>550</v>
      </c>
      <c r="J71" s="122">
        <v>2</v>
      </c>
      <c r="K71" s="122" t="s">
        <v>551</v>
      </c>
      <c r="L71" s="122" t="s">
        <v>552</v>
      </c>
      <c r="M71" s="122">
        <v>0</v>
      </c>
      <c r="N71" s="122">
        <v>0</v>
      </c>
      <c r="O71" s="122" t="s">
        <v>551</v>
      </c>
      <c r="P71" s="122" t="s">
        <v>553</v>
      </c>
      <c r="Q71" s="122" t="s">
        <v>554</v>
      </c>
      <c r="R71" s="122"/>
      <c r="S71" s="122"/>
      <c r="T71" s="122"/>
      <c r="U71" s="99" t="str">
        <f>IF(B71="","",IF(IF(D71&lt;&gt;"",D71,IFERROR(INDEX('Dashboard Items'!$B$2:$B$495,MATCH(E71,'Dashboard Items'!$A$2:$A$495,0)),""))="Key Service",IF(O71="No","Key Service: shown, not counted","Counts in Key Service gauge"),IF(IF(D71&lt;&gt;"",D71,IFERROR(INDEX('Dashboard Items'!$B$2:$B$495,MATCH(E71,'Dashboard Items'!$A$2:$A$495,0)),""))="Program",IF(ISNUMBER(SEARCH("ks",G71)),IF(O71="No","Program, also at Key Service: not counted","Counts in Key Service gauge + sets Program chip"),IF(O71="No","Program: shown, no status chip","Sets Program status chip")),IF(IF(D71&lt;&gt;"",D71,IFERROR(INDEX('Dashboard Items'!$B$2:$B$495,MATCH(E71,'Dashboard Items'!$A$2:$A$495,0)),""))="Work System","Work System: shown, not counted","Check Level"))))</f>
        <v>Sets Program status chip</v>
      </c>
    </row>
    <row r="72" spans="1:21" s="126" customFormat="1" ht="15.75" customHeight="1" x14ac:dyDescent="0.2">
      <c r="A72" s="121" t="str">
        <f t="shared" si="2"/>
        <v>PD</v>
      </c>
      <c r="B72" s="122" t="s">
        <v>656</v>
      </c>
      <c r="C72" s="123" t="s">
        <v>457</v>
      </c>
      <c r="D72" s="122" t="s">
        <v>29</v>
      </c>
      <c r="E72" s="122" t="s">
        <v>558</v>
      </c>
      <c r="F72" s="125" t="str">
        <f>IF(E72="","",IFERROR(IF(INDEX('Dashboard Items'!$B$2:$B$495,MATCH(E72,'Dashboard Items'!$A$2:$A$495,0))="Objective","Objectives go in the next column",IF(OR(D72="",INDEX('Dashboard Items'!$B$2:$B$495,MATCH(E72,'Dashboard Items'!$A$2:$A$495,0))=D72),INDEX('Dashboard Items'!$C$2:$C$495,MATCH(E72,'Dashboard Items'!$A$2:$A$495,0)),"Level does not match ID")),"ID not found"))</f>
        <v>Public Safety Services</v>
      </c>
      <c r="G72" s="124"/>
      <c r="H72" s="125" t="str">
        <f>IF(G72="","",IF(ISNUMBER(SEARCH(",",G72)),"Several items (the script lists them)",IFERROR(INDEX('Dashboard Items'!$B$2:$B$495,MATCH(G72,'Dashboard Items'!$A$2:$A$495,0))&amp;": "&amp;INDEX('Dashboard Items'!$C$2:$C$495,MATCH(G72,'Dashboard Items'!$A$2:$A$495,0)),"ID not found")))</f>
        <v/>
      </c>
      <c r="I72" s="122" t="s">
        <v>550</v>
      </c>
      <c r="J72" s="122">
        <v>2</v>
      </c>
      <c r="K72" s="122" t="s">
        <v>551</v>
      </c>
      <c r="L72" s="122" t="s">
        <v>552</v>
      </c>
      <c r="M72" s="122">
        <v>0</v>
      </c>
      <c r="N72" s="122">
        <v>0</v>
      </c>
      <c r="O72" s="122" t="s">
        <v>551</v>
      </c>
      <c r="P72" s="122" t="s">
        <v>553</v>
      </c>
      <c r="Q72" s="122" t="s">
        <v>554</v>
      </c>
      <c r="R72" s="122"/>
      <c r="S72" s="122"/>
      <c r="T72" s="122"/>
      <c r="U72" s="99" t="str">
        <f>IF(B72="","",IF(IF(D72&lt;&gt;"",D72,IFERROR(INDEX('Dashboard Items'!$B$2:$B$495,MATCH(E72,'Dashboard Items'!$A$2:$A$495,0)),""))="Key Service",IF(O72="No","Key Service: shown, not counted","Counts in Key Service gauge"),IF(IF(D72&lt;&gt;"",D72,IFERROR(INDEX('Dashboard Items'!$B$2:$B$495,MATCH(E72,'Dashboard Items'!$A$2:$A$495,0)),""))="Program",IF(ISNUMBER(SEARCH("ks",G72)),IF(O72="No","Program, also at Key Service: not counted","Counts in Key Service gauge + sets Program chip"),IF(O72="No","Program: shown, no status chip","Sets Program status chip")),IF(IF(D72&lt;&gt;"",D72,IFERROR(INDEX('Dashboard Items'!$B$2:$B$495,MATCH(E72,'Dashboard Items'!$A$2:$A$495,0)),""))="Work System","Work System: shown, not counted","Check Level"))))</f>
        <v>Counts in Key Service gauge</v>
      </c>
    </row>
    <row r="73" spans="1:21" s="126" customFormat="1" ht="15.75" customHeight="1" x14ac:dyDescent="0.2">
      <c r="A73" s="121" t="str">
        <f t="shared" si="2"/>
        <v>PD</v>
      </c>
      <c r="B73" s="122" t="s">
        <v>657</v>
      </c>
      <c r="C73" s="123" t="s">
        <v>456</v>
      </c>
      <c r="D73" s="122" t="s">
        <v>29</v>
      </c>
      <c r="E73" s="122" t="s">
        <v>558</v>
      </c>
      <c r="F73" s="125" t="str">
        <f>IF(E73="","",IFERROR(IF(INDEX('Dashboard Items'!$B$2:$B$495,MATCH(E73,'Dashboard Items'!$A$2:$A$495,0))="Objective","Objectives go in the next column",IF(OR(D73="",INDEX('Dashboard Items'!$B$2:$B$495,MATCH(E73,'Dashboard Items'!$A$2:$A$495,0))=D73),INDEX('Dashboard Items'!$C$2:$C$495,MATCH(E73,'Dashboard Items'!$A$2:$A$495,0)),"Level does not match ID")),"ID not found"))</f>
        <v>Public Safety Services</v>
      </c>
      <c r="G73" s="124"/>
      <c r="H73" s="125" t="str">
        <f>IF(G73="","",IF(ISNUMBER(SEARCH(",",G73)),"Several items (the script lists them)",IFERROR(INDEX('Dashboard Items'!$B$2:$B$495,MATCH(G73,'Dashboard Items'!$A$2:$A$495,0))&amp;": "&amp;INDEX('Dashboard Items'!$C$2:$C$495,MATCH(G73,'Dashboard Items'!$A$2:$A$495,0)),"ID not found")))</f>
        <v/>
      </c>
      <c r="I73" s="122" t="s">
        <v>550</v>
      </c>
      <c r="J73" s="122">
        <v>2</v>
      </c>
      <c r="K73" s="122" t="s">
        <v>551</v>
      </c>
      <c r="L73" s="122" t="s">
        <v>552</v>
      </c>
      <c r="M73" s="122">
        <v>0</v>
      </c>
      <c r="N73" s="122">
        <v>0</v>
      </c>
      <c r="O73" s="122" t="s">
        <v>551</v>
      </c>
      <c r="P73" s="122" t="s">
        <v>553</v>
      </c>
      <c r="Q73" s="122" t="s">
        <v>554</v>
      </c>
      <c r="R73" s="122"/>
      <c r="S73" s="122"/>
      <c r="T73" s="122"/>
      <c r="U73" s="99" t="str">
        <f>IF(B73="","",IF(IF(D73&lt;&gt;"",D73,IFERROR(INDEX('Dashboard Items'!$B$2:$B$495,MATCH(E73,'Dashboard Items'!$A$2:$A$495,0)),""))="Key Service",IF(O73="No","Key Service: shown, not counted","Counts in Key Service gauge"),IF(IF(D73&lt;&gt;"",D73,IFERROR(INDEX('Dashboard Items'!$B$2:$B$495,MATCH(E73,'Dashboard Items'!$A$2:$A$495,0)),""))="Program",IF(ISNUMBER(SEARCH("ks",G73)),IF(O73="No","Program, also at Key Service: not counted","Counts in Key Service gauge + sets Program chip"),IF(O73="No","Program: shown, no status chip","Sets Program status chip")),IF(IF(D73&lt;&gt;"",D73,IFERROR(INDEX('Dashboard Items'!$B$2:$B$495,MATCH(E73,'Dashboard Items'!$A$2:$A$495,0)),""))="Work System","Work System: shown, not counted","Check Level"))))</f>
        <v>Counts in Key Service gauge</v>
      </c>
    </row>
    <row r="74" spans="1:21" s="126" customFormat="1" ht="15.75" customHeight="1" x14ac:dyDescent="0.2">
      <c r="A74" s="121" t="str">
        <f t="shared" si="2"/>
        <v>PD</v>
      </c>
      <c r="B74" s="122" t="s">
        <v>658</v>
      </c>
      <c r="C74" s="123" t="s">
        <v>226</v>
      </c>
      <c r="D74" s="122" t="s">
        <v>30</v>
      </c>
      <c r="E74" s="122" t="s">
        <v>225</v>
      </c>
      <c r="F74" s="125" t="str">
        <f>IF(E74="","",IFERROR(IF(INDEX('Dashboard Items'!$B$2:$B$495,MATCH(E74,'Dashboard Items'!$A$2:$A$495,0))="Objective","Objectives go in the next column",IF(OR(D74="",INDEX('Dashboard Items'!$B$2:$B$495,MATCH(E74,'Dashboard Items'!$A$2:$A$495,0))=D74),INDEX('Dashboard Items'!$C$2:$C$495,MATCH(E74,'Dashboard Items'!$A$2:$A$495,0)),"Level does not match ID")),"ID not found"))</f>
        <v>Special Operations</v>
      </c>
      <c r="G74" s="124"/>
      <c r="H74" s="125" t="str">
        <f>IF(G74="","",IF(ISNUMBER(SEARCH(",",G74)),"Several items (the script lists them)",IFERROR(INDEX('Dashboard Items'!$B$2:$B$495,MATCH(G74,'Dashboard Items'!$A$2:$A$495,0))&amp;": "&amp;INDEX('Dashboard Items'!$C$2:$C$495,MATCH(G74,'Dashboard Items'!$A$2:$A$495,0)),"ID not found")))</f>
        <v/>
      </c>
      <c r="I74" s="122" t="s">
        <v>550</v>
      </c>
      <c r="J74" s="122">
        <v>2</v>
      </c>
      <c r="K74" s="122" t="s">
        <v>551</v>
      </c>
      <c r="L74" s="122" t="s">
        <v>552</v>
      </c>
      <c r="M74" s="122">
        <v>0</v>
      </c>
      <c r="N74" s="122">
        <v>0</v>
      </c>
      <c r="O74" s="122" t="s">
        <v>551</v>
      </c>
      <c r="P74" s="122" t="s">
        <v>553</v>
      </c>
      <c r="Q74" s="122" t="s">
        <v>554</v>
      </c>
      <c r="R74" s="122"/>
      <c r="S74" s="122"/>
      <c r="T74" s="122"/>
      <c r="U74" s="99" t="str">
        <f>IF(B74="","",IF(IF(D74&lt;&gt;"",D74,IFERROR(INDEX('Dashboard Items'!$B$2:$B$495,MATCH(E74,'Dashboard Items'!$A$2:$A$495,0)),""))="Key Service",IF(O74="No","Key Service: shown, not counted","Counts in Key Service gauge"),IF(IF(D74&lt;&gt;"",D74,IFERROR(INDEX('Dashboard Items'!$B$2:$B$495,MATCH(E74,'Dashboard Items'!$A$2:$A$495,0)),""))="Program",IF(ISNUMBER(SEARCH("ks",G74)),IF(O74="No","Program, also at Key Service: not counted","Counts in Key Service gauge + sets Program chip"),IF(O74="No","Program: shown, no status chip","Sets Program status chip")),IF(IF(D74&lt;&gt;"",D74,IFERROR(INDEX('Dashboard Items'!$B$2:$B$495,MATCH(E74,'Dashboard Items'!$A$2:$A$495,0)),""))="Work System","Work System: shown, not counted","Check Level"))))</f>
        <v>Sets Program status chip</v>
      </c>
    </row>
    <row r="75" spans="1:21" s="126" customFormat="1" ht="15.75" customHeight="1" x14ac:dyDescent="0.2">
      <c r="A75" s="127" t="str">
        <f t="shared" si="2"/>
        <v>PIO</v>
      </c>
      <c r="B75" s="127" t="s">
        <v>659</v>
      </c>
      <c r="C75" s="127" t="s">
        <v>74</v>
      </c>
      <c r="D75" s="127" t="s">
        <v>30</v>
      </c>
      <c r="E75" s="127" t="s">
        <v>72</v>
      </c>
      <c r="F75" s="128" t="str">
        <f>IF(E75="","",IFERROR(IF(INDEX('Dashboard Items'!$B$2:$B$495,MATCH(E75,'Dashboard Items'!$A$2:$A$495,0))="Objective","Objectives go in the next column",IF(OR(D75="",INDEX('Dashboard Items'!$B$2:$B$495,MATCH(E75,'Dashboard Items'!$A$2:$A$495,0))=D75),INDEX('Dashboard Items'!$C$2:$C$495,MATCH(E75,'Dashboard Items'!$A$2:$A$495,0)),"Level does not match ID")),"ID not found"))</f>
        <v>Social Media</v>
      </c>
      <c r="G75" s="129"/>
      <c r="H75" s="128"/>
      <c r="I75" s="127"/>
      <c r="J75" s="127"/>
      <c r="K75" s="127"/>
      <c r="L75" s="127"/>
      <c r="M75" s="127"/>
      <c r="N75" s="127"/>
      <c r="O75" s="127" t="s">
        <v>551</v>
      </c>
      <c r="P75" s="127" t="s">
        <v>553</v>
      </c>
      <c r="Q75" s="127"/>
      <c r="R75" s="127"/>
      <c r="S75" s="127"/>
      <c r="T75" s="127"/>
      <c r="U75" s="99" t="str">
        <f>IF(B75="","",IF(IF(D75&lt;&gt;"",D75,IFERROR(INDEX('Dashboard Items'!$B$2:$B$495,MATCH(E75,'Dashboard Items'!$A$2:$A$495,0)),""))="Key Service",IF(O75="No","Key Service: shown, not counted","Counts in Key Service gauge"),IF(IF(D75&lt;&gt;"",D75,IFERROR(INDEX('Dashboard Items'!$B$2:$B$495,MATCH(E75,'Dashboard Items'!$A$2:$A$495,0)),""))="Program",IF(ISNUMBER(SEARCH("ks",G75)),IF(O75="No","Program, also at Key Service: not counted","Counts in Key Service gauge + sets Program chip"),IF(O75="No","Program: shown, no status chip","Sets Program status chip")),IF(IF(D75&lt;&gt;"",D75,IFERROR(INDEX('Dashboard Items'!$B$2:$B$495,MATCH(E75,'Dashboard Items'!$A$2:$A$495,0)),""))="Work System","Work System: shown, not counted","Check Level"))))</f>
        <v>Sets Program status chip</v>
      </c>
    </row>
    <row r="76" spans="1:21" s="126" customFormat="1" ht="15.75" customHeight="1" x14ac:dyDescent="0.2">
      <c r="A76" s="127" t="str">
        <f t="shared" si="2"/>
        <v>PIO</v>
      </c>
      <c r="B76" s="127" t="s">
        <v>660</v>
      </c>
      <c r="C76" s="127" t="s">
        <v>73</v>
      </c>
      <c r="D76" s="127" t="s">
        <v>30</v>
      </c>
      <c r="E76" s="127" t="s">
        <v>72</v>
      </c>
      <c r="F76" s="128" t="str">
        <f>IF(E76="","",IFERROR(IF(INDEX('Dashboard Items'!$B$2:$B$495,MATCH(E76,'Dashboard Items'!$A$2:$A$495,0))="Objective","Objectives go in the next column",IF(OR(D76="",INDEX('Dashboard Items'!$B$2:$B$495,MATCH(E76,'Dashboard Items'!$A$2:$A$495,0))=D76),INDEX('Dashboard Items'!$C$2:$C$495,MATCH(E76,'Dashboard Items'!$A$2:$A$495,0)),"Level does not match ID")),"ID not found"))</f>
        <v>Social Media</v>
      </c>
      <c r="G76" s="129" t="s">
        <v>661</v>
      </c>
      <c r="H76" s="128" t="str">
        <f>IF(G76="","",IF(ISNUMBER(SEARCH(",",G76)),"Several items (the script lists them)",IFERROR(INDEX('Dashboard Items'!$B$2:$B$495,MATCH(G76,'Dashboard Items'!$A$2:$A$495,0))&amp;": "&amp;INDEX('Dashboard Items'!$C$2:$C$495,MATCH(G76,'Dashboard Items'!$A$2:$A$495,0)),"ID not found")))</f>
        <v>Key Service: Public Information &amp; Community Engagement</v>
      </c>
      <c r="I76" s="127"/>
      <c r="J76" s="127">
        <v>2</v>
      </c>
      <c r="K76" s="127" t="s">
        <v>551</v>
      </c>
      <c r="L76" s="127" t="s">
        <v>552</v>
      </c>
      <c r="M76" s="127">
        <v>0</v>
      </c>
      <c r="N76" s="127">
        <v>0</v>
      </c>
      <c r="O76" s="127" t="s">
        <v>551</v>
      </c>
      <c r="P76" s="127" t="s">
        <v>553</v>
      </c>
      <c r="Q76" s="127" t="s">
        <v>662</v>
      </c>
      <c r="R76" s="127" t="s">
        <v>663</v>
      </c>
      <c r="S76" s="127"/>
      <c r="T76" s="127"/>
      <c r="U76" s="99" t="str">
        <f>IF(B76="","",IF(IF(D76&lt;&gt;"",D76,IFERROR(INDEX('Dashboard Items'!$B$2:$B$495,MATCH(E76,'Dashboard Items'!$A$2:$A$495,0)),""))="Key Service",IF(O76="No","Key Service: shown, not counted","Counts in Key Service gauge"),IF(IF(D76&lt;&gt;"",D76,IFERROR(INDEX('Dashboard Items'!$B$2:$B$495,MATCH(E76,'Dashboard Items'!$A$2:$A$495,0)),""))="Program",IF(ISNUMBER(SEARCH("ks",G76)),IF(O76="No","Program, also at Key Service: not counted","Counts in Key Service gauge + sets Program chip"),IF(O76="No","Program: shown, no status chip","Sets Program status chip")),IF(IF(D76&lt;&gt;"",D76,IFERROR(INDEX('Dashboard Items'!$B$2:$B$495,MATCH(E76,'Dashboard Items'!$A$2:$A$495,0)),""))="Work System","Work System: shown, not counted","Check Level"))))</f>
        <v>Counts in Key Service gauge + sets Program chip</v>
      </c>
    </row>
    <row r="77" spans="1:21" s="121" customFormat="1" ht="15.75" customHeight="1" x14ac:dyDescent="0.2">
      <c r="A77" s="127" t="str">
        <f t="shared" si="2"/>
        <v>PIO</v>
      </c>
      <c r="B77" s="127" t="s">
        <v>664</v>
      </c>
      <c r="C77" s="127" t="s">
        <v>69</v>
      </c>
      <c r="D77" s="127" t="s">
        <v>30</v>
      </c>
      <c r="E77" s="127" t="s">
        <v>68</v>
      </c>
      <c r="F77" s="128" t="str">
        <f>IF(E77="","",IFERROR(IF(INDEX('Dashboard Items'!$B$2:$B$495,MATCH(E77,'Dashboard Items'!$A$2:$A$495,0))="Objective","Objectives go in the next column",IF(OR(D77="",INDEX('Dashboard Items'!$B$2:$B$495,MATCH(E77,'Dashboard Items'!$A$2:$A$495,0))=D77),INDEX('Dashboard Items'!$C$2:$C$495,MATCH(E77,'Dashboard Items'!$A$2:$A$495,0)),"Level does not match ID")),"ID not found"))</f>
        <v>Public Outreach</v>
      </c>
      <c r="G77" s="129" t="s">
        <v>661</v>
      </c>
      <c r="H77" s="128" t="str">
        <f>IF(G77="","",IF(ISNUMBER(SEARCH(",",G77)),"Several items (the script lists them)",IFERROR(INDEX('Dashboard Items'!$B$2:$B$495,MATCH(G77,'Dashboard Items'!$A$2:$A$495,0))&amp;": "&amp;INDEX('Dashboard Items'!$C$2:$C$495,MATCH(G77,'Dashboard Items'!$A$2:$A$495,0)),"ID not found")))</f>
        <v>Key Service: Public Information &amp; Community Engagement</v>
      </c>
      <c r="I77" s="127"/>
      <c r="J77" s="127"/>
      <c r="K77" s="127"/>
      <c r="L77" s="127"/>
      <c r="M77" s="127"/>
      <c r="N77" s="127"/>
      <c r="O77" s="127" t="s">
        <v>551</v>
      </c>
      <c r="P77" s="127" t="s">
        <v>553</v>
      </c>
      <c r="Q77" s="127"/>
      <c r="R77" s="127"/>
      <c r="S77" s="127"/>
      <c r="T77" s="127"/>
      <c r="U77" s="99" t="str">
        <f>IF(B77="","",IF(IF(D77&lt;&gt;"",D77,IFERROR(INDEX('Dashboard Items'!$B$2:$B$495,MATCH(E77,'Dashboard Items'!$A$2:$A$495,0)),""))="Key Service",IF(O77="No","Key Service: shown, not counted","Counts in Key Service gauge"),IF(IF(D77&lt;&gt;"",D77,IFERROR(INDEX('Dashboard Items'!$B$2:$B$495,MATCH(E77,'Dashboard Items'!$A$2:$A$495,0)),""))="Program",IF(ISNUMBER(SEARCH("ks",G77)),IF(O77="No","Program, also at Key Service: not counted","Counts in Key Service gauge + sets Program chip"),IF(O77="No","Program: shown, no status chip","Sets Program status chip")),IF(IF(D77&lt;&gt;"",D77,IFERROR(INDEX('Dashboard Items'!$B$2:$B$495,MATCH(E77,'Dashboard Items'!$A$2:$A$495,0)),""))="Work System","Work System: shown, not counted","Check Level"))))</f>
        <v>Counts in Key Service gauge + sets Program chip</v>
      </c>
    </row>
    <row r="78" spans="1:21" s="121" customFormat="1" ht="15.75" customHeight="1" x14ac:dyDescent="0.2">
      <c r="A78" s="127" t="str">
        <f t="shared" si="2"/>
        <v>PIO</v>
      </c>
      <c r="B78" s="127" t="s">
        <v>665</v>
      </c>
      <c r="C78" s="127" t="s">
        <v>70</v>
      </c>
      <c r="D78" s="127" t="s">
        <v>30</v>
      </c>
      <c r="E78" s="127" t="s">
        <v>68</v>
      </c>
      <c r="F78" s="128" t="str">
        <f>IF(E78="","",IFERROR(IF(INDEX('Dashboard Items'!$B$2:$B$495,MATCH(E78,'Dashboard Items'!$A$2:$A$495,0))="Objective","Objectives go in the next column",IF(OR(D78="",INDEX('Dashboard Items'!$B$2:$B$495,MATCH(E78,'Dashboard Items'!$A$2:$A$495,0))=D78),INDEX('Dashboard Items'!$C$2:$C$495,MATCH(E78,'Dashboard Items'!$A$2:$A$495,0)),"Level does not match ID")),"ID not found"))</f>
        <v>Public Outreach</v>
      </c>
      <c r="G78" s="129" t="s">
        <v>661</v>
      </c>
      <c r="H78" s="128" t="str">
        <f>IF(G78="","",IF(ISNUMBER(SEARCH(",",G78)),"Several items (the script lists them)",IFERROR(INDEX('Dashboard Items'!$B$2:$B$495,MATCH(G78,'Dashboard Items'!$A$2:$A$495,0))&amp;": "&amp;INDEX('Dashboard Items'!$C$2:$C$495,MATCH(G78,'Dashboard Items'!$A$2:$A$495,0)),"ID not found")))</f>
        <v>Key Service: Public Information &amp; Community Engagement</v>
      </c>
      <c r="I78" s="127"/>
      <c r="J78" s="127"/>
      <c r="K78" s="127"/>
      <c r="L78" s="127"/>
      <c r="M78" s="127"/>
      <c r="N78" s="127"/>
      <c r="O78" s="127" t="s">
        <v>551</v>
      </c>
      <c r="P78" s="127" t="s">
        <v>553</v>
      </c>
      <c r="Q78" s="127"/>
      <c r="R78" s="127"/>
      <c r="S78" s="127"/>
      <c r="T78" s="127"/>
      <c r="U78" s="99" t="str">
        <f>IF(B78="","",IF(IF(D78&lt;&gt;"",D78,IFERROR(INDEX('Dashboard Items'!$B$2:$B$495,MATCH(E78,'Dashboard Items'!$A$2:$A$495,0)),""))="Key Service",IF(O78="No","Key Service: shown, not counted","Counts in Key Service gauge"),IF(IF(D78&lt;&gt;"",D78,IFERROR(INDEX('Dashboard Items'!$B$2:$B$495,MATCH(E78,'Dashboard Items'!$A$2:$A$495,0)),""))="Program",IF(ISNUMBER(SEARCH("ks",G78)),IF(O78="No","Program, also at Key Service: not counted","Counts in Key Service gauge + sets Program chip"),IF(O78="No","Program: shown, no status chip","Sets Program status chip")),IF(IF(D78&lt;&gt;"",D78,IFERROR(INDEX('Dashboard Items'!$B$2:$B$495,MATCH(E78,'Dashboard Items'!$A$2:$A$495,0)),""))="Work System","Work System: shown, not counted","Check Level"))))</f>
        <v>Counts in Key Service gauge + sets Program chip</v>
      </c>
    </row>
    <row r="79" spans="1:21" s="121" customFormat="1" ht="15.75" customHeight="1" x14ac:dyDescent="0.2">
      <c r="A79" s="126" t="str">
        <f t="shared" si="2"/>
        <v>PROS</v>
      </c>
      <c r="B79" s="130" t="s">
        <v>666</v>
      </c>
      <c r="C79" s="131" t="s">
        <v>398</v>
      </c>
      <c r="D79" s="130" t="s">
        <v>29</v>
      </c>
      <c r="E79" s="130" t="s">
        <v>667</v>
      </c>
      <c r="F79" s="132" t="str">
        <f>IF(E79="","",IFERROR(IF(INDEX('Dashboard Items'!$B$2:$B$495,MATCH(E79,'Dashboard Items'!$A$2:$A$495,0))="Objective","Objectives go in the next column",IF(OR(D79="",INDEX('Dashboard Items'!$B$2:$B$495,MATCH(E79,'Dashboard Items'!$A$2:$A$495,0))=D79),INDEX('Dashboard Items'!$C$2:$C$495,MATCH(E79,'Dashboard Items'!$A$2:$A$495,0)),"Level does not match ID")),"ID not found"))</f>
        <v>Recreation &amp; Community Programs</v>
      </c>
      <c r="G79" s="133" t="s">
        <v>397</v>
      </c>
      <c r="H79" s="132" t="str">
        <f>IF(G79="","",IF(ISNUMBER(SEARCH(",",G79)),"Several items (the script lists them)",IFERROR(INDEX('Dashboard Items'!$B$2:$B$495,MATCH(G79,'Dashboard Items'!$A$2:$A$495,0))&amp;": "&amp;INDEX('Dashboard Items'!$C$2:$C$495,MATCH(G79,'Dashboard Items'!$A$2:$A$495,0)),"ID not found")))</f>
        <v>Program: Community Events</v>
      </c>
      <c r="I79" s="130" t="s">
        <v>550</v>
      </c>
      <c r="J79" s="130">
        <v>2</v>
      </c>
      <c r="K79" s="130" t="s">
        <v>551</v>
      </c>
      <c r="L79" s="130" t="s">
        <v>552</v>
      </c>
      <c r="M79" s="130">
        <v>0</v>
      </c>
      <c r="N79" s="130">
        <v>0</v>
      </c>
      <c r="O79" s="130" t="s">
        <v>551</v>
      </c>
      <c r="P79" s="130" t="s">
        <v>553</v>
      </c>
      <c r="Q79" s="130" t="s">
        <v>668</v>
      </c>
      <c r="R79" s="130"/>
      <c r="S79" s="130"/>
      <c r="T79" s="130"/>
      <c r="U79" s="99" t="str">
        <f>IF(B79="","",IF(IF(D79&lt;&gt;"",D79,IFERROR(INDEX('Dashboard Items'!$B$2:$B$495,MATCH(E79,'Dashboard Items'!$A$2:$A$495,0)),""))="Key Service",IF(O79="No","Key Service: shown, not counted","Counts in Key Service gauge"),IF(IF(D79&lt;&gt;"",D79,IFERROR(INDEX('Dashboard Items'!$B$2:$B$495,MATCH(E79,'Dashboard Items'!$A$2:$A$495,0)),""))="Program",IF(ISNUMBER(SEARCH("ks",G79)),IF(O79="No","Program, also at Key Service: not counted","Counts in Key Service gauge + sets Program chip"),IF(O79="No","Program: shown, no status chip","Sets Program status chip")),IF(IF(D79&lt;&gt;"",D79,IFERROR(INDEX('Dashboard Items'!$B$2:$B$495,MATCH(E79,'Dashboard Items'!$A$2:$A$495,0)),""))="Work System","Work System: shown, not counted","Check Level"))))</f>
        <v>Counts in Key Service gauge</v>
      </c>
    </row>
    <row r="80" spans="1:21" s="121" customFormat="1" ht="15.75" customHeight="1" x14ac:dyDescent="0.2">
      <c r="A80" s="126" t="str">
        <f t="shared" si="2"/>
        <v>PROS</v>
      </c>
      <c r="B80" s="130" t="s">
        <v>669</v>
      </c>
      <c r="C80" s="131" t="s">
        <v>400</v>
      </c>
      <c r="D80" s="130" t="s">
        <v>30</v>
      </c>
      <c r="E80" s="130" t="s">
        <v>397</v>
      </c>
      <c r="F80" s="132" t="str">
        <f>IF(E80="","",IFERROR(IF(INDEX('Dashboard Items'!$B$2:$B$495,MATCH(E80,'Dashboard Items'!$A$2:$A$495,0))="Objective","Objectives go in the next column",IF(OR(D80="",INDEX('Dashboard Items'!$B$2:$B$495,MATCH(E80,'Dashboard Items'!$A$2:$A$495,0))=D80),INDEX('Dashboard Items'!$C$2:$C$495,MATCH(E80,'Dashboard Items'!$A$2:$A$495,0)),"Level does not match ID")),"ID not found"))</f>
        <v>Community Events</v>
      </c>
      <c r="G80" s="133"/>
      <c r="H80" s="132" t="str">
        <f>IF(G80="","",IF(ISNUMBER(SEARCH(",",G80)),"Several items (the script lists them)",IFERROR(INDEX('Dashboard Items'!$B$2:$B$495,MATCH(G80,'Dashboard Items'!$A$2:$A$495,0))&amp;": "&amp;INDEX('Dashboard Items'!$C$2:$C$495,MATCH(G80,'Dashboard Items'!$A$2:$A$495,0)),"ID not found")))</f>
        <v/>
      </c>
      <c r="I80" s="130" t="s">
        <v>550</v>
      </c>
      <c r="J80" s="130">
        <v>2</v>
      </c>
      <c r="K80" s="130" t="s">
        <v>551</v>
      </c>
      <c r="L80" s="130" t="s">
        <v>552</v>
      </c>
      <c r="M80" s="130">
        <v>0</v>
      </c>
      <c r="N80" s="130">
        <v>0</v>
      </c>
      <c r="O80" s="130" t="s">
        <v>551</v>
      </c>
      <c r="P80" s="130" t="s">
        <v>553</v>
      </c>
      <c r="Q80" s="130" t="s">
        <v>668</v>
      </c>
      <c r="R80" s="130"/>
      <c r="S80" s="130"/>
      <c r="T80" s="130"/>
      <c r="U80" s="99" t="str">
        <f>IF(B80="","",IF(IF(D80&lt;&gt;"",D80,IFERROR(INDEX('Dashboard Items'!$B$2:$B$495,MATCH(E80,'Dashboard Items'!$A$2:$A$495,0)),""))="Key Service",IF(O80="No","Key Service: shown, not counted","Counts in Key Service gauge"),IF(IF(D80&lt;&gt;"",D80,IFERROR(INDEX('Dashboard Items'!$B$2:$B$495,MATCH(E80,'Dashboard Items'!$A$2:$A$495,0)),""))="Program",IF(ISNUMBER(SEARCH("ks",G80)),IF(O80="No","Program, also at Key Service: not counted","Counts in Key Service gauge + sets Program chip"),IF(O80="No","Program: shown, no status chip","Sets Program status chip")),IF(IF(D80&lt;&gt;"",D80,IFERROR(INDEX('Dashboard Items'!$B$2:$B$495,MATCH(E80,'Dashboard Items'!$A$2:$A$495,0)),""))="Work System","Work System: shown, not counted","Check Level"))))</f>
        <v>Sets Program status chip</v>
      </c>
    </row>
    <row r="81" spans="1:21" s="121" customFormat="1" ht="15.75" customHeight="1" x14ac:dyDescent="0.2">
      <c r="A81" s="126" t="str">
        <f t="shared" si="2"/>
        <v>PROS</v>
      </c>
      <c r="B81" s="130" t="s">
        <v>670</v>
      </c>
      <c r="C81" s="131" t="s">
        <v>175</v>
      </c>
      <c r="D81" s="130" t="s">
        <v>30</v>
      </c>
      <c r="E81" s="130" t="s">
        <v>174</v>
      </c>
      <c r="F81" s="132" t="str">
        <f>IF(E81="","",IFERROR(IF(INDEX('Dashboard Items'!$B$2:$B$495,MATCH(E81,'Dashboard Items'!$A$2:$A$495,0))="Objective","Objectives go in the next column",IF(OR(D81="",INDEX('Dashboard Items'!$B$2:$B$495,MATCH(E81,'Dashboard Items'!$A$2:$A$495,0))=D81),INDEX('Dashboard Items'!$C$2:$C$495,MATCH(E81,'Dashboard Items'!$A$2:$A$495,0)),"Level does not match ID")),"ID not found"))</f>
        <v>Community Investments, Partnerships, and Grant Making</v>
      </c>
      <c r="G81" s="133"/>
      <c r="H81" s="132" t="str">
        <f>IF(G81="","",IF(ISNUMBER(SEARCH(",",G81)),"Several items (the script lists them)",IFERROR(INDEX('Dashboard Items'!$B$2:$B$495,MATCH(G81,'Dashboard Items'!$A$2:$A$495,0))&amp;": "&amp;INDEX('Dashboard Items'!$C$2:$C$495,MATCH(G81,'Dashboard Items'!$A$2:$A$495,0)),"ID not found")))</f>
        <v/>
      </c>
      <c r="I81" s="130" t="s">
        <v>550</v>
      </c>
      <c r="J81" s="130">
        <v>2</v>
      </c>
      <c r="K81" s="130" t="s">
        <v>551</v>
      </c>
      <c r="L81" s="130" t="s">
        <v>552</v>
      </c>
      <c r="M81" s="130">
        <v>0</v>
      </c>
      <c r="N81" s="130">
        <v>0</v>
      </c>
      <c r="O81" s="130" t="s">
        <v>551</v>
      </c>
      <c r="P81" s="130" t="s">
        <v>553</v>
      </c>
      <c r="Q81" s="130" t="s">
        <v>668</v>
      </c>
      <c r="R81" s="130"/>
      <c r="S81" s="130"/>
      <c r="T81" s="130"/>
      <c r="U81" s="99" t="str">
        <f>IF(B81="","",IF(IF(D81&lt;&gt;"",D81,IFERROR(INDEX('Dashboard Items'!$B$2:$B$495,MATCH(E81,'Dashboard Items'!$A$2:$A$495,0)),""))="Key Service",IF(O81="No","Key Service: shown, not counted","Counts in Key Service gauge"),IF(IF(D81&lt;&gt;"",D81,IFERROR(INDEX('Dashboard Items'!$B$2:$B$495,MATCH(E81,'Dashboard Items'!$A$2:$A$495,0)),""))="Program",IF(ISNUMBER(SEARCH("ks",G81)),IF(O81="No","Program, also at Key Service: not counted","Counts in Key Service gauge + sets Program chip"),IF(O81="No","Program: shown, no status chip","Sets Program status chip")),IF(IF(D81&lt;&gt;"",D81,IFERROR(INDEX('Dashboard Items'!$B$2:$B$495,MATCH(E81,'Dashboard Items'!$A$2:$A$495,0)),""))="Work System","Work System: shown, not counted","Check Level"))))</f>
        <v>Sets Program status chip</v>
      </c>
    </row>
    <row r="82" spans="1:21" s="121" customFormat="1" ht="15.75" customHeight="1" x14ac:dyDescent="0.2">
      <c r="A82" s="126" t="str">
        <f t="shared" si="2"/>
        <v>PROS</v>
      </c>
      <c r="B82" s="130" t="s">
        <v>671</v>
      </c>
      <c r="C82" s="131" t="s">
        <v>176</v>
      </c>
      <c r="D82" s="130" t="s">
        <v>30</v>
      </c>
      <c r="E82" s="130" t="s">
        <v>174</v>
      </c>
      <c r="F82" s="132" t="str">
        <f>IF(E82="","",IFERROR(IF(INDEX('Dashboard Items'!$B$2:$B$495,MATCH(E82,'Dashboard Items'!$A$2:$A$495,0))="Objective","Objectives go in the next column",IF(OR(D82="",INDEX('Dashboard Items'!$B$2:$B$495,MATCH(E82,'Dashboard Items'!$A$2:$A$495,0))=D82),INDEX('Dashboard Items'!$C$2:$C$495,MATCH(E82,'Dashboard Items'!$A$2:$A$495,0)),"Level does not match ID")),"ID not found"))</f>
        <v>Community Investments, Partnerships, and Grant Making</v>
      </c>
      <c r="G82" s="133"/>
      <c r="H82" s="132" t="str">
        <f>IF(G82="","",IF(ISNUMBER(SEARCH(",",G82)),"Several items (the script lists them)",IFERROR(INDEX('Dashboard Items'!$B$2:$B$495,MATCH(G82,'Dashboard Items'!$A$2:$A$495,0))&amp;": "&amp;INDEX('Dashboard Items'!$C$2:$C$495,MATCH(G82,'Dashboard Items'!$A$2:$A$495,0)),"ID not found")))</f>
        <v/>
      </c>
      <c r="I82" s="130" t="s">
        <v>550</v>
      </c>
      <c r="J82" s="130">
        <v>2</v>
      </c>
      <c r="K82" s="130" t="s">
        <v>551</v>
      </c>
      <c r="L82" s="130" t="s">
        <v>552</v>
      </c>
      <c r="M82" s="130">
        <v>0</v>
      </c>
      <c r="N82" s="130">
        <v>0</v>
      </c>
      <c r="O82" s="130" t="s">
        <v>551</v>
      </c>
      <c r="P82" s="130" t="s">
        <v>553</v>
      </c>
      <c r="Q82" s="130" t="s">
        <v>668</v>
      </c>
      <c r="R82" s="130"/>
      <c r="S82" s="130"/>
      <c r="T82" s="130"/>
      <c r="U82" s="99" t="str">
        <f>IF(B82="","",IF(IF(D82&lt;&gt;"",D82,IFERROR(INDEX('Dashboard Items'!$B$2:$B$495,MATCH(E82,'Dashboard Items'!$A$2:$A$495,0)),""))="Key Service",IF(O82="No","Key Service: shown, not counted","Counts in Key Service gauge"),IF(IF(D82&lt;&gt;"",D82,IFERROR(INDEX('Dashboard Items'!$B$2:$B$495,MATCH(E82,'Dashboard Items'!$A$2:$A$495,0)),""))="Program",IF(ISNUMBER(SEARCH("ks",G82)),IF(O82="No","Program, also at Key Service: not counted","Counts in Key Service gauge + sets Program chip"),IF(O82="No","Program: shown, no status chip","Sets Program status chip")),IF(IF(D82&lt;&gt;"",D82,IFERROR(INDEX('Dashboard Items'!$B$2:$B$495,MATCH(E82,'Dashboard Items'!$A$2:$A$495,0)),""))="Work System","Work System: shown, not counted","Check Level"))))</f>
        <v>Sets Program status chip</v>
      </c>
    </row>
    <row r="83" spans="1:21" s="121" customFormat="1" ht="15.75" customHeight="1" x14ac:dyDescent="0.2">
      <c r="A83" s="126" t="str">
        <f t="shared" si="2"/>
        <v>PROS</v>
      </c>
      <c r="B83" s="130" t="s">
        <v>672</v>
      </c>
      <c r="C83" s="131" t="s">
        <v>184</v>
      </c>
      <c r="D83" s="130" t="s">
        <v>30</v>
      </c>
      <c r="E83" s="130" t="s">
        <v>178</v>
      </c>
      <c r="F83" s="132" t="str">
        <f>IF(E83="","",IFERROR(IF(INDEX('Dashboard Items'!$B$2:$B$495,MATCH(E83,'Dashboard Items'!$A$2:$A$495,0))="Objective","Objectives go in the next column",IF(OR(D83="",INDEX('Dashboard Items'!$B$2:$B$495,MATCH(E83,'Dashboard Items'!$A$2:$A$495,0))=D83),INDEX('Dashboard Items'!$C$2:$C$495,MATCH(E83,'Dashboard Items'!$A$2:$A$495,0)),"Level does not match ID")),"ID not found"))</f>
        <v>Business Support Services</v>
      </c>
      <c r="G83" s="133" t="s">
        <v>181</v>
      </c>
      <c r="H83" s="132" t="str">
        <f>IF(G83="","",IF(ISNUMBER(SEARCH(",",G83)),"Several items (the script lists them)",IFERROR(INDEX('Dashboard Items'!$B$2:$B$495,MATCH(G83,'Dashboard Items'!$A$2:$A$495,0))&amp;": "&amp;INDEX('Dashboard Items'!$C$2:$C$495,MATCH(G83,'Dashboard Items'!$A$2:$A$495,0)),"ID not found")))</f>
        <v>Program: Destination Marketing and Management (Tourism)</v>
      </c>
      <c r="I83" s="130" t="s">
        <v>550</v>
      </c>
      <c r="J83" s="130">
        <v>2</v>
      </c>
      <c r="K83" s="130" t="s">
        <v>551</v>
      </c>
      <c r="L83" s="130" t="s">
        <v>552</v>
      </c>
      <c r="M83" s="130">
        <v>0</v>
      </c>
      <c r="N83" s="130">
        <v>0</v>
      </c>
      <c r="O83" s="130" t="s">
        <v>551</v>
      </c>
      <c r="P83" s="130" t="s">
        <v>553</v>
      </c>
      <c r="Q83" s="130" t="s">
        <v>668</v>
      </c>
      <c r="R83" s="130"/>
      <c r="S83" s="130"/>
      <c r="T83" s="130"/>
      <c r="U83" s="99" t="str">
        <f>IF(B83="","",IF(IF(D83&lt;&gt;"",D83,IFERROR(INDEX('Dashboard Items'!$B$2:$B$495,MATCH(E83,'Dashboard Items'!$A$2:$A$495,0)),""))="Key Service",IF(O83="No","Key Service: shown, not counted","Counts in Key Service gauge"),IF(IF(D83&lt;&gt;"",D83,IFERROR(INDEX('Dashboard Items'!$B$2:$B$495,MATCH(E83,'Dashboard Items'!$A$2:$A$495,0)),""))="Program",IF(ISNUMBER(SEARCH("ks",G83)),IF(O83="No","Program, also at Key Service: not counted","Counts in Key Service gauge + sets Program chip"),IF(O83="No","Program: shown, no status chip","Sets Program status chip")),IF(IF(D83&lt;&gt;"",D83,IFERROR(INDEX('Dashboard Items'!$B$2:$B$495,MATCH(E83,'Dashboard Items'!$A$2:$A$495,0)),""))="Work System","Work System: shown, not counted","Check Level"))))</f>
        <v>Sets Program status chip</v>
      </c>
    </row>
    <row r="84" spans="1:21" s="121" customFormat="1" ht="15.75" customHeight="1" x14ac:dyDescent="0.2">
      <c r="A84" s="126" t="str">
        <f t="shared" si="2"/>
        <v>PROS</v>
      </c>
      <c r="B84" s="130" t="s">
        <v>673</v>
      </c>
      <c r="C84" s="131" t="s">
        <v>182</v>
      </c>
      <c r="D84" s="130" t="s">
        <v>29</v>
      </c>
      <c r="E84" s="130" t="s">
        <v>674</v>
      </c>
      <c r="F84" s="132" t="str">
        <f>IF(E84="","",IFERROR(IF(INDEX('Dashboard Items'!$B$2:$B$495,MATCH(E84,'Dashboard Items'!$A$2:$A$495,0))="Objective","Objectives go in the next column",IF(OR(D84="",INDEX('Dashboard Items'!$B$2:$B$495,MATCH(E84,'Dashboard Items'!$A$2:$A$495,0))=D84),INDEX('Dashboard Items'!$C$2:$C$495,MATCH(E84,'Dashboard Items'!$A$2:$A$495,0)),"Level does not match ID")),"ID not found"))</f>
        <v>Economic Prosperity &amp; Business Support</v>
      </c>
      <c r="G84" s="133" t="s">
        <v>675</v>
      </c>
      <c r="H84" s="132" t="str">
        <f>IF(G84="","",IF(ISNUMBER(SEARCH(",",G84)),"Several items (the script lists them)",IFERROR(INDEX('Dashboard Items'!$B$2:$B$495,MATCH(G84,'Dashboard Items'!$A$2:$A$495,0))&amp;": "&amp;INDEX('Dashboard Items'!$C$2:$C$495,MATCH(G84,'Dashboard Items'!$A$2:$A$495,0)),"ID not found")))</f>
        <v>Several items (the script lists them)</v>
      </c>
      <c r="I84" s="130" t="s">
        <v>588</v>
      </c>
      <c r="J84" s="130">
        <v>2</v>
      </c>
      <c r="K84" s="130" t="s">
        <v>551</v>
      </c>
      <c r="L84" s="130" t="s">
        <v>552</v>
      </c>
      <c r="M84" s="130">
        <v>0</v>
      </c>
      <c r="N84" s="130">
        <v>0</v>
      </c>
      <c r="O84" s="130" t="s">
        <v>551</v>
      </c>
      <c r="P84" s="130" t="s">
        <v>553</v>
      </c>
      <c r="Q84" s="130" t="s">
        <v>668</v>
      </c>
      <c r="R84" s="130"/>
      <c r="S84" s="130"/>
      <c r="T84" s="130"/>
      <c r="U84" s="99" t="str">
        <f>IF(B84="","",IF(IF(D84&lt;&gt;"",D84,IFERROR(INDEX('Dashboard Items'!$B$2:$B$495,MATCH(E84,'Dashboard Items'!$A$2:$A$495,0)),""))="Key Service",IF(O84="No","Key Service: shown, not counted","Counts in Key Service gauge"),IF(IF(D84&lt;&gt;"",D84,IFERROR(INDEX('Dashboard Items'!$B$2:$B$495,MATCH(E84,'Dashboard Items'!$A$2:$A$495,0)),""))="Program",IF(ISNUMBER(SEARCH("ks",G84)),IF(O84="No","Program, also at Key Service: not counted","Counts in Key Service gauge + sets Program chip"),IF(O84="No","Program: shown, no status chip","Sets Program status chip")),IF(IF(D84&lt;&gt;"",D84,IFERROR(INDEX('Dashboard Items'!$B$2:$B$495,MATCH(E84,'Dashboard Items'!$A$2:$A$495,0)),""))="Work System","Work System: shown, not counted","Check Level"))))</f>
        <v>Counts in Key Service gauge</v>
      </c>
    </row>
    <row r="85" spans="1:21" s="121" customFormat="1" ht="15.75" customHeight="1" x14ac:dyDescent="0.2">
      <c r="A85" s="126" t="str">
        <f t="shared" si="2"/>
        <v>PROS</v>
      </c>
      <c r="B85" s="130" t="s">
        <v>676</v>
      </c>
      <c r="C85" s="131" t="s">
        <v>399</v>
      </c>
      <c r="D85" s="130" t="s">
        <v>30</v>
      </c>
      <c r="E85" s="130" t="s">
        <v>397</v>
      </c>
      <c r="F85" s="132" t="str">
        <f>IF(E85="","",IFERROR(IF(INDEX('Dashboard Items'!$B$2:$B$495,MATCH(E85,'Dashboard Items'!$A$2:$A$495,0))="Objective","Objectives go in the next column",IF(OR(D85="",INDEX('Dashboard Items'!$B$2:$B$495,MATCH(E85,'Dashboard Items'!$A$2:$A$495,0))=D85),INDEX('Dashboard Items'!$C$2:$C$495,MATCH(E85,'Dashboard Items'!$A$2:$A$495,0)),"Level does not match ID")),"ID not found"))</f>
        <v>Community Events</v>
      </c>
      <c r="G85" s="133"/>
      <c r="H85" s="132" t="str">
        <f>IF(G85="","",IF(ISNUMBER(SEARCH(",",G85)),"Several items (the script lists them)",IFERROR(INDEX('Dashboard Items'!$B$2:$B$495,MATCH(G85,'Dashboard Items'!$A$2:$A$495,0))&amp;": "&amp;INDEX('Dashboard Items'!$C$2:$C$495,MATCH(G85,'Dashboard Items'!$A$2:$A$495,0)),"ID not found")))</f>
        <v/>
      </c>
      <c r="I85" s="130" t="s">
        <v>550</v>
      </c>
      <c r="J85" s="130">
        <v>2</v>
      </c>
      <c r="K85" s="130" t="s">
        <v>551</v>
      </c>
      <c r="L85" s="130" t="s">
        <v>552</v>
      </c>
      <c r="M85" s="130">
        <v>0</v>
      </c>
      <c r="N85" s="130">
        <v>0</v>
      </c>
      <c r="O85" s="130" t="s">
        <v>551</v>
      </c>
      <c r="P85" s="130" t="s">
        <v>553</v>
      </c>
      <c r="Q85" s="130" t="s">
        <v>668</v>
      </c>
      <c r="R85" s="130"/>
      <c r="S85" s="130"/>
      <c r="T85" s="130"/>
      <c r="U85" s="99" t="str">
        <f>IF(B85="","",IF(IF(D85&lt;&gt;"",D85,IFERROR(INDEX('Dashboard Items'!$B$2:$B$495,MATCH(E85,'Dashboard Items'!$A$2:$A$495,0)),""))="Key Service",IF(O85="No","Key Service: shown, not counted","Counts in Key Service gauge"),IF(IF(D85&lt;&gt;"",D85,IFERROR(INDEX('Dashboard Items'!$B$2:$B$495,MATCH(E85,'Dashboard Items'!$A$2:$A$495,0)),""))="Program",IF(ISNUMBER(SEARCH("ks",G85)),IF(O85="No","Program, also at Key Service: not counted","Counts in Key Service gauge + sets Program chip"),IF(O85="No","Program: shown, no status chip","Sets Program status chip")),IF(IF(D85&lt;&gt;"",D85,IFERROR(INDEX('Dashboard Items'!$B$2:$B$495,MATCH(E85,'Dashboard Items'!$A$2:$A$495,0)),""))="Work System","Work System: shown, not counted","Check Level"))))</f>
        <v>Sets Program status chip</v>
      </c>
    </row>
    <row r="86" spans="1:21" s="121" customFormat="1" ht="15.75" customHeight="1" x14ac:dyDescent="0.2">
      <c r="A86" s="126" t="str">
        <f t="shared" si="2"/>
        <v>PROS</v>
      </c>
      <c r="B86" s="130" t="s">
        <v>677</v>
      </c>
      <c r="C86" s="131" t="s">
        <v>678</v>
      </c>
      <c r="D86" s="130" t="s">
        <v>30</v>
      </c>
      <c r="E86" s="130" t="s">
        <v>167</v>
      </c>
      <c r="F86" s="132" t="str">
        <f>IF(E86="","",IFERROR(IF(INDEX('Dashboard Items'!$B$2:$B$495,MATCH(E86,'Dashboard Items'!$A$2:$A$495,0))="Objective","Objectives go in the next column",IF(OR(D86="",INDEX('Dashboard Items'!$B$2:$B$495,MATCH(E86,'Dashboard Items'!$A$2:$A$495,0))=D86),INDEX('Dashboard Items'!$C$2:$C$495,MATCH(E86,'Dashboard Items'!$A$2:$A$495,0)),"Level does not match ID")),"ID not found"))</f>
        <v>Housing Initiatives</v>
      </c>
      <c r="G86" s="133"/>
      <c r="H86" s="132" t="str">
        <f>IF(G86="","",IF(ISNUMBER(SEARCH(",",G86)),"Several items (the script lists them)",IFERROR(INDEX('Dashboard Items'!$B$2:$B$495,MATCH(G86,'Dashboard Items'!$A$2:$A$495,0))&amp;": "&amp;INDEX('Dashboard Items'!$C$2:$C$495,MATCH(G86,'Dashboard Items'!$A$2:$A$495,0)),"ID not found")))</f>
        <v/>
      </c>
      <c r="I86" s="130" t="s">
        <v>550</v>
      </c>
      <c r="J86" s="130">
        <v>2</v>
      </c>
      <c r="K86" s="130" t="s">
        <v>551</v>
      </c>
      <c r="L86" s="130" t="s">
        <v>552</v>
      </c>
      <c r="M86" s="130">
        <v>0</v>
      </c>
      <c r="N86" s="130">
        <v>0</v>
      </c>
      <c r="O86" s="130" t="s">
        <v>551</v>
      </c>
      <c r="P86" s="130" t="s">
        <v>553</v>
      </c>
      <c r="Q86" s="130" t="s">
        <v>668</v>
      </c>
      <c r="R86" s="130"/>
      <c r="S86" s="130"/>
      <c r="T86" s="130" t="s">
        <v>679</v>
      </c>
      <c r="U86" s="99" t="str">
        <f>IF(B86="","",IF(IF(D86&lt;&gt;"",D86,IFERROR(INDEX('Dashboard Items'!$B$2:$B$495,MATCH(E86,'Dashboard Items'!$A$2:$A$495,0)),""))="Key Service",IF(O86="No","Key Service: shown, not counted","Counts in Key Service gauge"),IF(IF(D86&lt;&gt;"",D86,IFERROR(INDEX('Dashboard Items'!$B$2:$B$495,MATCH(E86,'Dashboard Items'!$A$2:$A$495,0)),""))="Program",IF(ISNUMBER(SEARCH("ks",G86)),IF(O86="No","Program, also at Key Service: not counted","Counts in Key Service gauge + sets Program chip"),IF(O86="No","Program: shown, no status chip","Sets Program status chip")),IF(IF(D86&lt;&gt;"",D86,IFERROR(INDEX('Dashboard Items'!$B$2:$B$495,MATCH(E86,'Dashboard Items'!$A$2:$A$495,0)),""))="Work System","Work System: shown, not counted","Check Level"))))</f>
        <v>Sets Program status chip</v>
      </c>
    </row>
    <row r="87" spans="1:21" s="121" customFormat="1" ht="15.75" customHeight="1" x14ac:dyDescent="0.2">
      <c r="A87" s="126" t="str">
        <f t="shared" si="2"/>
        <v>PROS</v>
      </c>
      <c r="B87" s="130" t="s">
        <v>680</v>
      </c>
      <c r="C87" s="131" t="s">
        <v>436</v>
      </c>
      <c r="D87" s="130" t="s">
        <v>29</v>
      </c>
      <c r="E87" s="130" t="s">
        <v>681</v>
      </c>
      <c r="F87" s="132" t="str">
        <f>IF(E87="","",IFERROR(IF(INDEX('Dashboard Items'!$B$2:$B$495,MATCH(E87,'Dashboard Items'!$A$2:$A$495,0))="Objective","Objectives go in the next column",IF(OR(D87="",INDEX('Dashboard Items'!$B$2:$B$495,MATCH(E87,'Dashboard Items'!$A$2:$A$495,0))=D87),INDEX('Dashboard Items'!$C$2:$C$495,MATCH(E87,'Dashboard Items'!$A$2:$A$495,0)),"Level does not match ID")),"ID not found"))</f>
        <v>Community Development &amp; Planning</v>
      </c>
      <c r="G87" s="133" t="s">
        <v>167</v>
      </c>
      <c r="H87" s="132" t="str">
        <f>IF(G87="","",IF(ISNUMBER(SEARCH(",",G87)),"Several items (the script lists them)",IFERROR(INDEX('Dashboard Items'!$B$2:$B$495,MATCH(G87,'Dashboard Items'!$A$2:$A$495,0))&amp;": "&amp;INDEX('Dashboard Items'!$C$2:$C$495,MATCH(G87,'Dashboard Items'!$A$2:$A$495,0)),"ID not found")))</f>
        <v>Program: Housing Initiatives</v>
      </c>
      <c r="I87" s="130" t="s">
        <v>550</v>
      </c>
      <c r="J87" s="130">
        <v>2</v>
      </c>
      <c r="K87" s="130" t="s">
        <v>551</v>
      </c>
      <c r="L87" s="130" t="s">
        <v>552</v>
      </c>
      <c r="M87" s="130">
        <v>0</v>
      </c>
      <c r="N87" s="130">
        <v>0</v>
      </c>
      <c r="O87" s="130" t="s">
        <v>551</v>
      </c>
      <c r="P87" s="130" t="s">
        <v>553</v>
      </c>
      <c r="Q87" s="130" t="s">
        <v>668</v>
      </c>
      <c r="R87" s="130"/>
      <c r="S87" s="130"/>
      <c r="T87" s="130" t="s">
        <v>682</v>
      </c>
      <c r="U87" s="99" t="str">
        <f>IF(B87="","",IF(IF(D87&lt;&gt;"",D87,IFERROR(INDEX('Dashboard Items'!$B$2:$B$495,MATCH(E87,'Dashboard Items'!$A$2:$A$495,0)),""))="Key Service",IF(O87="No","Key Service: shown, not counted","Counts in Key Service gauge"),IF(IF(D87&lt;&gt;"",D87,IFERROR(INDEX('Dashboard Items'!$B$2:$B$495,MATCH(E87,'Dashboard Items'!$A$2:$A$495,0)),""))="Program",IF(ISNUMBER(SEARCH("ks",G87)),IF(O87="No","Program, also at Key Service: not counted","Counts in Key Service gauge + sets Program chip"),IF(O87="No","Program: shown, no status chip","Sets Program status chip")),IF(IF(D87&lt;&gt;"",D87,IFERROR(INDEX('Dashboard Items'!$B$2:$B$495,MATCH(E87,'Dashboard Items'!$A$2:$A$495,0)),""))="Work System","Work System: shown, not counted","Check Level"))))</f>
        <v>Counts in Key Service gauge</v>
      </c>
    </row>
    <row r="88" spans="1:21" s="121" customFormat="1" ht="15.75" customHeight="1" x14ac:dyDescent="0.2">
      <c r="A88" s="126" t="str">
        <f t="shared" si="2"/>
        <v>PROS</v>
      </c>
      <c r="B88" s="130" t="s">
        <v>683</v>
      </c>
      <c r="C88" s="131" t="s">
        <v>684</v>
      </c>
      <c r="D88" s="130" t="s">
        <v>30</v>
      </c>
      <c r="E88" s="130" t="s">
        <v>167</v>
      </c>
      <c r="F88" s="132" t="str">
        <f>IF(E88="","",IFERROR(IF(INDEX('Dashboard Items'!$B$2:$B$495,MATCH(E88,'Dashboard Items'!$A$2:$A$495,0))="Objective","Objectives go in the next column",IF(OR(D88="",INDEX('Dashboard Items'!$B$2:$B$495,MATCH(E88,'Dashboard Items'!$A$2:$A$495,0))=D88),INDEX('Dashboard Items'!$C$2:$C$495,MATCH(E88,'Dashboard Items'!$A$2:$A$495,0)),"Level does not match ID")),"ID not found"))</f>
        <v>Housing Initiatives</v>
      </c>
      <c r="G88" s="133"/>
      <c r="H88" s="132" t="str">
        <f>IF(G88="","",IF(ISNUMBER(SEARCH(",",G88)),"Several items (the script lists them)",IFERROR(INDEX('Dashboard Items'!$B$2:$B$495,MATCH(G88,'Dashboard Items'!$A$2:$A$495,0))&amp;": "&amp;INDEX('Dashboard Items'!$C$2:$C$495,MATCH(G88,'Dashboard Items'!$A$2:$A$495,0)),"ID not found")))</f>
        <v/>
      </c>
      <c r="I88" s="130" t="s">
        <v>550</v>
      </c>
      <c r="J88" s="130">
        <v>2</v>
      </c>
      <c r="K88" s="130" t="s">
        <v>551</v>
      </c>
      <c r="L88" s="130" t="s">
        <v>552</v>
      </c>
      <c r="M88" s="130">
        <v>0</v>
      </c>
      <c r="N88" s="130">
        <v>0</v>
      </c>
      <c r="O88" s="130" t="s">
        <v>551</v>
      </c>
      <c r="P88" s="130" t="s">
        <v>553</v>
      </c>
      <c r="Q88" s="130" t="s">
        <v>668</v>
      </c>
      <c r="R88" s="130"/>
      <c r="S88" s="130"/>
      <c r="T88" s="130"/>
      <c r="U88" s="99" t="str">
        <f>IF(B88="","",IF(IF(D88&lt;&gt;"",D88,IFERROR(INDEX('Dashboard Items'!$B$2:$B$495,MATCH(E88,'Dashboard Items'!$A$2:$A$495,0)),""))="Key Service",IF(O88="No","Key Service: shown, not counted","Counts in Key Service gauge"),IF(IF(D88&lt;&gt;"",D88,IFERROR(INDEX('Dashboard Items'!$B$2:$B$495,MATCH(E88,'Dashboard Items'!$A$2:$A$495,0)),""))="Program",IF(ISNUMBER(SEARCH("ks",G88)),IF(O88="No","Program, also at Key Service: not counted","Counts in Key Service gauge + sets Program chip"),IF(O88="No","Program: shown, no status chip","Sets Program status chip")),IF(IF(D88&lt;&gt;"",D88,IFERROR(INDEX('Dashboard Items'!$B$2:$B$495,MATCH(E88,'Dashboard Items'!$A$2:$A$495,0)),""))="Work System","Work System: shown, not counted","Check Level"))))</f>
        <v>Sets Program status chip</v>
      </c>
    </row>
    <row r="89" spans="1:21" s="121" customFormat="1" ht="15.75" customHeight="1" x14ac:dyDescent="0.2">
      <c r="A89" s="126" t="str">
        <f t="shared" si="2"/>
        <v>PROS</v>
      </c>
      <c r="B89" s="130" t="s">
        <v>685</v>
      </c>
      <c r="C89" s="131" t="s">
        <v>179</v>
      </c>
      <c r="D89" s="130" t="s">
        <v>29</v>
      </c>
      <c r="E89" s="130" t="s">
        <v>674</v>
      </c>
      <c r="F89" s="132" t="str">
        <f>IF(E89="","",IFERROR(IF(INDEX('Dashboard Items'!$B$2:$B$495,MATCH(E89,'Dashboard Items'!$A$2:$A$495,0))="Objective","Objectives go in the next column",IF(OR(D89="",INDEX('Dashboard Items'!$B$2:$B$495,MATCH(E89,'Dashboard Items'!$A$2:$A$495,0))=D89),INDEX('Dashboard Items'!$C$2:$C$495,MATCH(E89,'Dashboard Items'!$A$2:$A$495,0)),"Level does not match ID")),"ID not found"))</f>
        <v>Economic Prosperity &amp; Business Support</v>
      </c>
      <c r="G89" s="133" t="s">
        <v>686</v>
      </c>
      <c r="H89" s="132" t="str">
        <f>IF(G89="","",IF(ISNUMBER(SEARCH(",",G89)),"Several items (the script lists them)",IFERROR(INDEX('Dashboard Items'!$B$2:$B$495,MATCH(G89,'Dashboard Items'!$A$2:$A$495,0))&amp;": "&amp;INDEX('Dashboard Items'!$C$2:$C$495,MATCH(G89,'Dashboard Items'!$A$2:$A$495,0)),"ID not found")))</f>
        <v>Several items (the script lists them)</v>
      </c>
      <c r="I89" s="130" t="s">
        <v>588</v>
      </c>
      <c r="J89" s="130">
        <v>2</v>
      </c>
      <c r="K89" s="130" t="s">
        <v>551</v>
      </c>
      <c r="L89" s="130" t="s">
        <v>552</v>
      </c>
      <c r="M89" s="130">
        <v>0</v>
      </c>
      <c r="N89" s="130">
        <v>0</v>
      </c>
      <c r="O89" s="130" t="s">
        <v>551</v>
      </c>
      <c r="P89" s="130" t="s">
        <v>553</v>
      </c>
      <c r="Q89" s="130" t="s">
        <v>668</v>
      </c>
      <c r="R89" s="130"/>
      <c r="S89" s="130"/>
      <c r="T89" s="130"/>
      <c r="U89" s="99" t="str">
        <f>IF(B89="","",IF(IF(D89&lt;&gt;"",D89,IFERROR(INDEX('Dashboard Items'!$B$2:$B$495,MATCH(E89,'Dashboard Items'!$A$2:$A$495,0)),""))="Key Service",IF(O89="No","Key Service: shown, not counted","Counts in Key Service gauge"),IF(IF(D89&lt;&gt;"",D89,IFERROR(INDEX('Dashboard Items'!$B$2:$B$495,MATCH(E89,'Dashboard Items'!$A$2:$A$495,0)),""))="Program",IF(ISNUMBER(SEARCH("ks",G89)),IF(O89="No","Program, also at Key Service: not counted","Counts in Key Service gauge + sets Program chip"),IF(O89="No","Program: shown, no status chip","Sets Program status chip")),IF(IF(D89&lt;&gt;"",D89,IFERROR(INDEX('Dashboard Items'!$B$2:$B$495,MATCH(E89,'Dashboard Items'!$A$2:$A$495,0)),""))="Work System","Work System: shown, not counted","Check Level"))))</f>
        <v>Counts in Key Service gauge</v>
      </c>
    </row>
    <row r="90" spans="1:21" s="121" customFormat="1" ht="15.75" customHeight="1" x14ac:dyDescent="0.2">
      <c r="A90" s="126" t="str">
        <f t="shared" si="2"/>
        <v>PROS</v>
      </c>
      <c r="B90" s="130" t="s">
        <v>687</v>
      </c>
      <c r="C90" s="131" t="s">
        <v>183</v>
      </c>
      <c r="D90" s="130" t="s">
        <v>30</v>
      </c>
      <c r="E90" s="130" t="s">
        <v>178</v>
      </c>
      <c r="F90" s="132" t="str">
        <f>IF(E90="","",IFERROR(IF(INDEX('Dashboard Items'!$B$2:$B$495,MATCH(E90,'Dashboard Items'!$A$2:$A$495,0))="Objective","Objectives go in the next column",IF(OR(D90="",INDEX('Dashboard Items'!$B$2:$B$495,MATCH(E90,'Dashboard Items'!$A$2:$A$495,0))=D90),INDEX('Dashboard Items'!$C$2:$C$495,MATCH(E90,'Dashboard Items'!$A$2:$A$495,0)),"Level does not match ID")),"ID not found"))</f>
        <v>Business Support Services</v>
      </c>
      <c r="G90" s="133" t="s">
        <v>688</v>
      </c>
      <c r="H90" s="132" t="str">
        <f>IF(G90="","",IF(ISNUMBER(SEARCH(",",G90)),"Several items (the script lists them)",IFERROR(INDEX('Dashboard Items'!$B$2:$B$495,MATCH(G90,'Dashboard Items'!$A$2:$A$495,0))&amp;": "&amp;INDEX('Dashboard Items'!$C$2:$C$495,MATCH(G90,'Dashboard Items'!$A$2:$A$495,0)),"ID not found")))</f>
        <v>Several items (the script lists them)</v>
      </c>
      <c r="I90" s="130" t="s">
        <v>550</v>
      </c>
      <c r="J90" s="130">
        <v>2</v>
      </c>
      <c r="K90" s="130" t="s">
        <v>551</v>
      </c>
      <c r="L90" s="130" t="s">
        <v>552</v>
      </c>
      <c r="M90" s="130">
        <v>0</v>
      </c>
      <c r="N90" s="130">
        <v>0</v>
      </c>
      <c r="O90" s="130" t="s">
        <v>551</v>
      </c>
      <c r="P90" s="130" t="s">
        <v>553</v>
      </c>
      <c r="Q90" s="130" t="s">
        <v>668</v>
      </c>
      <c r="R90" s="130"/>
      <c r="S90" s="130"/>
      <c r="T90" s="130"/>
      <c r="U90" s="99" t="str">
        <f>IF(B90="","",IF(IF(D90&lt;&gt;"",D90,IFERROR(INDEX('Dashboard Items'!$B$2:$B$495,MATCH(E90,'Dashboard Items'!$A$2:$A$495,0)),""))="Key Service",IF(O90="No","Key Service: shown, not counted","Counts in Key Service gauge"),IF(IF(D90&lt;&gt;"",D90,IFERROR(INDEX('Dashboard Items'!$B$2:$B$495,MATCH(E90,'Dashboard Items'!$A$2:$A$495,0)),""))="Program",IF(ISNUMBER(SEARCH("ks",G90)),IF(O90="No","Program, also at Key Service: not counted","Counts in Key Service gauge + sets Program chip"),IF(O90="No","Program: shown, no status chip","Sets Program status chip")),IF(IF(D90&lt;&gt;"",D90,IFERROR(INDEX('Dashboard Items'!$B$2:$B$495,MATCH(E90,'Dashboard Items'!$A$2:$A$495,0)),""))="Work System","Work System: shown, not counted","Check Level"))))</f>
        <v>Counts in Key Service gauge + sets Program chip</v>
      </c>
    </row>
    <row r="91" spans="1:21" s="121" customFormat="1" ht="15.75" customHeight="1" x14ac:dyDescent="0.2">
      <c r="A91" s="126" t="str">
        <f t="shared" si="2"/>
        <v>PROS</v>
      </c>
      <c r="B91" s="130" t="s">
        <v>689</v>
      </c>
      <c r="C91" s="131" t="s">
        <v>185</v>
      </c>
      <c r="D91" s="130" t="s">
        <v>30</v>
      </c>
      <c r="E91" s="130" t="s">
        <v>178</v>
      </c>
      <c r="F91" s="132" t="str">
        <f>IF(E91="","",IFERROR(IF(INDEX('Dashboard Items'!$B$2:$B$495,MATCH(E91,'Dashboard Items'!$A$2:$A$495,0))="Objective","Objectives go in the next column",IF(OR(D91="",INDEX('Dashboard Items'!$B$2:$B$495,MATCH(E91,'Dashboard Items'!$A$2:$A$495,0))=D91),INDEX('Dashboard Items'!$C$2:$C$495,MATCH(E91,'Dashboard Items'!$A$2:$A$495,0)),"Level does not match ID")),"ID not found"))</f>
        <v>Business Support Services</v>
      </c>
      <c r="G91" s="133" t="s">
        <v>181</v>
      </c>
      <c r="H91" s="132" t="str">
        <f>IF(G91="","",IF(ISNUMBER(SEARCH(",",G91)),"Several items (the script lists them)",IFERROR(INDEX('Dashboard Items'!$B$2:$B$495,MATCH(G91,'Dashboard Items'!$A$2:$A$495,0))&amp;": "&amp;INDEX('Dashboard Items'!$C$2:$C$495,MATCH(G91,'Dashboard Items'!$A$2:$A$495,0)),"ID not found")))</f>
        <v>Program: Destination Marketing and Management (Tourism)</v>
      </c>
      <c r="I91" s="130" t="s">
        <v>550</v>
      </c>
      <c r="J91" s="130">
        <v>2</v>
      </c>
      <c r="K91" s="130" t="s">
        <v>551</v>
      </c>
      <c r="L91" s="130" t="s">
        <v>552</v>
      </c>
      <c r="M91" s="130">
        <v>0</v>
      </c>
      <c r="N91" s="130">
        <v>0</v>
      </c>
      <c r="O91" s="130" t="s">
        <v>551</v>
      </c>
      <c r="P91" s="130" t="s">
        <v>553</v>
      </c>
      <c r="Q91" s="130" t="s">
        <v>668</v>
      </c>
      <c r="R91" s="130"/>
      <c r="S91" s="130"/>
      <c r="T91" s="130"/>
      <c r="U91" s="99" t="str">
        <f>IF(B91="","",IF(IF(D91&lt;&gt;"",D91,IFERROR(INDEX('Dashboard Items'!$B$2:$B$495,MATCH(E91,'Dashboard Items'!$A$2:$A$495,0)),""))="Key Service",IF(O91="No","Key Service: shown, not counted","Counts in Key Service gauge"),IF(IF(D91&lt;&gt;"",D91,IFERROR(INDEX('Dashboard Items'!$B$2:$B$495,MATCH(E91,'Dashboard Items'!$A$2:$A$495,0)),""))="Program",IF(ISNUMBER(SEARCH("ks",G91)),IF(O91="No","Program, also at Key Service: not counted","Counts in Key Service gauge + sets Program chip"),IF(O91="No","Program: shown, no status chip","Sets Program status chip")),IF(IF(D91&lt;&gt;"",D91,IFERROR(INDEX('Dashboard Items'!$B$2:$B$495,MATCH(E91,'Dashboard Items'!$A$2:$A$495,0)),""))="Work System","Work System: shown, not counted","Check Level"))))</f>
        <v>Sets Program status chip</v>
      </c>
    </row>
    <row r="92" spans="1:21" s="121" customFormat="1" ht="15.75" customHeight="1" x14ac:dyDescent="0.2">
      <c r="A92" s="134" t="str">
        <f t="shared" si="2"/>
        <v>TRAN</v>
      </c>
      <c r="B92" s="134" t="s">
        <v>690</v>
      </c>
      <c r="C92" s="134" t="s">
        <v>282</v>
      </c>
      <c r="D92" s="134" t="s">
        <v>30</v>
      </c>
      <c r="E92" s="134" t="s">
        <v>279</v>
      </c>
      <c r="F92" s="135" t="str">
        <f>IF(E92="","",IFERROR(IF(INDEX('Dashboard Items'!$B$2:$B$495,MATCH(E92,'Dashboard Items'!$A$2:$A$495,0))="Objective","Objectives go in the next column",IF(OR(D92="",INDEX('Dashboard Items'!$B$2:$B$495,MATCH(E92,'Dashboard Items'!$A$2:$A$495,0))=D92),INDEX('Dashboard Items'!$C$2:$C$495,MATCH(E92,'Dashboard Items'!$A$2:$A$495,0)),"Level does not match ID")),"ID not found"))</f>
        <v>Multimodal Programs</v>
      </c>
      <c r="G92" s="136" t="s">
        <v>691</v>
      </c>
      <c r="H92" s="135" t="str">
        <f>IF(G92="","",IF(ISNUMBER(SEARCH(",",G92)),"Several items (the script lists them)",IFERROR(INDEX('Dashboard Items'!$B$2:$B$495,MATCH(G92,'Dashboard Items'!$A$2:$A$495,0))&amp;": "&amp;INDEX('Dashboard Items'!$C$2:$C$495,MATCH(G92,'Dashboard Items'!$A$2:$A$495,0)),"ID not found")))</f>
        <v>Key Service: Transit Services</v>
      </c>
      <c r="I92" s="134" t="s">
        <v>550</v>
      </c>
      <c r="J92" s="134">
        <v>2</v>
      </c>
      <c r="K92" s="134" t="s">
        <v>551</v>
      </c>
      <c r="L92" s="134" t="s">
        <v>552</v>
      </c>
      <c r="M92" s="134">
        <v>0</v>
      </c>
      <c r="N92" s="134">
        <v>0</v>
      </c>
      <c r="O92" s="134" t="s">
        <v>551</v>
      </c>
      <c r="P92" s="134" t="s">
        <v>553</v>
      </c>
      <c r="Q92" s="134" t="s">
        <v>692</v>
      </c>
      <c r="R92" s="134"/>
      <c r="S92" s="134"/>
      <c r="T92" s="134"/>
      <c r="U92" s="99" t="str">
        <f>IF(B92="","",IF(IF(D92&lt;&gt;"",D92,IFERROR(INDEX('Dashboard Items'!$B$2:$B$495,MATCH(E92,'Dashboard Items'!$A$2:$A$495,0)),""))="Key Service",IF(O92="No","Key Service: shown, not counted","Counts in Key Service gauge"),IF(IF(D92&lt;&gt;"",D92,IFERROR(INDEX('Dashboard Items'!$B$2:$B$495,MATCH(E92,'Dashboard Items'!$A$2:$A$495,0)),""))="Program",IF(ISNUMBER(SEARCH("ks",G92)),IF(O92="No","Program, also at Key Service: not counted","Counts in Key Service gauge + sets Program chip"),IF(O92="No","Program: shown, no status chip","Sets Program status chip")),IF(IF(D92&lt;&gt;"",D92,IFERROR(INDEX('Dashboard Items'!$B$2:$B$495,MATCH(E92,'Dashboard Items'!$A$2:$A$495,0)),""))="Work System","Work System: shown, not counted","Check Level"))))</f>
        <v>Counts in Key Service gauge + sets Program chip</v>
      </c>
    </row>
    <row r="93" spans="1:21" s="121" customFormat="1" ht="15.75" customHeight="1" x14ac:dyDescent="0.2">
      <c r="A93" s="134" t="str">
        <f t="shared" si="2"/>
        <v>TRAN</v>
      </c>
      <c r="B93" s="134" t="s">
        <v>693</v>
      </c>
      <c r="C93" s="134" t="s">
        <v>280</v>
      </c>
      <c r="D93" s="134" t="s">
        <v>30</v>
      </c>
      <c r="E93" s="134" t="s">
        <v>279</v>
      </c>
      <c r="F93" s="135" t="str">
        <f>IF(E93="","",IFERROR(IF(INDEX('Dashboard Items'!$B$2:$B$495,MATCH(E93,'Dashboard Items'!$A$2:$A$495,0))="Objective","Objectives go in the next column",IF(OR(D93="",INDEX('Dashboard Items'!$B$2:$B$495,MATCH(E93,'Dashboard Items'!$A$2:$A$495,0))=D93),INDEX('Dashboard Items'!$C$2:$C$495,MATCH(E93,'Dashboard Items'!$A$2:$A$495,0)),"Level does not match ID")),"ID not found"))</f>
        <v>Multimodal Programs</v>
      </c>
      <c r="G93" s="136"/>
      <c r="H93" s="135" t="str">
        <f>IF(G93="","",IF(ISNUMBER(SEARCH(",",G93)),"Several items (the script lists them)",IFERROR(INDEX('Dashboard Items'!$B$2:$B$495,MATCH(G93,'Dashboard Items'!$A$2:$A$495,0))&amp;": "&amp;INDEX('Dashboard Items'!$C$2:$C$495,MATCH(G93,'Dashboard Items'!$A$2:$A$495,0)),"ID not found")))</f>
        <v/>
      </c>
      <c r="I93" s="134" t="s">
        <v>550</v>
      </c>
      <c r="J93" s="134">
        <v>0</v>
      </c>
      <c r="K93" s="134" t="s">
        <v>551</v>
      </c>
      <c r="L93" s="134"/>
      <c r="M93" s="134"/>
      <c r="N93" s="134"/>
      <c r="O93" s="134"/>
      <c r="P93" s="134" t="s">
        <v>589</v>
      </c>
      <c r="Q93" s="134" t="inlineStr">
        <is>
          <t>Multimodal Manager</t>
        </is>
      </c>
      <c r="R93" s="134" t="inlineStr">
        <is>
          <t>City bike and pedestrian counts (Consolidated Count Data, 2009–2025)</t>
        </is>
      </c>
      <c r="S93" s="134" t="inlineStr">
        <is>
          <t>Average number of people walking and biking at each count location during the morning (7–9 am) and afternoon (4–6 pm) peak counts, added up across all locations. Higher numbers mean more people are walking and biking.</t>
        </is>
      </c>
      <c r="T93" s="134" t="s">
        <v>694</v>
      </c>
      <c r="U93" s="99" t="str">
        <f>IF(B93="","",IF(IF(D93&lt;&gt;"",D93,IFERROR(INDEX('Dashboard Items'!$B$2:$B$495,MATCH(E93,'Dashboard Items'!$A$2:$A$495,0)),""))="Key Service",IF(O93="No","Key Service: shown, not counted","Counts in Key Service gauge"),IF(IF(D93&lt;&gt;"",D93,IFERROR(INDEX('Dashboard Items'!$B$2:$B$495,MATCH(E93,'Dashboard Items'!$A$2:$A$495,0)),""))="Program",IF(ISNUMBER(SEARCH("ks",G93)),IF(O93="No","Program, also at Key Service: not counted","Counts in Key Service gauge + sets Program chip"),IF(O93="No","Program: shown, no status chip","Sets Program status chip")),IF(IF(D93&lt;&gt;"",D93,IFERROR(INDEX('Dashboard Items'!$B$2:$B$495,MATCH(E93,'Dashboard Items'!$A$2:$A$495,0)),""))="Work System","Work System: shown, not counted","Check Level"))))</f>
        <v>Sets Program status chip</v>
      </c>
    </row>
    <row r="94" spans="1:21" s="121" customFormat="1" ht="15.75" customHeight="1" x14ac:dyDescent="0.2">
      <c r="A94" s="134" t="str">
        <f t="shared" si="2"/>
        <v>TRAN</v>
      </c>
      <c r="B94" s="134" t="s">
        <v>695</v>
      </c>
      <c r="C94" s="134" t="s">
        <v>298</v>
      </c>
      <c r="D94" s="134" t="s">
        <v>30</v>
      </c>
      <c r="E94" s="134" t="s">
        <v>295</v>
      </c>
      <c r="F94" s="135" t="str">
        <f>IF(E94="","",IFERROR(IF(INDEX('Dashboard Items'!$B$2:$B$495,MATCH(E94,'Dashboard Items'!$A$2:$A$495,0))="Objective","Objectives go in the next column",IF(OR(D94="",INDEX('Dashboard Items'!$B$2:$B$495,MATCH(E94,'Dashboard Items'!$A$2:$A$495,0))=D94),INDEX('Dashboard Items'!$C$2:$C$495,MATCH(E94,'Dashboard Items'!$A$2:$A$495,0)),"Level does not match ID")),"ID not found"))</f>
        <v>Parking Management</v>
      </c>
      <c r="G94" s="136"/>
      <c r="H94" s="135" t="str">
        <f>IF(G94="","",IF(ISNUMBER(SEARCH(",",G94)),"Several items (the script lists them)",IFERROR(INDEX('Dashboard Items'!$B$2:$B$495,MATCH(G94,'Dashboard Items'!$A$2:$A$495,0))&amp;": "&amp;INDEX('Dashboard Items'!$C$2:$C$495,MATCH(G94,'Dashboard Items'!$A$2:$A$495,0)),"ID not found")))</f>
        <v/>
      </c>
      <c r="I94" s="134" t="s">
        <v>588</v>
      </c>
      <c r="J94" s="134">
        <v>2</v>
      </c>
      <c r="K94" s="134" t="s">
        <v>551</v>
      </c>
      <c r="L94" s="134" t="s">
        <v>552</v>
      </c>
      <c r="M94" s="134">
        <v>0</v>
      </c>
      <c r="N94" s="134">
        <v>0</v>
      </c>
      <c r="O94" s="134" t="s">
        <v>551</v>
      </c>
      <c r="P94" s="134" t="s">
        <v>553</v>
      </c>
      <c r="Q94" s="134" t="s">
        <v>696</v>
      </c>
      <c r="R94" s="134"/>
      <c r="S94" s="134"/>
      <c r="T94" s="134"/>
      <c r="U94" s="99" t="str">
        <f>IF(B94="","",IF(IF(D94&lt;&gt;"",D94,IFERROR(INDEX('Dashboard Items'!$B$2:$B$495,MATCH(E94,'Dashboard Items'!$A$2:$A$495,0)),""))="Key Service",IF(O94="No","Key Service: shown, not counted","Counts in Key Service gauge"),IF(IF(D94&lt;&gt;"",D94,IFERROR(INDEX('Dashboard Items'!$B$2:$B$495,MATCH(E94,'Dashboard Items'!$A$2:$A$495,0)),""))="Program",IF(ISNUMBER(SEARCH("ks",G94)),IF(O94="No","Program, also at Key Service: not counted","Counts in Key Service gauge + sets Program chip"),IF(O94="No","Program: shown, no status chip","Sets Program status chip")),IF(IF(D94&lt;&gt;"",D94,IFERROR(INDEX('Dashboard Items'!$B$2:$B$495,MATCH(E94,'Dashboard Items'!$A$2:$A$495,0)),""))="Work System","Work System: shown, not counted","Check Level"))))</f>
        <v>Sets Program status chip</v>
      </c>
    </row>
    <row r="95" spans="1:21" s="121" customFormat="1" ht="15.75" customHeight="1" x14ac:dyDescent="0.2">
      <c r="A95" s="134" t="str">
        <f t="shared" si="2"/>
        <v>TRAN</v>
      </c>
      <c r="B95" s="134" t="s">
        <v>697</v>
      </c>
      <c r="C95" s="134" t="s">
        <v>297</v>
      </c>
      <c r="D95" s="134" t="s">
        <v>30</v>
      </c>
      <c r="E95" s="134" t="s">
        <v>295</v>
      </c>
      <c r="F95" s="135" t="str">
        <f>IF(E95="","",IFERROR(IF(INDEX('Dashboard Items'!$B$2:$B$495,MATCH(E95,'Dashboard Items'!$A$2:$A$495,0))="Objective","Objectives go in the next column",IF(OR(D95="",INDEX('Dashboard Items'!$B$2:$B$495,MATCH(E95,'Dashboard Items'!$A$2:$A$495,0))=D95),INDEX('Dashboard Items'!$C$2:$C$495,MATCH(E95,'Dashboard Items'!$A$2:$A$495,0)),"Level does not match ID")),"ID not found"))</f>
        <v>Parking Management</v>
      </c>
      <c r="G95" s="136"/>
      <c r="H95" s="135" t="str">
        <f>IF(G95="","",IF(ISNUMBER(SEARCH(",",G95)),"Several items (the script lists them)",IFERROR(INDEX('Dashboard Items'!$B$2:$B$495,MATCH(G95,'Dashboard Items'!$A$2:$A$495,0))&amp;": "&amp;INDEX('Dashboard Items'!$C$2:$C$495,MATCH(G95,'Dashboard Items'!$A$2:$A$495,0)),"ID not found")))</f>
        <v/>
      </c>
      <c r="I95" s="134" t="s">
        <v>550</v>
      </c>
      <c r="J95" s="134">
        <v>2</v>
      </c>
      <c r="K95" s="134" t="s">
        <v>551</v>
      </c>
      <c r="L95" s="134" t="s">
        <v>552</v>
      </c>
      <c r="M95" s="134">
        <v>0</v>
      </c>
      <c r="N95" s="134">
        <v>0</v>
      </c>
      <c r="O95" s="134" t="s">
        <v>551</v>
      </c>
      <c r="P95" s="134" t="s">
        <v>553</v>
      </c>
      <c r="Q95" s="134" t="s">
        <v>696</v>
      </c>
      <c r="R95" s="134"/>
      <c r="S95" s="134"/>
      <c r="T95" s="134"/>
      <c r="U95" s="99" t="str">
        <f>IF(B95="","",IF(IF(D95&lt;&gt;"",D95,IFERROR(INDEX('Dashboard Items'!$B$2:$B$495,MATCH(E95,'Dashboard Items'!$A$2:$A$495,0)),""))="Key Service",IF(O95="No","Key Service: shown, not counted","Counts in Key Service gauge"),IF(IF(D95&lt;&gt;"",D95,IFERROR(INDEX('Dashboard Items'!$B$2:$B$495,MATCH(E95,'Dashboard Items'!$A$2:$A$495,0)),""))="Program",IF(ISNUMBER(SEARCH("ks",G95)),IF(O95="No","Program, also at Key Service: not counted","Counts in Key Service gauge + sets Program chip"),IF(O95="No","Program: shown, no status chip","Sets Program status chip")),IF(IF(D95&lt;&gt;"",D95,IFERROR(INDEX('Dashboard Items'!$B$2:$B$495,MATCH(E95,'Dashboard Items'!$A$2:$A$495,0)),""))="Work System","Work System: shown, not counted","Check Level"))))</f>
        <v>Sets Program status chip</v>
      </c>
    </row>
    <row r="96" spans="1:21" s="121" customFormat="1" ht="15.75" customHeight="1" x14ac:dyDescent="0.2">
      <c r="A96" s="134" t="str">
        <f t="shared" si="2"/>
        <v>TRAN</v>
      </c>
      <c r="B96" s="134" t="s">
        <v>698</v>
      </c>
      <c r="C96" s="134" t="s">
        <v>281</v>
      </c>
      <c r="D96" s="134" t="s">
        <v>30</v>
      </c>
      <c r="E96" s="134" t="s">
        <v>279</v>
      </c>
      <c r="F96" s="135" t="str">
        <f>IF(E96="","",IFERROR(IF(INDEX('Dashboard Items'!$B$2:$B$495,MATCH(E96,'Dashboard Items'!$A$2:$A$495,0))="Objective","Objectives go in the next column",IF(OR(D96="",INDEX('Dashboard Items'!$B$2:$B$495,MATCH(E96,'Dashboard Items'!$A$2:$A$495,0))=D96),INDEX('Dashboard Items'!$C$2:$C$495,MATCH(E96,'Dashboard Items'!$A$2:$A$495,0)),"Level does not match ID")),"ID not found"))</f>
        <v>Multimodal Programs</v>
      </c>
      <c r="G96" s="136" t="s">
        <v>691</v>
      </c>
      <c r="H96" s="135" t="str">
        <f>IF(G96="","",IF(ISNUMBER(SEARCH(",",G96)),"Several items (the script lists them)",IFERROR(INDEX('Dashboard Items'!$B$2:$B$495,MATCH(G96,'Dashboard Items'!$A$2:$A$495,0))&amp;": "&amp;INDEX('Dashboard Items'!$C$2:$C$495,MATCH(G96,'Dashboard Items'!$A$2:$A$495,0)),"ID not found")))</f>
        <v>Key Service: Transit Services</v>
      </c>
      <c r="I96" s="134" t="s">
        <v>550</v>
      </c>
      <c r="J96" s="134">
        <v>2</v>
      </c>
      <c r="K96" s="134" t="s">
        <v>551</v>
      </c>
      <c r="L96" s="134" t="s">
        <v>552</v>
      </c>
      <c r="M96" s="134">
        <v>0</v>
      </c>
      <c r="N96" s="134">
        <v>0</v>
      </c>
      <c r="O96" s="134" t="s">
        <v>551</v>
      </c>
      <c r="P96" s="134" t="s">
        <v>553</v>
      </c>
      <c r="Q96" s="134" t="s">
        <v>692</v>
      </c>
      <c r="R96" s="134"/>
      <c r="S96" s="134"/>
      <c r="T96" s="134"/>
      <c r="U96" s="99" t="str">
        <f>IF(B96="","",IF(IF(D96&lt;&gt;"",D96,IFERROR(INDEX('Dashboard Items'!$B$2:$B$495,MATCH(E96,'Dashboard Items'!$A$2:$A$495,0)),""))="Key Service",IF(O96="No","Key Service: shown, not counted","Counts in Key Service gauge"),IF(IF(D96&lt;&gt;"",D96,IFERROR(INDEX('Dashboard Items'!$B$2:$B$495,MATCH(E96,'Dashboard Items'!$A$2:$A$495,0)),""))="Program",IF(ISNUMBER(SEARCH("ks",G96)),IF(O96="No","Program, also at Key Service: not counted","Counts in Key Service gauge + sets Program chip"),IF(O96="No","Program: shown, no status chip","Sets Program status chip")),IF(IF(D96&lt;&gt;"",D96,IFERROR(INDEX('Dashboard Items'!$B$2:$B$495,MATCH(E96,'Dashboard Items'!$A$2:$A$495,0)),""))="Work System","Work System: shown, not counted","Check Level"))))</f>
        <v>Counts in Key Service gauge + sets Program chip</v>
      </c>
    </row>
    <row r="97" spans="1:21" s="121" customFormat="1" ht="15.75" customHeight="1" x14ac:dyDescent="0.2">
      <c r="A97" s="134" t="str">
        <f t="shared" si="2"/>
        <v>TRAN</v>
      </c>
      <c r="B97" s="134" t="s">
        <v>699</v>
      </c>
      <c r="C97" s="134" t="s">
        <v>273</v>
      </c>
      <c r="D97" s="134" t="s">
        <v>30</v>
      </c>
      <c r="E97" s="134" t="s">
        <v>271</v>
      </c>
      <c r="F97" s="135" t="str">
        <f>IF(E97="","",IFERROR(IF(INDEX('Dashboard Items'!$B$2:$B$495,MATCH(E97,'Dashboard Items'!$A$2:$A$495,0))="Objective","Objectives go in the next column",IF(OR(D97="",INDEX('Dashboard Items'!$B$2:$B$495,MATCH(E97,'Dashboard Items'!$A$2:$A$495,0))=D97),INDEX('Dashboard Items'!$C$2:$C$495,MATCH(E97,'Dashboard Items'!$A$2:$A$495,0)),"Level does not match ID")),"ID not found"))</f>
        <v>Fixed-Route Service</v>
      </c>
      <c r="G97" s="136"/>
      <c r="H97" s="135"/>
      <c r="I97" s="134"/>
      <c r="J97" s="134"/>
      <c r="K97" s="134"/>
      <c r="L97" s="134"/>
      <c r="M97" s="134"/>
      <c r="N97" s="134"/>
      <c r="O97" s="134"/>
      <c r="P97" s="134"/>
      <c r="Q97" s="134"/>
      <c r="R97" s="134"/>
      <c r="S97" s="134"/>
      <c r="T97" s="134"/>
      <c r="U97" s="99"/>
    </row>
    <row r="98" spans="1:21" s="121" customFormat="1" ht="15.75" customHeight="1" x14ac:dyDescent="0.2">
      <c r="A98" s="134" t="str">
        <f t="shared" ref="A98:A129" si="3">LEFT(B98, FIND("-", B98) - 1)</f>
        <v>TRAN</v>
      </c>
      <c r="B98" s="134" t="s">
        <v>700</v>
      </c>
      <c r="C98" s="134" t="s">
        <v>289</v>
      </c>
      <c r="D98" s="134" t="s">
        <v>30</v>
      </c>
      <c r="E98" s="134" t="s">
        <v>288</v>
      </c>
      <c r="F98" s="135" t="str">
        <f>IF(E98="","",IFERROR(IF(INDEX('Dashboard Items'!$B$2:$B$495,MATCH(E98,'Dashboard Items'!$A$2:$A$495,0))="Objective","Objectives go in the next column",IF(OR(D98="",INDEX('Dashboard Items'!$B$2:$B$495,MATCH(E98,'Dashboard Items'!$A$2:$A$495,0))=D98),INDEX('Dashboard Items'!$C$2:$C$495,MATCH(E98,'Dashboard Items'!$A$2:$A$495,0)),"Level does not match ID")),"ID not found"))</f>
        <v>Transit Planning</v>
      </c>
      <c r="G98" s="136" t="s">
        <v>691</v>
      </c>
      <c r="H98" s="135"/>
      <c r="I98" s="134"/>
      <c r="J98" s="134"/>
      <c r="K98" s="134"/>
      <c r="L98" s="134"/>
      <c r="M98" s="134"/>
      <c r="N98" s="134"/>
      <c r="O98" s="134"/>
      <c r="P98" s="134"/>
      <c r="Q98" s="134"/>
      <c r="R98" s="134"/>
      <c r="S98" s="134"/>
      <c r="T98" s="134"/>
      <c r="U98" s="99"/>
    </row>
    <row r="99" spans="1:21" s="121" customFormat="1" ht="15.75" customHeight="1" x14ac:dyDescent="0.2">
      <c r="A99" s="134" t="str">
        <f t="shared" si="3"/>
        <v>TRAN</v>
      </c>
      <c r="B99" s="134" t="s">
        <v>701</v>
      </c>
      <c r="C99" s="134" t="s">
        <v>286</v>
      </c>
      <c r="D99" s="134" t="s">
        <v>30</v>
      </c>
      <c r="E99" s="134" t="s">
        <v>284</v>
      </c>
      <c r="F99" s="135" t="str">
        <f>IF(E99="","",IFERROR(IF(INDEX('Dashboard Items'!$B$2:$B$495,MATCH(E99,'Dashboard Items'!$A$2:$A$495,0))="Objective","Objectives go in the next column",IF(OR(D99="",INDEX('Dashboard Items'!$B$2:$B$495,MATCH(E99,'Dashboard Items'!$A$2:$A$495,0))=D99),INDEX('Dashboard Items'!$C$2:$C$495,MATCH(E99,'Dashboard Items'!$A$2:$A$495,0)),"Level does not match ID")),"ID not found"))</f>
        <v>Microtransit</v>
      </c>
      <c r="G99" s="136"/>
      <c r="H99" s="135"/>
      <c r="I99" s="134"/>
      <c r="J99" s="134"/>
      <c r="K99" s="134"/>
      <c r="L99" s="134"/>
      <c r="M99" s="134"/>
      <c r="N99" s="134"/>
      <c r="O99" s="134"/>
      <c r="P99" s="134"/>
      <c r="Q99" s="134"/>
      <c r="R99" s="134"/>
      <c r="S99" s="134"/>
      <c r="T99" s="134"/>
      <c r="U99" s="99"/>
    </row>
    <row r="100" spans="1:21" s="121" customFormat="1" ht="15.75" customHeight="1" x14ac:dyDescent="0.2">
      <c r="A100" s="134" t="str">
        <f t="shared" si="3"/>
        <v>TRAN</v>
      </c>
      <c r="B100" s="134" t="s">
        <v>702</v>
      </c>
      <c r="C100" s="134" t="s">
        <v>293</v>
      </c>
      <c r="D100" s="134" t="s">
        <v>30</v>
      </c>
      <c r="E100" s="134" t="s">
        <v>291</v>
      </c>
      <c r="F100" s="135" t="str">
        <f>IF(E100="","",IFERROR(IF(INDEX('Dashboard Items'!$B$2:$B$495,MATCH(E100,'Dashboard Items'!$A$2:$A$495,0))="Objective","Objectives go in the next column",IF(OR(D100="",INDEX('Dashboard Items'!$B$2:$B$495,MATCH(E100,'Dashboard Items'!$A$2:$A$495,0))=D100),INDEX('Dashboard Items'!$C$2:$C$495,MATCH(E100,'Dashboard Items'!$A$2:$A$495,0)),"Level does not match ID")),"ID not found"))</f>
        <v>Fare Administration</v>
      </c>
      <c r="G100" s="136"/>
      <c r="H100" s="135"/>
      <c r="I100" s="134"/>
      <c r="J100" s="134"/>
      <c r="K100" s="134"/>
      <c r="L100" s="134"/>
      <c r="M100" s="134"/>
      <c r="N100" s="134"/>
      <c r="O100" s="134"/>
      <c r="P100" s="134"/>
      <c r="Q100" s="134"/>
      <c r="R100" s="134"/>
      <c r="S100" s="134"/>
      <c r="T100" s="134"/>
      <c r="U100" s="99"/>
    </row>
    <row r="101" spans="1:21" s="94" customFormat="1" ht="16.5" customHeight="1" x14ac:dyDescent="0.2">
      <c r="A101" s="134" t="str">
        <f t="shared" si="3"/>
        <v>TRAN</v>
      </c>
      <c r="B101" s="134" t="s">
        <v>703</v>
      </c>
      <c r="C101" s="134" t="s">
        <v>285</v>
      </c>
      <c r="D101" s="134" t="s">
        <v>30</v>
      </c>
      <c r="E101" s="134" t="s">
        <v>284</v>
      </c>
      <c r="F101" s="135" t="str">
        <f>IF(E101="","",IFERROR(IF(INDEX('Dashboard Items'!$B$2:$B$495,MATCH(E101,'Dashboard Items'!$A$2:$A$495,0))="Objective","Objectives go in the next column",IF(OR(D101="",INDEX('Dashboard Items'!$B$2:$B$495,MATCH(E101,'Dashboard Items'!$A$2:$A$495,0))=D101),INDEX('Dashboard Items'!$C$2:$C$495,MATCH(E101,'Dashboard Items'!$A$2:$A$495,0)),"Level does not match ID")),"ID not found"))</f>
        <v>Microtransit</v>
      </c>
      <c r="G101" s="136"/>
      <c r="H101" s="135"/>
      <c r="I101" s="134"/>
      <c r="J101" s="134"/>
      <c r="K101" s="134"/>
      <c r="L101" s="134"/>
      <c r="M101" s="134"/>
      <c r="N101" s="134"/>
      <c r="O101" s="134"/>
      <c r="P101" s="134"/>
      <c r="Q101" s="134"/>
      <c r="R101" s="134"/>
      <c r="S101" s="134"/>
      <c r="T101" s="134"/>
      <c r="U101" s="99"/>
    </row>
    <row r="102" spans="1:21" s="94" customFormat="1" ht="16.5" customHeight="1" x14ac:dyDescent="0.2">
      <c r="A102" s="134" t="str">
        <f t="shared" si="3"/>
        <v>TRAN</v>
      </c>
      <c r="B102" s="134" t="s">
        <v>704</v>
      </c>
      <c r="C102" s="134" t="s">
        <v>274</v>
      </c>
      <c r="D102" s="134" t="s">
        <v>30</v>
      </c>
      <c r="E102" s="134" t="s">
        <v>271</v>
      </c>
      <c r="F102" s="135" t="str">
        <f>IF(E102="","",IFERROR(IF(INDEX('Dashboard Items'!$B$2:$B$495,MATCH(E102,'Dashboard Items'!$A$2:$A$495,0))="Objective","Objectives go in the next column",IF(OR(D102="",INDEX('Dashboard Items'!$B$2:$B$495,MATCH(E102,'Dashboard Items'!$A$2:$A$495,0))=D102),INDEX('Dashboard Items'!$C$2:$C$495,MATCH(E102,'Dashboard Items'!$A$2:$A$495,0)),"Level does not match ID")),"ID not found"))</f>
        <v>Fixed-Route Service</v>
      </c>
      <c r="G102" s="136"/>
      <c r="H102" s="135"/>
      <c r="I102" s="134"/>
      <c r="J102" s="134"/>
      <c r="K102" s="134"/>
      <c r="L102" s="134"/>
      <c r="M102" s="134"/>
      <c r="N102" s="134"/>
      <c r="O102" s="134"/>
      <c r="P102" s="134"/>
      <c r="Q102" s="134"/>
      <c r="R102" s="134"/>
      <c r="S102" s="134"/>
      <c r="T102" s="134"/>
      <c r="U102" s="99"/>
    </row>
    <row r="103" spans="1:21" s="94" customFormat="1" ht="16.5" customHeight="1" x14ac:dyDescent="0.2">
      <c r="A103" s="134" t="str">
        <f t="shared" si="3"/>
        <v>TRAN</v>
      </c>
      <c r="B103" s="134" t="s">
        <v>705</v>
      </c>
      <c r="C103" s="134" t="s">
        <v>292</v>
      </c>
      <c r="D103" s="134" t="s">
        <v>30</v>
      </c>
      <c r="E103" s="134" t="s">
        <v>291</v>
      </c>
      <c r="F103" s="135" t="str">
        <f>IF(E103="","",IFERROR(IF(INDEX('Dashboard Items'!$B$2:$B$495,MATCH(E103,'Dashboard Items'!$A$2:$A$495,0))="Objective","Objectives go in the next column",IF(OR(D103="",INDEX('Dashboard Items'!$B$2:$B$495,MATCH(E103,'Dashboard Items'!$A$2:$A$495,0))=D103),INDEX('Dashboard Items'!$C$2:$C$495,MATCH(E103,'Dashboard Items'!$A$2:$A$495,0)),"Level does not match ID")),"ID not found"))</f>
        <v>Fare Administration</v>
      </c>
      <c r="G103" s="136"/>
      <c r="H103" s="135"/>
      <c r="I103" s="134"/>
      <c r="J103" s="134"/>
      <c r="K103" s="134"/>
      <c r="L103" s="134"/>
      <c r="M103" s="134"/>
      <c r="N103" s="134"/>
      <c r="O103" s="134"/>
      <c r="P103" s="134"/>
      <c r="Q103" s="134"/>
      <c r="R103" s="134"/>
      <c r="S103" s="134"/>
      <c r="T103" s="134"/>
      <c r="U103" s="99"/>
    </row>
    <row r="104" spans="1:21" s="94" customFormat="1" ht="16.5" customHeight="1" x14ac:dyDescent="0.2">
      <c r="A104" s="134" t="str">
        <f t="shared" si="3"/>
        <v>TRAN</v>
      </c>
      <c r="B104" s="134" t="s">
        <v>706</v>
      </c>
      <c r="C104" s="134" t="s">
        <v>272</v>
      </c>
      <c r="D104" s="134" t="s">
        <v>30</v>
      </c>
      <c r="E104" s="134" t="s">
        <v>271</v>
      </c>
      <c r="F104" s="135" t="str">
        <f>IF(E104="","",IFERROR(IF(INDEX('Dashboard Items'!$B$2:$B$495,MATCH(E104,'Dashboard Items'!$A$2:$A$495,0))="Objective","Objectives go in the next column",IF(OR(D104="",INDEX('Dashboard Items'!$B$2:$B$495,MATCH(E104,'Dashboard Items'!$A$2:$A$495,0))=D104),INDEX('Dashboard Items'!$C$2:$C$495,MATCH(E104,'Dashboard Items'!$A$2:$A$495,0)),"Level does not match ID")),"ID not found"))</f>
        <v>Fixed-Route Service</v>
      </c>
      <c r="G104" s="136"/>
      <c r="H104" s="135"/>
      <c r="I104" s="134"/>
      <c r="J104" s="134"/>
      <c r="K104" s="134"/>
      <c r="L104" s="134"/>
      <c r="M104" s="134"/>
      <c r="N104" s="134"/>
      <c r="O104" s="134"/>
      <c r="P104" s="134"/>
      <c r="Q104" s="134"/>
      <c r="R104" s="134"/>
      <c r="S104" s="134"/>
      <c r="T104" s="134"/>
      <c r="U104" s="99"/>
    </row>
    <row r="105" spans="1:21" s="94" customFormat="1" ht="15.75" customHeight="1" x14ac:dyDescent="0.2">
      <c r="A105" s="134" t="str">
        <f t="shared" si="3"/>
        <v>TRAN</v>
      </c>
      <c r="B105" s="134" t="s">
        <v>707</v>
      </c>
      <c r="C105" s="134" t="s">
        <v>708</v>
      </c>
      <c r="D105" s="134" t="s">
        <v>30</v>
      </c>
      <c r="E105" s="134" t="s">
        <v>276</v>
      </c>
      <c r="F105" s="135" t="str">
        <f>IF(E105="","",IFERROR(IF(INDEX('Dashboard Items'!$B$2:$B$495,MATCH(E105,'Dashboard Items'!$A$2:$A$495,0))="Objective","Objectives go in the next column",IF(OR(D105="",INDEX('Dashboard Items'!$B$2:$B$495,MATCH(E105,'Dashboard Items'!$A$2:$A$495,0))=D105),INDEX('Dashboard Items'!$C$2:$C$495,MATCH(E105,'Dashboard Items'!$A$2:$A$495,0)),"Level does not match ID")),"ID not found"))</f>
        <v>Paratransit</v>
      </c>
      <c r="G105" s="136"/>
      <c r="H105" s="135"/>
      <c r="I105" s="134"/>
      <c r="J105" s="134"/>
      <c r="K105" s="134"/>
      <c r="L105" s="134"/>
      <c r="M105" s="134"/>
      <c r="N105" s="134"/>
      <c r="O105" s="134"/>
      <c r="P105" s="134"/>
      <c r="Q105" s="134"/>
      <c r="R105" s="134"/>
      <c r="S105" s="134"/>
      <c r="T105" s="134"/>
      <c r="U105" s="99"/>
    </row>
    <row r="106" spans="1:21" s="94" customFormat="1" ht="15.75" customHeight="1" x14ac:dyDescent="0.2">
      <c r="A106" s="134" t="str">
        <f t="shared" si="3"/>
        <v>TRAN</v>
      </c>
      <c r="B106" s="134" t="s">
        <v>709</v>
      </c>
      <c r="C106" s="134" t="s">
        <v>296</v>
      </c>
      <c r="D106" s="134" t="s">
        <v>30</v>
      </c>
      <c r="E106" s="134" t="s">
        <v>295</v>
      </c>
      <c r="F106" s="135" t="str">
        <f>IF(E106="","",IFERROR(IF(INDEX('Dashboard Items'!$B$2:$B$495,MATCH(E106,'Dashboard Items'!$A$2:$A$495,0))="Objective","Objectives go in the next column",IF(OR(D106="",INDEX('Dashboard Items'!$B$2:$B$495,MATCH(E106,'Dashboard Items'!$A$2:$A$495,0))=D106),INDEX('Dashboard Items'!$C$2:$C$495,MATCH(E106,'Dashboard Items'!$A$2:$A$495,0)),"Level does not match ID")),"ID not found"))</f>
        <v>Parking Management</v>
      </c>
      <c r="G106" s="136" t="s">
        <v>691</v>
      </c>
      <c r="H106" s="135" t="str">
        <f>IF(G106="","",IF(ISNUMBER(SEARCH(",",G106)),"Several items (the script lists them)",IFERROR(INDEX('Dashboard Items'!$B$2:$B$495,MATCH(G106,'Dashboard Items'!$A$2:$A$495,0))&amp;": "&amp;INDEX('Dashboard Items'!$C$2:$C$495,MATCH(G106,'Dashboard Items'!$A$2:$A$495,0)),"ID not found")))</f>
        <v>Key Service: Transit Services</v>
      </c>
      <c r="I106" s="134" t="s">
        <v>588</v>
      </c>
      <c r="J106" s="134">
        <v>2</v>
      </c>
      <c r="K106" s="134" t="s">
        <v>595</v>
      </c>
      <c r="L106" s="134" t="s">
        <v>552</v>
      </c>
      <c r="M106" s="134">
        <v>0</v>
      </c>
      <c r="N106" s="134">
        <v>0</v>
      </c>
      <c r="O106" s="134" t="s">
        <v>551</v>
      </c>
      <c r="P106" s="134" t="s">
        <v>553</v>
      </c>
      <c r="Q106" s="134" t="s">
        <v>696</v>
      </c>
      <c r="R106" s="134"/>
      <c r="S106" s="134"/>
      <c r="T106" s="134"/>
      <c r="U106" s="99" t="str">
        <f>IF(B106="","",IF(IF(D106&lt;&gt;"",D106,IFERROR(INDEX('Dashboard Items'!$B$2:$B$495,MATCH(E106,'Dashboard Items'!$A$2:$A$495,0)),""))="Key Service",IF(O106="No","Key Service: shown, not counted","Counts in Key Service gauge"),IF(IF(D106&lt;&gt;"",D106,IFERROR(INDEX('Dashboard Items'!$B$2:$B$495,MATCH(E106,'Dashboard Items'!$A$2:$A$495,0)),""))="Program",IF(ISNUMBER(SEARCH("ks",G106)),IF(O106="No","Program, also at Key Service: not counted","Counts in Key Service gauge + sets Program chip"),IF(O106="No","Program: shown, no status chip","Sets Program status chip")),IF(IF(D106&lt;&gt;"",D106,IFERROR(INDEX('Dashboard Items'!$B$2:$B$495,MATCH(E106,'Dashboard Items'!$A$2:$A$495,0)),""))="Work System","Work System: shown, not counted","Check Level"))))</f>
        <v>Counts in Key Service gauge + sets Program chip</v>
      </c>
    </row>
    <row r="107" spans="1:21" s="94" customFormat="1" ht="15.75" customHeight="1" x14ac:dyDescent="0.2">
      <c r="A107" s="134" t="str">
        <f t="shared" si="3"/>
        <v>TRAN</v>
      </c>
      <c r="B107" s="134" t="s">
        <v>710</v>
      </c>
      <c r="C107" s="134" t="s">
        <v>299</v>
      </c>
      <c r="D107" s="134" t="s">
        <v>30</v>
      </c>
      <c r="E107" s="134" t="s">
        <v>295</v>
      </c>
      <c r="F107" s="135" t="str">
        <f>IF(E107="","",IFERROR(IF(INDEX('Dashboard Items'!$B$2:$B$495,MATCH(E107,'Dashboard Items'!$A$2:$A$495,0))="Objective","Objectives go in the next column",IF(OR(D107="",INDEX('Dashboard Items'!$B$2:$B$495,MATCH(E107,'Dashboard Items'!$A$2:$A$495,0))=D107),INDEX('Dashboard Items'!$C$2:$C$495,MATCH(E107,'Dashboard Items'!$A$2:$A$495,0)),"Level does not match ID")),"ID not found"))</f>
        <v>Parking Management</v>
      </c>
      <c r="G107" s="136"/>
      <c r="H107" s="135" t="str">
        <f>IF(G107="","",IF(ISNUMBER(SEARCH(",",G107)),"Several items (the script lists them)",IFERROR(INDEX('Dashboard Items'!$B$2:$B$495,MATCH(G107,'Dashboard Items'!$A$2:$A$495,0))&amp;": "&amp;INDEX('Dashboard Items'!$C$2:$C$495,MATCH(G107,'Dashboard Items'!$A$2:$A$495,0)),"ID not found")))</f>
        <v/>
      </c>
      <c r="I107" s="134" t="s">
        <v>588</v>
      </c>
      <c r="J107" s="134">
        <v>2</v>
      </c>
      <c r="K107" s="134" t="s">
        <v>551</v>
      </c>
      <c r="L107" s="134" t="s">
        <v>552</v>
      </c>
      <c r="M107" s="134">
        <v>0</v>
      </c>
      <c r="N107" s="134">
        <v>0</v>
      </c>
      <c r="O107" s="134" t="s">
        <v>551</v>
      </c>
      <c r="P107" s="134" t="s">
        <v>553</v>
      </c>
      <c r="Q107" s="134" t="s">
        <v>696</v>
      </c>
      <c r="R107" s="134"/>
      <c r="S107" s="134"/>
      <c r="T107" s="134"/>
      <c r="U107" s="99" t="str">
        <f>IF(B107="","",IF(IF(D107&lt;&gt;"",D107,IFERROR(INDEX('Dashboard Items'!$B$2:$B$495,MATCH(E107,'Dashboard Items'!$A$2:$A$495,0)),""))="Key Service",IF(O107="No","Key Service: shown, not counted","Counts in Key Service gauge"),IF(IF(D107&lt;&gt;"",D107,IFERROR(INDEX('Dashboard Items'!$B$2:$B$495,MATCH(E107,'Dashboard Items'!$A$2:$A$495,0)),""))="Program",IF(ISNUMBER(SEARCH("ks",G107)),IF(O107="No","Program, also at Key Service: not counted","Counts in Key Service gauge + sets Program chip"),IF(O107="No","Program: shown, no status chip","Sets Program status chip")),IF(IF(D107&lt;&gt;"",D107,IFERROR(INDEX('Dashboard Items'!$B$2:$B$495,MATCH(E107,'Dashboard Items'!$A$2:$A$495,0)),""))="Work System","Work System: shown, not counted","Check Level"))))</f>
        <v>Sets Program status chip</v>
      </c>
    </row>
    <row r="108" spans="1:21" ht="15" customHeight="1" x14ac:dyDescent="0.2">
      <c r="A108" s="94" t="str">
        <f t="shared" si="3"/>
        <v>PIO</v>
      </c>
      <c r="B108" s="95" t="s">
        <v>711</v>
      </c>
      <c r="C108" s="96" t="s">
        <v>77</v>
      </c>
      <c r="D108" s="95" t="s">
        <v>30</v>
      </c>
      <c r="E108" s="95" t="s">
        <v>76</v>
      </c>
      <c r="F108" s="97" t="str">
        <f>IF(E108="","",IFERROR(IF(INDEX('Dashboard Items'!$B$2:$B$495,MATCH(E108,'Dashboard Items'!$A$2:$A$495,0))="Objective","Objectives go in the next column",IF(OR(D108="",INDEX('Dashboard Items'!$B$2:$B$495,MATCH(E108,'Dashboard Items'!$A$2:$A$495,0))=D108),INDEX('Dashboard Items'!$C$2:$C$495,MATCH(E108,'Dashboard Items'!$A$2:$A$495,0)),"Level does not match ID")),"ID not found"))</f>
        <v>Community Engagement Initiatives</v>
      </c>
      <c r="G108" s="98"/>
      <c r="H108" s="97" t="str">
        <f>IF(G108="","",IF(ISNUMBER(SEARCH(",",G108)),"Several items (the script lists them)",IFERROR(INDEX('Dashboard Items'!$B$2:$B$495,MATCH(G108,'Dashboard Items'!$A$2:$A$495,0))&amp;": "&amp;INDEX('Dashboard Items'!$C$2:$C$495,MATCH(G108,'Dashboard Items'!$A$2:$A$495,0)),"ID not found")))</f>
        <v/>
      </c>
      <c r="I108" s="95"/>
      <c r="J108" s="95"/>
      <c r="K108" s="95"/>
      <c r="L108" s="95"/>
      <c r="M108" s="95"/>
      <c r="N108" s="95"/>
      <c r="O108" s="95"/>
      <c r="P108" s="95"/>
      <c r="Q108" s="95"/>
      <c r="R108" s="95"/>
      <c r="S108" s="95"/>
      <c r="T108" s="95"/>
      <c r="U108" s="99" t="str">
        <f>IF(B108="","",IF(IF(D108&lt;&gt;"",D108,IFERROR(INDEX('Dashboard Items'!$B$2:$B$495,MATCH(E108,'Dashboard Items'!$A$2:$A$495,0)),""))="Key Service",IF(O108="No","Key Service: shown, not counted","Counts in Key Service gauge"),IF(IF(D108&lt;&gt;"",D108,IFERROR(INDEX('Dashboard Items'!$B$2:$B$495,MATCH(E108,'Dashboard Items'!$A$2:$A$495,0)),""))="Program",IF(ISNUMBER(SEARCH("ks",G108)),IF(O108="No","Program, also at Key Service: not counted","Counts in Key Service gauge + sets Program chip"),IF(O108="No","Program: shown, no status chip","Sets Program status chip")),IF(IF(D108&lt;&gt;"",D108,IFERROR(INDEX('Dashboard Items'!$B$2:$B$495,MATCH(E108,'Dashboard Items'!$A$2:$A$495,0)),""))="Work System","Work System: shown, not counted","Check Level"))))</f>
        <v>Sets Program status chip</v>
      </c>
    </row>
    <row r="109" spans="1:21" ht="15" customHeight="1" x14ac:dyDescent="0.2">
      <c r="A109" s="94" t="str">
        <f t="shared" si="3"/>
        <v>PIO</v>
      </c>
      <c r="B109" s="95" t="s">
        <v>712</v>
      </c>
      <c r="C109" s="96" t="s">
        <v>78</v>
      </c>
      <c r="D109" s="95" t="s">
        <v>30</v>
      </c>
      <c r="E109" s="95" t="s">
        <v>76</v>
      </c>
      <c r="F109" s="97" t="str">
        <f>IF(E109="","",IFERROR(IF(INDEX('Dashboard Items'!$B$2:$B$495,MATCH(E109,'Dashboard Items'!$A$2:$A$495,0))="Objective","Objectives go in the next column",IF(OR(D109="",INDEX('Dashboard Items'!$B$2:$B$495,MATCH(E109,'Dashboard Items'!$A$2:$A$495,0))=D109),INDEX('Dashboard Items'!$C$2:$C$495,MATCH(E109,'Dashboard Items'!$A$2:$A$495,0)),"Level does not match ID")),"ID not found"))</f>
        <v>Community Engagement Initiatives</v>
      </c>
      <c r="G109" s="98"/>
      <c r="H109" s="97" t="str">
        <f>IF(G109="","",IF(ISNUMBER(SEARCH(",",G109)),"Several items (the script lists them)",IFERROR(INDEX('Dashboard Items'!$B$2:$B$495,MATCH(G109,'Dashboard Items'!$A$2:$A$495,0))&amp;": "&amp;INDEX('Dashboard Items'!$C$2:$C$495,MATCH(G109,'Dashboard Items'!$A$2:$A$495,0)),"ID not found")))</f>
        <v/>
      </c>
      <c r="I109" s="95"/>
      <c r="J109" s="95"/>
      <c r="K109" s="95"/>
      <c r="L109" s="95"/>
      <c r="M109" s="95"/>
      <c r="N109" s="95"/>
      <c r="O109" s="95"/>
      <c r="P109" s="95"/>
      <c r="Q109" s="95"/>
      <c r="R109" s="95"/>
      <c r="S109" s="95"/>
      <c r="T109" s="95"/>
      <c r="U109" s="99" t="str">
        <f>IF(B109="","",IF(IF(D109&lt;&gt;"",D109,IFERROR(INDEX('Dashboard Items'!$B$2:$B$495,MATCH(E109,'Dashboard Items'!$A$2:$A$495,0)),""))="Key Service",IF(O109="No","Key Service: shown, not counted","Counts in Key Service gauge"),IF(IF(D109&lt;&gt;"",D109,IFERROR(INDEX('Dashboard Items'!$B$2:$B$495,MATCH(E109,'Dashboard Items'!$A$2:$A$495,0)),""))="Program",IF(ISNUMBER(SEARCH("ks",G109)),IF(O109="No","Program, also at Key Service: not counted","Counts in Key Service gauge + sets Program chip"),IF(O109="No","Program: shown, no status chip","Sets Program status chip")),IF(IF(D109&lt;&gt;"",D109,IFERROR(INDEX('Dashboard Items'!$B$2:$B$495,MATCH(E109,'Dashboard Items'!$A$2:$A$495,0)),""))="Work System","Work System: shown, not counted","Check Level"))))</f>
        <v>Sets Program status chip</v>
      </c>
    </row>
    <row r="110" spans="1:21" ht="15" customHeight="1" x14ac:dyDescent="0.2">
      <c r="A110" s="94" t="str">
        <f t="shared" si="3"/>
        <v>PIO</v>
      </c>
      <c r="B110" s="95" t="s">
        <v>713</v>
      </c>
      <c r="C110" s="96" t="s">
        <v>79</v>
      </c>
      <c r="D110" s="95" t="s">
        <v>30</v>
      </c>
      <c r="E110" s="95" t="s">
        <v>76</v>
      </c>
      <c r="F110" s="97" t="str">
        <f>IF(E110="","",IFERROR(IF(INDEX('Dashboard Items'!$B$2:$B$495,MATCH(E110,'Dashboard Items'!$A$2:$A$495,0))="Objective","Objectives go in the next column",IF(OR(D110="",INDEX('Dashboard Items'!$B$2:$B$495,MATCH(E110,'Dashboard Items'!$A$2:$A$495,0))=D110),INDEX('Dashboard Items'!$C$2:$C$495,MATCH(E110,'Dashboard Items'!$A$2:$A$495,0)),"Level does not match ID")),"ID not found"))</f>
        <v>Community Engagement Initiatives</v>
      </c>
      <c r="G110" s="98"/>
      <c r="H110" s="97" t="str">
        <f>IF(G110="","",IF(ISNUMBER(SEARCH(",",G110)),"Several items (the script lists them)",IFERROR(INDEX('Dashboard Items'!$B$2:$B$495,MATCH(G110,'Dashboard Items'!$A$2:$A$495,0))&amp;": "&amp;INDEX('Dashboard Items'!$C$2:$C$495,MATCH(G110,'Dashboard Items'!$A$2:$A$495,0)),"ID not found")))</f>
        <v/>
      </c>
      <c r="I110" s="95"/>
      <c r="J110" s="95"/>
      <c r="K110" s="95"/>
      <c r="L110" s="95"/>
      <c r="M110" s="95"/>
      <c r="N110" s="95"/>
      <c r="O110" s="95"/>
      <c r="P110" s="95"/>
      <c r="Q110" s="95"/>
      <c r="R110" s="95"/>
      <c r="S110" s="95"/>
      <c r="T110" s="95"/>
      <c r="U110" s="99" t="str">
        <f>IF(B110="","",IF(IF(D110&lt;&gt;"",D110,IFERROR(INDEX('Dashboard Items'!$B$2:$B$495,MATCH(E110,'Dashboard Items'!$A$2:$A$495,0)),""))="Key Service",IF(O110="No","Key Service: shown, not counted","Counts in Key Service gauge"),IF(IF(D110&lt;&gt;"",D110,IFERROR(INDEX('Dashboard Items'!$B$2:$B$495,MATCH(E110,'Dashboard Items'!$A$2:$A$495,0)),""))="Program",IF(ISNUMBER(SEARCH("ks",G110)),IF(O110="No","Program, also at Key Service: not counted","Counts in Key Service gauge + sets Program chip"),IF(O110="No","Program: shown, no status chip","Sets Program status chip")),IF(IF(D110&lt;&gt;"",D110,IFERROR(INDEX('Dashboard Items'!$B$2:$B$495,MATCH(E110,'Dashboard Items'!$A$2:$A$495,0)),""))="Work System","Work System: shown, not counted","Check Level"))))</f>
        <v>Sets Program status chip</v>
      </c>
    </row>
    <row r="111" spans="1:21" ht="15" customHeight="1" x14ac:dyDescent="0.2">
      <c r="A111" s="94" t="str">
        <f t="shared" si="3"/>
        <v>IT</v>
      </c>
      <c r="B111" s="95" t="s">
        <v>714</v>
      </c>
      <c r="C111" s="96" t="s">
        <v>413</v>
      </c>
      <c r="D111" s="95" t="s">
        <v>29</v>
      </c>
      <c r="E111" s="95" t="s">
        <v>609</v>
      </c>
      <c r="F111" s="97" t="str">
        <f>IF(E111="","",IFERROR(IF(INDEX('Dashboard Items'!$B$2:$B$495,MATCH(E111,'Dashboard Items'!$A$2:$A$495,0))="Objective","Objectives go in the next column",IF(OR(D111="",INDEX('Dashboard Items'!$B$2:$B$495,MATCH(E111,'Dashboard Items'!$A$2:$A$495,0))=D111),INDEX('Dashboard Items'!$C$2:$C$495,MATCH(E111,'Dashboard Items'!$A$2:$A$495,0)),"Level does not match ID")),"ID not found"))</f>
        <v>Information Technology Services</v>
      </c>
      <c r="G111" s="98"/>
      <c r="H111" s="97" t="str">
        <f>IF(G111="","",IF(ISNUMBER(SEARCH(",",G111)),"Several items (the script lists them)",IFERROR(INDEX('Dashboard Items'!$B$2:$B$495,MATCH(G111,'Dashboard Items'!$A$2:$A$495,0))&amp;": "&amp;INDEX('Dashboard Items'!$C$2:$C$495,MATCH(G111,'Dashboard Items'!$A$2:$A$495,0)),"ID not found")))</f>
        <v/>
      </c>
      <c r="I111" s="95"/>
      <c r="J111" s="95"/>
      <c r="K111" s="95"/>
      <c r="L111" s="95"/>
      <c r="M111" s="95"/>
      <c r="N111" s="95"/>
      <c r="O111" s="95"/>
      <c r="P111" s="95"/>
      <c r="Q111" s="95"/>
      <c r="R111" s="95"/>
      <c r="S111" s="95"/>
      <c r="T111" s="95"/>
      <c r="U111" s="99" t="str">
        <f>IF(B111="","",IF(IF(D111&lt;&gt;"",D111,IFERROR(INDEX('Dashboard Items'!$B$2:$B$495,MATCH(E111,'Dashboard Items'!$A$2:$A$495,0)),""))="Key Service",IF(O111="No","Key Service: shown, not counted","Counts in Key Service gauge"),IF(IF(D111&lt;&gt;"",D111,IFERROR(INDEX('Dashboard Items'!$B$2:$B$495,MATCH(E111,'Dashboard Items'!$A$2:$A$495,0)),""))="Program",IF(ISNUMBER(SEARCH("ks",G111)),IF(O111="No","Program, also at Key Service: not counted","Counts in Key Service gauge + sets Program chip"),IF(O111="No","Program: shown, no status chip","Sets Program status chip")),IF(IF(D111&lt;&gt;"",D111,IFERROR(INDEX('Dashboard Items'!$B$2:$B$495,MATCH(E111,'Dashboard Items'!$A$2:$A$495,0)),""))="Work System","Work System: shown, not counted","Check Level"))))</f>
        <v>Counts in Key Service gauge</v>
      </c>
    </row>
    <row r="112" spans="1:21" ht="15" customHeight="1" x14ac:dyDescent="0.2">
      <c r="A112" s="94" t="str">
        <f t="shared" si="3"/>
        <v>IT</v>
      </c>
      <c r="B112" s="95" t="s">
        <v>715</v>
      </c>
      <c r="C112" s="96" t="s">
        <v>142</v>
      </c>
      <c r="D112" s="95" t="s">
        <v>30</v>
      </c>
      <c r="E112" s="95" t="s">
        <v>141</v>
      </c>
      <c r="F112" s="97" t="str">
        <f>IF(E112="","",IFERROR(IF(INDEX('Dashboard Items'!$B$2:$B$495,MATCH(E112,'Dashboard Items'!$A$2:$A$495,0))="Objective","Objectives go in the next column",IF(OR(D112="",INDEX('Dashboard Items'!$B$2:$B$495,MATCH(E112,'Dashboard Items'!$A$2:$A$495,0))=D112),INDEX('Dashboard Items'!$C$2:$C$495,MATCH(E112,'Dashboard Items'!$A$2:$A$495,0)),"Level does not match ID")),"ID not found"))</f>
        <v>Business Applications Support</v>
      </c>
      <c r="G112" s="98"/>
      <c r="H112" s="97" t="str">
        <f>IF(G112="","",IF(ISNUMBER(SEARCH(",",G112)),"Several items (the script lists them)",IFERROR(INDEX('Dashboard Items'!$B$2:$B$495,MATCH(G112,'Dashboard Items'!$A$2:$A$495,0))&amp;": "&amp;INDEX('Dashboard Items'!$C$2:$C$495,MATCH(G112,'Dashboard Items'!$A$2:$A$495,0)),"ID not found")))</f>
        <v/>
      </c>
      <c r="I112" s="95"/>
      <c r="J112" s="95"/>
      <c r="K112" s="95"/>
      <c r="L112" s="95"/>
      <c r="M112" s="95"/>
      <c r="N112" s="95"/>
      <c r="O112" s="95"/>
      <c r="P112" s="95"/>
      <c r="Q112" s="95"/>
      <c r="R112" s="95"/>
      <c r="S112" s="95"/>
      <c r="T112" s="95"/>
      <c r="U112" s="99" t="str">
        <f>IF(B112="","",IF(IF(D112&lt;&gt;"",D112,IFERROR(INDEX('Dashboard Items'!$B$2:$B$495,MATCH(E112,'Dashboard Items'!$A$2:$A$495,0)),""))="Key Service",IF(O112="No","Key Service: shown, not counted","Counts in Key Service gauge"),IF(IF(D112&lt;&gt;"",D112,IFERROR(INDEX('Dashboard Items'!$B$2:$B$495,MATCH(E112,'Dashboard Items'!$A$2:$A$495,0)),""))="Program",IF(ISNUMBER(SEARCH("ks",G112)),IF(O112="No","Program, also at Key Service: not counted","Counts in Key Service gauge + sets Program chip"),IF(O112="No","Program: shown, no status chip","Sets Program status chip")),IF(IF(D112&lt;&gt;"",D112,IFERROR(INDEX('Dashboard Items'!$B$2:$B$495,MATCH(E112,'Dashboard Items'!$A$2:$A$495,0)),""))="Work System","Work System: shown, not counted","Check Level"))))</f>
        <v>Sets Program status chip</v>
      </c>
    </row>
    <row r="113" spans="1:21" ht="15" customHeight="1" x14ac:dyDescent="0.2">
      <c r="A113" s="94" t="str">
        <f t="shared" si="3"/>
        <v>IT</v>
      </c>
      <c r="B113" s="95" t="s">
        <v>716</v>
      </c>
      <c r="C113" s="96" t="s">
        <v>717</v>
      </c>
      <c r="D113" s="95" t="s">
        <v>30</v>
      </c>
      <c r="E113" s="95" t="s">
        <v>144</v>
      </c>
      <c r="F113" s="97" t="str">
        <f>IF(E113="","",IFERROR(IF(INDEX('Dashboard Items'!$B$2:$B$495,MATCH(E113,'Dashboard Items'!$A$2:$A$495,0))="Objective","Objectives go in the next column",IF(OR(D113="",INDEX('Dashboard Items'!$B$2:$B$495,MATCH(E113,'Dashboard Items'!$A$2:$A$495,0))=D113),INDEX('Dashboard Items'!$C$2:$C$495,MATCH(E113,'Dashboard Items'!$A$2:$A$495,0)),"Level does not match ID")),"ID not found"))</f>
        <v>GIS</v>
      </c>
      <c r="G113" s="98"/>
      <c r="H113" s="97" t="str">
        <f>IF(G113="","",IF(ISNUMBER(SEARCH(",",G113)),"Several items (the script lists them)",IFERROR(INDEX('Dashboard Items'!$B$2:$B$495,MATCH(G113,'Dashboard Items'!$A$2:$A$495,0))&amp;": "&amp;INDEX('Dashboard Items'!$C$2:$C$495,MATCH(G113,'Dashboard Items'!$A$2:$A$495,0)),"ID not found")))</f>
        <v/>
      </c>
      <c r="I113" s="95"/>
      <c r="J113" s="95"/>
      <c r="K113" s="95"/>
      <c r="L113" s="95"/>
      <c r="M113" s="95"/>
      <c r="N113" s="95"/>
      <c r="O113" s="95"/>
      <c r="P113" s="95"/>
      <c r="Q113" s="95"/>
      <c r="R113" s="95"/>
      <c r="S113" s="95"/>
      <c r="T113" s="95"/>
      <c r="U113" s="99" t="str">
        <f>IF(B113="","",IF(IF(D113&lt;&gt;"",D113,IFERROR(INDEX('Dashboard Items'!$B$2:$B$495,MATCH(E113,'Dashboard Items'!$A$2:$A$495,0)),""))="Key Service",IF(O113="No","Key Service: shown, not counted","Counts in Key Service gauge"),IF(IF(D113&lt;&gt;"",D113,IFERROR(INDEX('Dashboard Items'!$B$2:$B$495,MATCH(E113,'Dashboard Items'!$A$2:$A$495,0)),""))="Program",IF(ISNUMBER(SEARCH("ks",G113)),IF(O113="No","Program, also at Key Service: not counted","Counts in Key Service gauge + sets Program chip"),IF(O113="No","Program: shown, no status chip","Sets Program status chip")),IF(IF(D113&lt;&gt;"",D113,IFERROR(INDEX('Dashboard Items'!$B$2:$B$495,MATCH(E113,'Dashboard Items'!$A$2:$A$495,0)),""))="Work System","Work System: shown, not counted","Check Level"))))</f>
        <v>Sets Program status chip</v>
      </c>
    </row>
    <row r="114" spans="1:21" ht="15" customHeight="1" x14ac:dyDescent="0.2">
      <c r="A114" s="94" t="str">
        <f t="shared" si="3"/>
        <v>IT</v>
      </c>
      <c r="B114" s="95" t="s">
        <v>718</v>
      </c>
      <c r="C114" s="96" t="s">
        <v>146</v>
      </c>
      <c r="D114" s="95" t="s">
        <v>30</v>
      </c>
      <c r="E114" s="95" t="s">
        <v>144</v>
      </c>
      <c r="F114" s="97" t="str">
        <f>IF(E114="","",IFERROR(IF(INDEX('Dashboard Items'!$B$2:$B$495,MATCH(E114,'Dashboard Items'!$A$2:$A$495,0))="Objective","Objectives go in the next column",IF(OR(D114="",INDEX('Dashboard Items'!$B$2:$B$495,MATCH(E114,'Dashboard Items'!$A$2:$A$495,0))=D114),INDEX('Dashboard Items'!$C$2:$C$495,MATCH(E114,'Dashboard Items'!$A$2:$A$495,0)),"Level does not match ID")),"ID not found"))</f>
        <v>GIS</v>
      </c>
      <c r="G114" s="98"/>
      <c r="H114" s="97" t="str">
        <f>IF(G114="","",IF(ISNUMBER(SEARCH(",",G114)),"Several items (the script lists them)",IFERROR(INDEX('Dashboard Items'!$B$2:$B$495,MATCH(G114,'Dashboard Items'!$A$2:$A$495,0))&amp;": "&amp;INDEX('Dashboard Items'!$C$2:$C$495,MATCH(G114,'Dashboard Items'!$A$2:$A$495,0)),"ID not found")))</f>
        <v/>
      </c>
      <c r="I114" s="95"/>
      <c r="J114" s="95"/>
      <c r="K114" s="95"/>
      <c r="L114" s="95"/>
      <c r="M114" s="95"/>
      <c r="N114" s="95"/>
      <c r="O114" s="95"/>
      <c r="P114" s="95"/>
      <c r="Q114" s="95"/>
      <c r="R114" s="95"/>
      <c r="S114" s="95"/>
      <c r="T114" s="95"/>
      <c r="U114" s="99" t="str">
        <f>IF(B114="","",IF(IF(D114&lt;&gt;"",D114,IFERROR(INDEX('Dashboard Items'!$B$2:$B$495,MATCH(E114,'Dashboard Items'!$A$2:$A$495,0)),""))="Key Service",IF(O114="No","Key Service: shown, not counted","Counts in Key Service gauge"),IF(IF(D114&lt;&gt;"",D114,IFERROR(INDEX('Dashboard Items'!$B$2:$B$495,MATCH(E114,'Dashboard Items'!$A$2:$A$495,0)),""))="Program",IF(ISNUMBER(SEARCH("ks",G114)),IF(O114="No","Program, also at Key Service: not counted","Counts in Key Service gauge + sets Program chip"),IF(O114="No","Program: shown, no status chip","Sets Program status chip")),IF(IF(D114&lt;&gt;"",D114,IFERROR(INDEX('Dashboard Items'!$B$2:$B$495,MATCH(E114,'Dashboard Items'!$A$2:$A$495,0)),""))="Work System","Work System: shown, not counted","Check Level"))))</f>
        <v>Sets Program status chip</v>
      </c>
    </row>
    <row r="115" spans="1:21" ht="15" customHeight="1" x14ac:dyDescent="0.2">
      <c r="A115" s="94" t="str">
        <f t="shared" si="3"/>
        <v>IT</v>
      </c>
      <c r="B115" s="95" t="s">
        <v>719</v>
      </c>
      <c r="C115" s="96" t="s">
        <v>147</v>
      </c>
      <c r="D115" s="95" t="s">
        <v>30</v>
      </c>
      <c r="E115" s="95" t="s">
        <v>144</v>
      </c>
      <c r="F115" s="97" t="str">
        <f>IF(E115="","",IFERROR(IF(INDEX('Dashboard Items'!$B$2:$B$495,MATCH(E115,'Dashboard Items'!$A$2:$A$495,0))="Objective","Objectives go in the next column",IF(OR(D115="",INDEX('Dashboard Items'!$B$2:$B$495,MATCH(E115,'Dashboard Items'!$A$2:$A$495,0))=D115),INDEX('Dashboard Items'!$C$2:$C$495,MATCH(E115,'Dashboard Items'!$A$2:$A$495,0)),"Level does not match ID")),"ID not found"))</f>
        <v>GIS</v>
      </c>
      <c r="G115" s="98"/>
      <c r="H115" s="97" t="str">
        <f>IF(G115="","",IF(ISNUMBER(SEARCH(",",G115)),"Several items (the script lists them)",IFERROR(INDEX('Dashboard Items'!$B$2:$B$495,MATCH(G115,'Dashboard Items'!$A$2:$A$495,0))&amp;": "&amp;INDEX('Dashboard Items'!$C$2:$C$495,MATCH(G115,'Dashboard Items'!$A$2:$A$495,0)),"ID not found")))</f>
        <v/>
      </c>
      <c r="I115" s="95"/>
      <c r="J115" s="95"/>
      <c r="K115" s="95"/>
      <c r="L115" s="95"/>
      <c r="M115" s="95"/>
      <c r="N115" s="95"/>
      <c r="O115" s="95"/>
      <c r="P115" s="95"/>
      <c r="Q115" s="95"/>
      <c r="R115" s="95"/>
      <c r="S115" s="95"/>
      <c r="T115" s="95"/>
      <c r="U115" s="99" t="str">
        <f>IF(B115="","",IF(IF(D115&lt;&gt;"",D115,IFERROR(INDEX('Dashboard Items'!$B$2:$B$495,MATCH(E115,'Dashboard Items'!$A$2:$A$495,0)),""))="Key Service",IF(O115="No","Key Service: shown, not counted","Counts in Key Service gauge"),IF(IF(D115&lt;&gt;"",D115,IFERROR(INDEX('Dashboard Items'!$B$2:$B$495,MATCH(E115,'Dashboard Items'!$A$2:$A$495,0)),""))="Program",IF(ISNUMBER(SEARCH("ks",G115)),IF(O115="No","Program, also at Key Service: not counted","Counts in Key Service gauge + sets Program chip"),IF(O115="No","Program: shown, no status chip","Sets Program status chip")),IF(IF(D115&lt;&gt;"",D115,IFERROR(INDEX('Dashboard Items'!$B$2:$B$495,MATCH(E115,'Dashboard Items'!$A$2:$A$495,0)),""))="Work System","Work System: shown, not counted","Check Level"))))</f>
        <v>Sets Program status chip</v>
      </c>
    </row>
    <row r="116" spans="1:21" ht="15" customHeight="1" x14ac:dyDescent="0.2">
      <c r="A116" s="94" t="str">
        <f t="shared" si="3"/>
        <v>IT</v>
      </c>
      <c r="B116" s="95" t="s">
        <v>720</v>
      </c>
      <c r="C116" s="96" t="s">
        <v>152</v>
      </c>
      <c r="D116" s="95" t="s">
        <v>30</v>
      </c>
      <c r="E116" s="95" t="s">
        <v>149</v>
      </c>
      <c r="F116" s="97" t="str">
        <f>IF(E116="","",IFERROR(IF(INDEX('Dashboard Items'!$B$2:$B$495,MATCH(E116,'Dashboard Items'!$A$2:$A$495,0))="Objective","Objectives go in the next column",IF(OR(D116="",INDEX('Dashboard Items'!$B$2:$B$495,MATCH(E116,'Dashboard Items'!$A$2:$A$495,0))=D116),INDEX('Dashboard Items'!$C$2:$C$495,MATCH(E116,'Dashboard Items'!$A$2:$A$495,0)),"Level does not match ID")),"ID not found"))</f>
        <v>Help Desk</v>
      </c>
      <c r="G116" s="98"/>
      <c r="H116" s="97" t="str">
        <f>IF(G116="","",IF(ISNUMBER(SEARCH(",",G116)),"Several items (the script lists them)",IFERROR(INDEX('Dashboard Items'!$B$2:$B$495,MATCH(G116,'Dashboard Items'!$A$2:$A$495,0))&amp;": "&amp;INDEX('Dashboard Items'!$C$2:$C$495,MATCH(G116,'Dashboard Items'!$A$2:$A$495,0)),"ID not found")))</f>
        <v/>
      </c>
      <c r="I116" s="95"/>
      <c r="J116" s="95"/>
      <c r="K116" s="95"/>
      <c r="L116" s="95"/>
      <c r="M116" s="95"/>
      <c r="N116" s="95"/>
      <c r="O116" s="95"/>
      <c r="P116" s="95"/>
      <c r="Q116" s="95"/>
      <c r="R116" s="95"/>
      <c r="S116" s="95"/>
      <c r="T116" s="95"/>
      <c r="U116" s="99" t="str">
        <f>IF(B116="","",IF(IF(D116&lt;&gt;"",D116,IFERROR(INDEX('Dashboard Items'!$B$2:$B$495,MATCH(E116,'Dashboard Items'!$A$2:$A$495,0)),""))="Key Service",IF(O116="No","Key Service: shown, not counted","Counts in Key Service gauge"),IF(IF(D116&lt;&gt;"",D116,IFERROR(INDEX('Dashboard Items'!$B$2:$B$495,MATCH(E116,'Dashboard Items'!$A$2:$A$495,0)),""))="Program",IF(ISNUMBER(SEARCH("ks",G116)),IF(O116="No","Program, also at Key Service: not counted","Counts in Key Service gauge + sets Program chip"),IF(O116="No","Program: shown, no status chip","Sets Program status chip")),IF(IF(D116&lt;&gt;"",D116,IFERROR(INDEX('Dashboard Items'!$B$2:$B$495,MATCH(E116,'Dashboard Items'!$A$2:$A$495,0)),""))="Work System","Work System: shown, not counted","Check Level"))))</f>
        <v>Sets Program status chip</v>
      </c>
    </row>
    <row r="117" spans="1:21" ht="15" customHeight="1" x14ac:dyDescent="0.2">
      <c r="A117" s="94" t="str">
        <f t="shared" si="3"/>
        <v>COMDEV</v>
      </c>
      <c r="B117" s="95" t="s">
        <v>721</v>
      </c>
      <c r="C117" s="96" t="s">
        <v>157</v>
      </c>
      <c r="D117" s="95" t="s">
        <v>29</v>
      </c>
      <c r="E117" s="95" t="s">
        <v>681</v>
      </c>
      <c r="F117" s="97" t="str">
        <f>IF(E117="","",IFERROR(IF(INDEX('Dashboard Items'!$B$2:$B$495,MATCH(E117,'Dashboard Items'!$A$2:$A$495,0))="Objective","Objectives go in the next column",IF(OR(D117="",INDEX('Dashboard Items'!$B$2:$B$495,MATCH(E117,'Dashboard Items'!$A$2:$A$495,0))=D117),INDEX('Dashboard Items'!$C$2:$C$495,MATCH(E117,'Dashboard Items'!$A$2:$A$495,0)),"Level does not match ID")),"ID not found"))</f>
        <v>Community Development &amp; Planning</v>
      </c>
      <c r="G117" s="98" t="s">
        <v>156</v>
      </c>
      <c r="H117" s="97" t="str">
        <f>IF(G117="","",IF(ISNUMBER(SEARCH(",",G117)),"Several items (the script lists them)",IFERROR(INDEX('Dashboard Items'!$B$2:$B$495,MATCH(G117,'Dashboard Items'!$A$2:$A$495,0))&amp;": "&amp;INDEX('Dashboard Items'!$C$2:$C$495,MATCH(G117,'Dashboard Items'!$A$2:$A$495,0)),"ID not found")))</f>
        <v>Program: Long Range Comprehensive Planning</v>
      </c>
      <c r="I117" s="95"/>
      <c r="J117" s="95"/>
      <c r="K117" s="95"/>
      <c r="L117" s="95"/>
      <c r="M117" s="95"/>
      <c r="N117" s="95"/>
      <c r="O117" s="95"/>
      <c r="P117" s="95"/>
      <c r="Q117" s="95"/>
      <c r="R117" s="95"/>
      <c r="S117" s="95"/>
      <c r="T117" s="95"/>
      <c r="U117" s="99" t="str">
        <f>IF(B117="","",IF(IF(D117&lt;&gt;"",D117,IFERROR(INDEX('Dashboard Items'!$B$2:$B$495,MATCH(E117,'Dashboard Items'!$A$2:$A$495,0)),""))="Key Service",IF(O117="No","Key Service: shown, not counted","Counts in Key Service gauge"),IF(IF(D117&lt;&gt;"",D117,IFERROR(INDEX('Dashboard Items'!$B$2:$B$495,MATCH(E117,'Dashboard Items'!$A$2:$A$495,0)),""))="Program",IF(ISNUMBER(SEARCH("ks",G117)),IF(O117="No","Program, also at Key Service: not counted","Counts in Key Service gauge + sets Program chip"),IF(O117="No","Program: shown, no status chip","Sets Program status chip")),IF(IF(D117&lt;&gt;"",D117,IFERROR(INDEX('Dashboard Items'!$B$2:$B$495,MATCH(E117,'Dashboard Items'!$A$2:$A$495,0)),""))="Work System","Work System: shown, not counted","Check Level"))))</f>
        <v>Counts in Key Service gauge</v>
      </c>
    </row>
    <row r="118" spans="1:21" ht="15" customHeight="1" x14ac:dyDescent="0.2">
      <c r="A118" s="94" t="str">
        <f t="shared" si="3"/>
        <v>COMDEV</v>
      </c>
      <c r="B118" s="95" t="s">
        <v>722</v>
      </c>
      <c r="C118" s="96" t="s">
        <v>437</v>
      </c>
      <c r="D118" s="95" t="s">
        <v>29</v>
      </c>
      <c r="E118" s="95" t="s">
        <v>681</v>
      </c>
      <c r="F118" s="97" t="str">
        <f>IF(E118="","",IFERROR(IF(INDEX('Dashboard Items'!$B$2:$B$495,MATCH(E118,'Dashboard Items'!$A$2:$A$495,0))="Objective","Objectives go in the next column",IF(OR(D118="",INDEX('Dashboard Items'!$B$2:$B$495,MATCH(E118,'Dashboard Items'!$A$2:$A$495,0))=D118),INDEX('Dashboard Items'!$C$2:$C$495,MATCH(E118,'Dashboard Items'!$A$2:$A$495,0)),"Level does not match ID")),"ID not found"))</f>
        <v>Community Development &amp; Planning</v>
      </c>
      <c r="G118" s="98"/>
      <c r="H118" s="97" t="str">
        <f>IF(G118="","",IF(ISNUMBER(SEARCH(",",G118)),"Several items (the script lists them)",IFERROR(INDEX('Dashboard Items'!$B$2:$B$495,MATCH(G118,'Dashboard Items'!$A$2:$A$495,0))&amp;": "&amp;INDEX('Dashboard Items'!$C$2:$C$495,MATCH(G118,'Dashboard Items'!$A$2:$A$495,0)),"ID not found")))</f>
        <v/>
      </c>
      <c r="I118" s="95"/>
      <c r="J118" s="95"/>
      <c r="K118" s="95"/>
      <c r="L118" s="95"/>
      <c r="M118" s="95"/>
      <c r="N118" s="95"/>
      <c r="O118" s="95"/>
      <c r="P118" s="95"/>
      <c r="Q118" s="95"/>
      <c r="R118" s="95"/>
      <c r="S118" s="95"/>
      <c r="T118" s="95"/>
      <c r="U118" s="99" t="str">
        <f>IF(B118="","",IF(IF(D118&lt;&gt;"",D118,IFERROR(INDEX('Dashboard Items'!$B$2:$B$495,MATCH(E118,'Dashboard Items'!$A$2:$A$495,0)),""))="Key Service",IF(O118="No","Key Service: shown, not counted","Counts in Key Service gauge"),IF(IF(D118&lt;&gt;"",D118,IFERROR(INDEX('Dashboard Items'!$B$2:$B$495,MATCH(E118,'Dashboard Items'!$A$2:$A$495,0)),""))="Program",IF(ISNUMBER(SEARCH("ks",G118)),IF(O118="No","Program, also at Key Service: not counted","Counts in Key Service gauge + sets Program chip"),IF(O118="No","Program: shown, no status chip","Sets Program status chip")),IF(IF(D118&lt;&gt;"",D118,IFERROR(INDEX('Dashboard Items'!$B$2:$B$495,MATCH(E118,'Dashboard Items'!$A$2:$A$495,0)),""))="Work System","Work System: shown, not counted","Check Level"))))</f>
        <v>Counts in Key Service gauge</v>
      </c>
    </row>
    <row r="119" spans="1:21" ht="15" customHeight="1" x14ac:dyDescent="0.2">
      <c r="A119" s="94" t="str">
        <f t="shared" si="3"/>
        <v>COMDEV</v>
      </c>
      <c r="B119" s="95" t="s">
        <v>723</v>
      </c>
      <c r="C119" s="96" t="s">
        <v>724</v>
      </c>
      <c r="D119" s="95" t="s">
        <v>29</v>
      </c>
      <c r="E119" s="95" t="s">
        <v>681</v>
      </c>
      <c r="F119" s="97" t="str">
        <f>IF(E119="","",IFERROR(IF(INDEX('Dashboard Items'!$B$2:$B$495,MATCH(E119,'Dashboard Items'!$A$2:$A$495,0))="Objective","Objectives go in the next column",IF(OR(D119="",INDEX('Dashboard Items'!$B$2:$B$495,MATCH(E119,'Dashboard Items'!$A$2:$A$495,0))=D119),INDEX('Dashboard Items'!$C$2:$C$495,MATCH(E119,'Dashboard Items'!$A$2:$A$495,0)),"Level does not match ID")),"ID not found"))</f>
        <v>Community Development &amp; Planning</v>
      </c>
      <c r="G119" s="98" t="s">
        <v>161</v>
      </c>
      <c r="H119" s="97" t="str">
        <f>IF(G119="","",IF(ISNUMBER(SEARCH(",",G119)),"Several items (the script lists them)",IFERROR(INDEX('Dashboard Items'!$B$2:$B$495,MATCH(G119,'Dashboard Items'!$A$2:$A$495,0))&amp;": "&amp;INDEX('Dashboard Items'!$C$2:$C$495,MATCH(G119,'Dashboard Items'!$A$2:$A$495,0)),"ID not found")))</f>
        <v>Program: Development Review &amp; Permitting (inspections)</v>
      </c>
      <c r="I119" s="95"/>
      <c r="J119" s="95"/>
      <c r="K119" s="95"/>
      <c r="L119" s="95"/>
      <c r="M119" s="95"/>
      <c r="N119" s="95"/>
      <c r="O119" s="95"/>
      <c r="P119" s="95"/>
      <c r="Q119" s="95"/>
      <c r="R119" s="95"/>
      <c r="S119" s="95"/>
      <c r="T119" s="95"/>
      <c r="U119" s="99" t="str">
        <f>IF(B119="","",IF(IF(D119&lt;&gt;"",D119,IFERROR(INDEX('Dashboard Items'!$B$2:$B$495,MATCH(E119,'Dashboard Items'!$A$2:$A$495,0)),""))="Key Service",IF(O119="No","Key Service: shown, not counted","Counts in Key Service gauge"),IF(IF(D119&lt;&gt;"",D119,IFERROR(INDEX('Dashboard Items'!$B$2:$B$495,MATCH(E119,'Dashboard Items'!$A$2:$A$495,0)),""))="Program",IF(ISNUMBER(SEARCH("ks",G119)),IF(O119="No","Program, also at Key Service: not counted","Counts in Key Service gauge + sets Program chip"),IF(O119="No","Program: shown, no status chip","Sets Program status chip")),IF(IF(D119&lt;&gt;"",D119,IFERROR(INDEX('Dashboard Items'!$B$2:$B$495,MATCH(E119,'Dashboard Items'!$A$2:$A$495,0)),""))="Work System","Work System: shown, not counted","Check Level"))))</f>
        <v>Counts in Key Service gauge</v>
      </c>
    </row>
    <row r="120" spans="1:21" ht="15" customHeight="1" x14ac:dyDescent="0.2">
      <c r="A120" s="94" t="str">
        <f t="shared" si="3"/>
        <v>COMDEV</v>
      </c>
      <c r="B120" s="95" t="s">
        <v>725</v>
      </c>
      <c r="C120" s="96" t="s">
        <v>163</v>
      </c>
      <c r="D120" s="95" t="s">
        <v>30</v>
      </c>
      <c r="E120" s="95" t="s">
        <v>161</v>
      </c>
      <c r="F120" s="97" t="str">
        <f>IF(E120="","",IFERROR(IF(INDEX('Dashboard Items'!$B$2:$B$495,MATCH(E120,'Dashboard Items'!$A$2:$A$495,0))="Objective","Objectives go in the next column",IF(OR(D120="",INDEX('Dashboard Items'!$B$2:$B$495,MATCH(E120,'Dashboard Items'!$A$2:$A$495,0))=D120),INDEX('Dashboard Items'!$C$2:$C$495,MATCH(E120,'Dashboard Items'!$A$2:$A$495,0)),"Level does not match ID")),"ID not found"))</f>
        <v>Development Review &amp; Permitting (inspections)</v>
      </c>
      <c r="G120" s="98"/>
      <c r="H120" s="97" t="str">
        <f>IF(G120="","",IF(ISNUMBER(SEARCH(",",G120)),"Several items (the script lists them)",IFERROR(INDEX('Dashboard Items'!$B$2:$B$495,MATCH(G120,'Dashboard Items'!$A$2:$A$495,0))&amp;": "&amp;INDEX('Dashboard Items'!$C$2:$C$495,MATCH(G120,'Dashboard Items'!$A$2:$A$495,0)),"ID not found")))</f>
        <v/>
      </c>
      <c r="I120" s="95"/>
      <c r="J120" s="95"/>
      <c r="K120" s="95"/>
      <c r="L120" s="95"/>
      <c r="M120" s="95"/>
      <c r="N120" s="95"/>
      <c r="O120" s="95"/>
      <c r="P120" s="95"/>
      <c r="Q120" s="95"/>
      <c r="R120" s="95"/>
      <c r="S120" s="95"/>
      <c r="T120" s="95"/>
      <c r="U120" s="99" t="str">
        <f>IF(B120="","",IF(IF(D120&lt;&gt;"",D120,IFERROR(INDEX('Dashboard Items'!$B$2:$B$495,MATCH(E120,'Dashboard Items'!$A$2:$A$495,0)),""))="Key Service",IF(O120="No","Key Service: shown, not counted","Counts in Key Service gauge"),IF(IF(D120&lt;&gt;"",D120,IFERROR(INDEX('Dashboard Items'!$B$2:$B$495,MATCH(E120,'Dashboard Items'!$A$2:$A$495,0)),""))="Program",IF(ISNUMBER(SEARCH("ks",G120)),IF(O120="No","Program, also at Key Service: not counted","Counts in Key Service gauge + sets Program chip"),IF(O120="No","Program: shown, no status chip","Sets Program status chip")),IF(IF(D120&lt;&gt;"",D120,IFERROR(INDEX('Dashboard Items'!$B$2:$B$495,MATCH(E120,'Dashboard Items'!$A$2:$A$495,0)),""))="Work System","Work System: shown, not counted","Check Level"))))</f>
        <v>Sets Program status chip</v>
      </c>
    </row>
    <row r="121" spans="1:21" ht="15" customHeight="1" x14ac:dyDescent="0.2">
      <c r="A121" s="94" t="str">
        <f t="shared" si="3"/>
        <v>COMDEV</v>
      </c>
      <c r="B121" s="95" t="s">
        <v>726</v>
      </c>
      <c r="C121" s="96" t="s">
        <v>164</v>
      </c>
      <c r="D121" s="95" t="s">
        <v>30</v>
      </c>
      <c r="E121" s="95" t="s">
        <v>161</v>
      </c>
      <c r="F121" s="97" t="str">
        <f>IF(E121="","",IFERROR(IF(INDEX('Dashboard Items'!$B$2:$B$495,MATCH(E121,'Dashboard Items'!$A$2:$A$495,0))="Objective","Objectives go in the next column",IF(OR(D121="",INDEX('Dashboard Items'!$B$2:$B$495,MATCH(E121,'Dashboard Items'!$A$2:$A$495,0))=D121),INDEX('Dashboard Items'!$C$2:$C$495,MATCH(E121,'Dashboard Items'!$A$2:$A$495,0)),"Level does not match ID")),"ID not found"))</f>
        <v>Development Review &amp; Permitting (inspections)</v>
      </c>
      <c r="G121" s="98"/>
      <c r="H121" s="97" t="str">
        <f>IF(G121="","",IF(ISNUMBER(SEARCH(",",G121)),"Several items (the script lists them)",IFERROR(INDEX('Dashboard Items'!$B$2:$B$495,MATCH(G121,'Dashboard Items'!$A$2:$A$495,0))&amp;": "&amp;INDEX('Dashboard Items'!$C$2:$C$495,MATCH(G121,'Dashboard Items'!$A$2:$A$495,0)),"ID not found")))</f>
        <v/>
      </c>
      <c r="I121" s="95"/>
      <c r="J121" s="95"/>
      <c r="K121" s="95"/>
      <c r="L121" s="95"/>
      <c r="M121" s="95"/>
      <c r="N121" s="95"/>
      <c r="O121" s="95"/>
      <c r="P121" s="95"/>
      <c r="Q121" s="95"/>
      <c r="R121" s="95"/>
      <c r="S121" s="95"/>
      <c r="T121" s="95"/>
      <c r="U121" s="99" t="str">
        <f>IF(B121="","",IF(IF(D121&lt;&gt;"",D121,IFERROR(INDEX('Dashboard Items'!$B$2:$B$495,MATCH(E121,'Dashboard Items'!$A$2:$A$495,0)),""))="Key Service",IF(O121="No","Key Service: shown, not counted","Counts in Key Service gauge"),IF(IF(D121&lt;&gt;"",D121,IFERROR(INDEX('Dashboard Items'!$B$2:$B$495,MATCH(E121,'Dashboard Items'!$A$2:$A$495,0)),""))="Program",IF(ISNUMBER(SEARCH("ks",G121)),IF(O121="No","Program, also at Key Service: not counted","Counts in Key Service gauge + sets Program chip"),IF(O121="No","Program: shown, no status chip","Sets Program status chip")),IF(IF(D121&lt;&gt;"",D121,IFERROR(INDEX('Dashboard Items'!$B$2:$B$495,MATCH(E121,'Dashboard Items'!$A$2:$A$495,0)),""))="Work System","Work System: shown, not counted","Check Level"))))</f>
        <v>Sets Program status chip</v>
      </c>
    </row>
    <row r="122" spans="1:21" ht="15" customHeight="1" x14ac:dyDescent="0.2">
      <c r="A122" s="94" t="str">
        <f t="shared" si="3"/>
        <v>COMDEV</v>
      </c>
      <c r="B122" s="95" t="s">
        <v>727</v>
      </c>
      <c r="C122" s="96" t="s">
        <v>165</v>
      </c>
      <c r="D122" s="95" t="s">
        <v>30</v>
      </c>
      <c r="E122" s="95" t="s">
        <v>161</v>
      </c>
      <c r="F122" s="97" t="str">
        <f>IF(E122="","",IFERROR(IF(INDEX('Dashboard Items'!$B$2:$B$495,MATCH(E122,'Dashboard Items'!$A$2:$A$495,0))="Objective","Objectives go in the next column",IF(OR(D122="",INDEX('Dashboard Items'!$B$2:$B$495,MATCH(E122,'Dashboard Items'!$A$2:$A$495,0))=D122),INDEX('Dashboard Items'!$C$2:$C$495,MATCH(E122,'Dashboard Items'!$A$2:$A$495,0)),"Level does not match ID")),"ID not found"))</f>
        <v>Development Review &amp; Permitting (inspections)</v>
      </c>
      <c r="G122" s="98"/>
      <c r="H122" s="97" t="str">
        <f>IF(G122="","",IF(ISNUMBER(SEARCH(",",G122)),"Several items (the script lists them)",IFERROR(INDEX('Dashboard Items'!$B$2:$B$495,MATCH(G122,'Dashboard Items'!$A$2:$A$495,0))&amp;": "&amp;INDEX('Dashboard Items'!$C$2:$C$495,MATCH(G122,'Dashboard Items'!$A$2:$A$495,0)),"ID not found")))</f>
        <v/>
      </c>
      <c r="I122" s="95"/>
      <c r="J122" s="95"/>
      <c r="K122" s="95"/>
      <c r="L122" s="95"/>
      <c r="M122" s="95"/>
      <c r="N122" s="95"/>
      <c r="O122" s="95"/>
      <c r="P122" s="95"/>
      <c r="Q122" s="95"/>
      <c r="R122" s="95"/>
      <c r="S122" s="95"/>
      <c r="T122" s="95"/>
      <c r="U122" s="99" t="str">
        <f>IF(B122="","",IF(IF(D122&lt;&gt;"",D122,IFERROR(INDEX('Dashboard Items'!$B$2:$B$495,MATCH(E122,'Dashboard Items'!$A$2:$A$495,0)),""))="Key Service",IF(O122="No","Key Service: shown, not counted","Counts in Key Service gauge"),IF(IF(D122&lt;&gt;"",D122,IFERROR(INDEX('Dashboard Items'!$B$2:$B$495,MATCH(E122,'Dashboard Items'!$A$2:$A$495,0)),""))="Program",IF(ISNUMBER(SEARCH("ks",G122)),IF(O122="No","Program, also at Key Service: not counted","Counts in Key Service gauge + sets Program chip"),IF(O122="No","Program: shown, no status chip","Sets Program status chip")),IF(IF(D122&lt;&gt;"",D122,IFERROR(INDEX('Dashboard Items'!$B$2:$B$495,MATCH(E122,'Dashboard Items'!$A$2:$A$495,0)),""))="Work System","Work System: shown, not counted","Check Level"))))</f>
        <v>Sets Program status chip</v>
      </c>
    </row>
    <row r="123" spans="1:21" ht="15" customHeight="1" x14ac:dyDescent="0.2">
      <c r="A123" s="94" t="str">
        <f t="shared" si="3"/>
        <v>COMDEV</v>
      </c>
      <c r="B123" s="95" t="s">
        <v>728</v>
      </c>
      <c r="C123" s="96" t="s">
        <v>159</v>
      </c>
      <c r="D123" s="95" t="s">
        <v>30</v>
      </c>
      <c r="E123" s="95" t="s">
        <v>167</v>
      </c>
      <c r="F123" s="97" t="str">
        <f>IF(E123="","",IFERROR(IF(INDEX('Dashboard Items'!$B$2:$B$495,MATCH(E123,'Dashboard Items'!$A$2:$A$495,0))="Objective","Objectives go in the next column",IF(OR(D123="",INDEX('Dashboard Items'!$B$2:$B$495,MATCH(E123,'Dashboard Items'!$A$2:$A$495,0))=D123),INDEX('Dashboard Items'!$C$2:$C$495,MATCH(E123,'Dashboard Items'!$A$2:$A$495,0)),"Level does not match ID")),"ID not found"))</f>
        <v>Housing Initiatives</v>
      </c>
      <c r="G123" s="98" t="s">
        <v>156</v>
      </c>
      <c r="H123" s="97" t="str">
        <f>IF(G123="","",IF(ISNUMBER(SEARCH(",",G123)),"Several items (the script lists them)",IFERROR(INDEX('Dashboard Items'!$B$2:$B$495,MATCH(G123,'Dashboard Items'!$A$2:$A$495,0))&amp;": "&amp;INDEX('Dashboard Items'!$C$2:$C$495,MATCH(G123,'Dashboard Items'!$A$2:$A$495,0)),"ID not found")))</f>
        <v>Program: Long Range Comprehensive Planning</v>
      </c>
      <c r="I123" s="95"/>
      <c r="J123" s="95"/>
      <c r="K123" s="95"/>
      <c r="L123" s="95"/>
      <c r="M123" s="95"/>
      <c r="N123" s="95"/>
      <c r="O123" s="95"/>
      <c r="P123" s="95"/>
      <c r="Q123" s="95"/>
      <c r="R123" s="95"/>
      <c r="S123" s="95"/>
      <c r="T123" s="95"/>
      <c r="U123" s="99" t="str">
        <f>IF(B123="","",IF(IF(D123&lt;&gt;"",D123,IFERROR(INDEX('Dashboard Items'!$B$2:$B$495,MATCH(E123,'Dashboard Items'!$A$2:$A$495,0)),""))="Key Service",IF(O123="No","Key Service: shown, not counted","Counts in Key Service gauge"),IF(IF(D123&lt;&gt;"",D123,IFERROR(INDEX('Dashboard Items'!$B$2:$B$495,MATCH(E123,'Dashboard Items'!$A$2:$A$495,0)),""))="Program",IF(ISNUMBER(SEARCH("ks",G123)),IF(O123="No","Program, also at Key Service: not counted","Counts in Key Service gauge + sets Program chip"),IF(O123="No","Program: shown, no status chip","Sets Program status chip")),IF(IF(D123&lt;&gt;"",D123,IFERROR(INDEX('Dashboard Items'!$B$2:$B$495,MATCH(E123,'Dashboard Items'!$A$2:$A$495,0)),""))="Work System","Work System: shown, not counted","Check Level"))))</f>
        <v>Sets Program status chip</v>
      </c>
    </row>
    <row r="124" spans="1:21" ht="15" customHeight="1" x14ac:dyDescent="0.2">
      <c r="A124" s="94" t="str">
        <f t="shared" si="3"/>
        <v>COMDEV</v>
      </c>
      <c r="B124" s="95" t="s">
        <v>729</v>
      </c>
      <c r="C124" s="96" t="s">
        <v>730</v>
      </c>
      <c r="D124" s="95" t="s">
        <v>30</v>
      </c>
      <c r="E124" s="95" t="s">
        <v>167</v>
      </c>
      <c r="F124" s="97" t="str">
        <f>IF(E124="","",IFERROR(IF(INDEX('Dashboard Items'!$B$2:$B$495,MATCH(E124,'Dashboard Items'!$A$2:$A$495,0))="Objective","Objectives go in the next column",IF(OR(D124="",INDEX('Dashboard Items'!$B$2:$B$495,MATCH(E124,'Dashboard Items'!$A$2:$A$495,0))=D124),INDEX('Dashboard Items'!$C$2:$C$495,MATCH(E124,'Dashboard Items'!$A$2:$A$495,0)),"Level does not match ID")),"ID not found"))</f>
        <v>Housing Initiatives</v>
      </c>
      <c r="G124" s="98"/>
      <c r="H124" s="97" t="str">
        <f>IF(G124="","",IF(ISNUMBER(SEARCH(",",G124)),"Several items (the script lists them)",IFERROR(INDEX('Dashboard Items'!$B$2:$B$495,MATCH(G124,'Dashboard Items'!$A$2:$A$495,0))&amp;": "&amp;INDEX('Dashboard Items'!$C$2:$C$495,MATCH(G124,'Dashboard Items'!$A$2:$A$495,0)),"ID not found")))</f>
        <v/>
      </c>
      <c r="I124" s="95"/>
      <c r="J124" s="95"/>
      <c r="K124" s="95"/>
      <c r="L124" s="95"/>
      <c r="M124" s="95"/>
      <c r="N124" s="95"/>
      <c r="O124" s="95"/>
      <c r="P124" s="95"/>
      <c r="Q124" s="95"/>
      <c r="R124" s="95"/>
      <c r="S124" s="95"/>
      <c r="T124" s="95"/>
      <c r="U124" s="99" t="str">
        <f>IF(B124="","",IF(IF(D124&lt;&gt;"",D124,IFERROR(INDEX('Dashboard Items'!$B$2:$B$495,MATCH(E124,'Dashboard Items'!$A$2:$A$495,0)),""))="Key Service",IF(O124="No","Key Service: shown, not counted","Counts in Key Service gauge"),IF(IF(D124&lt;&gt;"",D124,IFERROR(INDEX('Dashboard Items'!$B$2:$B$495,MATCH(E124,'Dashboard Items'!$A$2:$A$495,0)),""))="Program",IF(ISNUMBER(SEARCH("ks",G124)),IF(O124="No","Program, also at Key Service: not counted","Counts in Key Service gauge + sets Program chip"),IF(O124="No","Program: shown, no status chip","Sets Program status chip")),IF(IF(D124&lt;&gt;"",D124,IFERROR(INDEX('Dashboard Items'!$B$2:$B$495,MATCH(E124,'Dashboard Items'!$A$2:$A$495,0)),""))="Work System","Work System: shown, not counted","Check Level"))))</f>
        <v>Sets Program status chip</v>
      </c>
    </row>
    <row r="125" spans="1:21" ht="15" customHeight="1" x14ac:dyDescent="0.2">
      <c r="A125" s="94" t="str">
        <f t="shared" si="3"/>
        <v>COMDEV</v>
      </c>
      <c r="B125" s="95" t="s">
        <v>731</v>
      </c>
      <c r="C125" s="96" t="s">
        <v>171</v>
      </c>
      <c r="D125" s="95" t="s">
        <v>30</v>
      </c>
      <c r="E125" s="95" t="s">
        <v>170</v>
      </c>
      <c r="F125" s="97" t="str">
        <f>IF(E125="","",IFERROR(IF(INDEX('Dashboard Items'!$B$2:$B$495,MATCH(E125,'Dashboard Items'!$A$2:$A$495,0))="Objective","Objectives go in the next column",IF(OR(D125="",INDEX('Dashboard Items'!$B$2:$B$495,MATCH(E125,'Dashboard Items'!$A$2:$A$495,0))=D125),INDEX('Dashboard Items'!$C$2:$C$495,MATCH(E125,'Dashboard Items'!$A$2:$A$495,0)),"Level does not match ID")),"ID not found"))</f>
        <v>Historical Preservation</v>
      </c>
      <c r="G125" s="98"/>
      <c r="H125" s="97" t="str">
        <f>IF(G125="","",IF(ISNUMBER(SEARCH(",",G125)),"Several items (the script lists them)",IFERROR(INDEX('Dashboard Items'!$B$2:$B$495,MATCH(G125,'Dashboard Items'!$A$2:$A$495,0))&amp;": "&amp;INDEX('Dashboard Items'!$C$2:$C$495,MATCH(G125,'Dashboard Items'!$A$2:$A$495,0)),"ID not found")))</f>
        <v/>
      </c>
      <c r="I125" s="95"/>
      <c r="J125" s="95"/>
      <c r="K125" s="95"/>
      <c r="L125" s="95"/>
      <c r="M125" s="95"/>
      <c r="N125" s="95"/>
      <c r="O125" s="95"/>
      <c r="P125" s="95"/>
      <c r="Q125" s="95"/>
      <c r="R125" s="95"/>
      <c r="S125" s="95"/>
      <c r="T125" s="95"/>
      <c r="U125" s="99" t="str">
        <f>IF(B125="","",IF(IF(D125&lt;&gt;"",D125,IFERROR(INDEX('Dashboard Items'!$B$2:$B$495,MATCH(E125,'Dashboard Items'!$A$2:$A$495,0)),""))="Key Service",IF(O125="No","Key Service: shown, not counted","Counts in Key Service gauge"),IF(IF(D125&lt;&gt;"",D125,IFERROR(INDEX('Dashboard Items'!$B$2:$B$495,MATCH(E125,'Dashboard Items'!$A$2:$A$495,0)),""))="Program",IF(ISNUMBER(SEARCH("ks",G125)),IF(O125="No","Program, also at Key Service: not counted","Counts in Key Service gauge + sets Program chip"),IF(O125="No","Program: shown, no status chip","Sets Program status chip")),IF(IF(D125&lt;&gt;"",D125,IFERROR(INDEX('Dashboard Items'!$B$2:$B$495,MATCH(E125,'Dashboard Items'!$A$2:$A$495,0)),""))="Work System","Work System: shown, not counted","Check Level"))))</f>
        <v>Sets Program status chip</v>
      </c>
    </row>
    <row r="126" spans="1:21" ht="15" customHeight="1" x14ac:dyDescent="0.2">
      <c r="A126" s="94" t="str">
        <f t="shared" si="3"/>
        <v>PD</v>
      </c>
      <c r="B126" s="95" t="s">
        <v>732</v>
      </c>
      <c r="C126" s="96" t="s">
        <v>229</v>
      </c>
      <c r="D126" s="95" t="s">
        <v>30</v>
      </c>
      <c r="E126" s="95" t="s">
        <v>225</v>
      </c>
      <c r="F126" s="97" t="str">
        <f>IF(E126="","",IFERROR(IF(INDEX('Dashboard Items'!$B$2:$B$495,MATCH(E126,'Dashboard Items'!$A$2:$A$495,0))="Objective","Objectives go in the next column",IF(OR(D126="",INDEX('Dashboard Items'!$B$2:$B$495,MATCH(E126,'Dashboard Items'!$A$2:$A$495,0))=D126),INDEX('Dashboard Items'!$C$2:$C$495,MATCH(E126,'Dashboard Items'!$A$2:$A$495,0)),"Level does not match ID")),"ID not found"))</f>
        <v>Special Operations</v>
      </c>
      <c r="G126" s="98"/>
      <c r="H126" s="97" t="str">
        <f>IF(G126="","",IF(ISNUMBER(SEARCH(",",G126)),"Several items (the script lists them)",IFERROR(INDEX('Dashboard Items'!$B$2:$B$495,MATCH(G126,'Dashboard Items'!$A$2:$A$495,0))&amp;": "&amp;INDEX('Dashboard Items'!$C$2:$C$495,MATCH(G126,'Dashboard Items'!$A$2:$A$495,0)),"ID not found")))</f>
        <v/>
      </c>
      <c r="I126" s="95"/>
      <c r="J126" s="95"/>
      <c r="K126" s="95"/>
      <c r="L126" s="95"/>
      <c r="M126" s="95"/>
      <c r="N126" s="95"/>
      <c r="O126" s="95"/>
      <c r="P126" s="95"/>
      <c r="Q126" s="95"/>
      <c r="R126" s="95"/>
      <c r="S126" s="95"/>
      <c r="T126" s="95"/>
      <c r="U126" s="99" t="str">
        <f>IF(B126="","",IF(IF(D126&lt;&gt;"",D126,IFERROR(INDEX('Dashboard Items'!$B$2:$B$495,MATCH(E126,'Dashboard Items'!$A$2:$A$495,0)),""))="Key Service",IF(O126="No","Key Service: shown, not counted","Counts in Key Service gauge"),IF(IF(D126&lt;&gt;"",D126,IFERROR(INDEX('Dashboard Items'!$B$2:$B$495,MATCH(E126,'Dashboard Items'!$A$2:$A$495,0)),""))="Program",IF(ISNUMBER(SEARCH("ks",G126)),IF(O126="No","Program, also at Key Service: not counted","Counts in Key Service gauge + sets Program chip"),IF(O126="No","Program: shown, no status chip","Sets Program status chip")),IF(IF(D126&lt;&gt;"",D126,IFERROR(INDEX('Dashboard Items'!$B$2:$B$495,MATCH(E126,'Dashboard Items'!$A$2:$A$495,0)),""))="Work System","Work System: shown, not counted","Check Level"))))</f>
        <v>Sets Program status chip</v>
      </c>
    </row>
    <row r="127" spans="1:21" ht="15" customHeight="1" x14ac:dyDescent="0.2">
      <c r="A127" s="94" t="str">
        <f t="shared" si="3"/>
        <v>COURT</v>
      </c>
      <c r="B127" s="95" t="s">
        <v>733</v>
      </c>
      <c r="C127" s="96" t="s">
        <v>241</v>
      </c>
      <c r="D127" s="95" t="s">
        <v>30</v>
      </c>
      <c r="E127" s="95" t="s">
        <v>240</v>
      </c>
      <c r="F127" s="97" t="str">
        <f>IF(E127="","",IFERROR(IF(INDEX('Dashboard Items'!$B$2:$B$495,MATCH(E127,'Dashboard Items'!$A$2:$A$495,0))="Objective","Objectives go in the next column",IF(OR(D127="",INDEX('Dashboard Items'!$B$2:$B$495,MATCH(E127,'Dashboard Items'!$A$2:$A$495,0))=D127),INDEX('Dashboard Items'!$C$2:$C$495,MATCH(E127,'Dashboard Items'!$A$2:$A$495,0)),"Level does not match ID")),"ID not found"))</f>
        <v>Municipal Court Administration</v>
      </c>
      <c r="G127" s="98"/>
      <c r="H127" s="97" t="str">
        <f>IF(G127="","",IF(ISNUMBER(SEARCH(",",G127)),"Several items (the script lists them)",IFERROR(INDEX('Dashboard Items'!$B$2:$B$495,MATCH(G127,'Dashboard Items'!$A$2:$A$495,0))&amp;": "&amp;INDEX('Dashboard Items'!$C$2:$C$495,MATCH(G127,'Dashboard Items'!$A$2:$A$495,0)),"ID not found")))</f>
        <v/>
      </c>
      <c r="I127" s="95"/>
      <c r="J127" s="95"/>
      <c r="K127" s="95"/>
      <c r="L127" s="95"/>
      <c r="M127" s="95"/>
      <c r="N127" s="95"/>
      <c r="O127" s="95"/>
      <c r="P127" s="95"/>
      <c r="Q127" s="95"/>
      <c r="R127" s="95"/>
      <c r="S127" s="95"/>
      <c r="T127" s="95"/>
      <c r="U127" s="99" t="str">
        <f>IF(B127="","",IF(IF(D127&lt;&gt;"",D127,IFERROR(INDEX('Dashboard Items'!$B$2:$B$495,MATCH(E127,'Dashboard Items'!$A$2:$A$495,0)),""))="Key Service",IF(O127="No","Key Service: shown, not counted","Counts in Key Service gauge"),IF(IF(D127&lt;&gt;"",D127,IFERROR(INDEX('Dashboard Items'!$B$2:$B$495,MATCH(E127,'Dashboard Items'!$A$2:$A$495,0)),""))="Program",IF(ISNUMBER(SEARCH("ks",G127)),IF(O127="No","Program, also at Key Service: not counted","Counts in Key Service gauge + sets Program chip"),IF(O127="No","Program: shown, no status chip","Sets Program status chip")),IF(IF(D127&lt;&gt;"",D127,IFERROR(INDEX('Dashboard Items'!$B$2:$B$495,MATCH(E127,'Dashboard Items'!$A$2:$A$495,0)),""))="Work System","Work System: shown, not counted","Check Level"))))</f>
        <v>Sets Program status chip</v>
      </c>
    </row>
    <row r="128" spans="1:21" ht="15" customHeight="1" x14ac:dyDescent="0.2">
      <c r="A128" s="94" t="str">
        <f t="shared" si="3"/>
        <v>COURT</v>
      </c>
      <c r="B128" s="95" t="s">
        <v>734</v>
      </c>
      <c r="C128" s="96" t="s">
        <v>242</v>
      </c>
      <c r="D128" s="95" t="s">
        <v>30</v>
      </c>
      <c r="E128" s="95" t="s">
        <v>240</v>
      </c>
      <c r="F128" s="97" t="str">
        <f>IF(E128="","",IFERROR(IF(INDEX('Dashboard Items'!$B$2:$B$495,MATCH(E128,'Dashboard Items'!$A$2:$A$495,0))="Objective","Objectives go in the next column",IF(OR(D128="",INDEX('Dashboard Items'!$B$2:$B$495,MATCH(E128,'Dashboard Items'!$A$2:$A$495,0))=D128),INDEX('Dashboard Items'!$C$2:$C$495,MATCH(E128,'Dashboard Items'!$A$2:$A$495,0)),"Level does not match ID")),"ID not found"))</f>
        <v>Municipal Court Administration</v>
      </c>
      <c r="G128" s="98"/>
      <c r="H128" s="97" t="str">
        <f>IF(G128="","",IF(ISNUMBER(SEARCH(",",G128)),"Several items (the script lists them)",IFERROR(INDEX('Dashboard Items'!$B$2:$B$495,MATCH(G128,'Dashboard Items'!$A$2:$A$495,0))&amp;": "&amp;INDEX('Dashboard Items'!$C$2:$C$495,MATCH(G128,'Dashboard Items'!$A$2:$A$495,0)),"ID not found")))</f>
        <v/>
      </c>
      <c r="I128" s="95"/>
      <c r="J128" s="95"/>
      <c r="K128" s="95"/>
      <c r="L128" s="95"/>
      <c r="M128" s="95"/>
      <c r="N128" s="95"/>
      <c r="O128" s="95"/>
      <c r="P128" s="95"/>
      <c r="Q128" s="95"/>
      <c r="R128" s="95"/>
      <c r="S128" s="95"/>
      <c r="T128" s="95"/>
      <c r="U128" s="99" t="str">
        <f>IF(B128="","",IF(IF(D128&lt;&gt;"",D128,IFERROR(INDEX('Dashboard Items'!$B$2:$B$495,MATCH(E128,'Dashboard Items'!$A$2:$A$495,0)),""))="Key Service",IF(O128="No","Key Service: shown, not counted","Counts in Key Service gauge"),IF(IF(D128&lt;&gt;"",D128,IFERROR(INDEX('Dashboard Items'!$B$2:$B$495,MATCH(E128,'Dashboard Items'!$A$2:$A$495,0)),""))="Program",IF(ISNUMBER(SEARCH("ks",G128)),IF(O128="No","Program, also at Key Service: not counted","Counts in Key Service gauge + sets Program chip"),IF(O128="No","Program: shown, no status chip","Sets Program status chip")),IF(IF(D128&lt;&gt;"",D128,IFERROR(INDEX('Dashboard Items'!$B$2:$B$495,MATCH(E128,'Dashboard Items'!$A$2:$A$495,0)),""))="Work System","Work System: shown, not counted","Check Level"))))</f>
        <v>Sets Program status chip</v>
      </c>
    </row>
    <row r="129" spans="1:21" ht="15" customHeight="1" x14ac:dyDescent="0.2">
      <c r="A129" s="94" t="str">
        <f t="shared" si="3"/>
        <v>COURT</v>
      </c>
      <c r="B129" s="95" t="s">
        <v>735</v>
      </c>
      <c r="C129" s="96" t="s">
        <v>243</v>
      </c>
      <c r="D129" s="95" t="s">
        <v>30</v>
      </c>
      <c r="E129" s="95" t="s">
        <v>240</v>
      </c>
      <c r="F129" s="97" t="str">
        <f>IF(E129="","",IFERROR(IF(INDEX('Dashboard Items'!$B$2:$B$495,MATCH(E129,'Dashboard Items'!$A$2:$A$495,0))="Objective","Objectives go in the next column",IF(OR(D129="",INDEX('Dashboard Items'!$B$2:$B$495,MATCH(E129,'Dashboard Items'!$A$2:$A$495,0))=D129),INDEX('Dashboard Items'!$C$2:$C$495,MATCH(E129,'Dashboard Items'!$A$2:$A$495,0)),"Level does not match ID")),"ID not found"))</f>
        <v>Municipal Court Administration</v>
      </c>
      <c r="G129" s="98"/>
      <c r="H129" s="97" t="str">
        <f>IF(G129="","",IF(ISNUMBER(SEARCH(",",G129)),"Several items (the script lists them)",IFERROR(INDEX('Dashboard Items'!$B$2:$B$495,MATCH(G129,'Dashboard Items'!$A$2:$A$495,0))&amp;": "&amp;INDEX('Dashboard Items'!$C$2:$C$495,MATCH(G129,'Dashboard Items'!$A$2:$A$495,0)),"ID not found")))</f>
        <v/>
      </c>
      <c r="I129" s="95"/>
      <c r="J129" s="95"/>
      <c r="K129" s="95"/>
      <c r="L129" s="95"/>
      <c r="M129" s="95"/>
      <c r="N129" s="95"/>
      <c r="O129" s="95"/>
      <c r="P129" s="95"/>
      <c r="Q129" s="95"/>
      <c r="R129" s="95"/>
      <c r="S129" s="95"/>
      <c r="T129" s="95"/>
      <c r="U129" s="99" t="str">
        <f>IF(B129="","",IF(IF(D129&lt;&gt;"",D129,IFERROR(INDEX('Dashboard Items'!$B$2:$B$495,MATCH(E129,'Dashboard Items'!$A$2:$A$495,0)),""))="Key Service",IF(O129="No","Key Service: shown, not counted","Counts in Key Service gauge"),IF(IF(D129&lt;&gt;"",D129,IFERROR(INDEX('Dashboard Items'!$B$2:$B$495,MATCH(E129,'Dashboard Items'!$A$2:$A$495,0)),""))="Program",IF(ISNUMBER(SEARCH("ks",G129)),IF(O129="No","Program, also at Key Service: not counted","Counts in Key Service gauge + sets Program chip"),IF(O129="No","Program: shown, no status chip","Sets Program status chip")),IF(IF(D129&lt;&gt;"",D129,IFERROR(INDEX('Dashboard Items'!$B$2:$B$495,MATCH(E129,'Dashboard Items'!$A$2:$A$495,0)),""))="Work System","Work System: shown, not counted","Check Level"))))</f>
        <v>Sets Program status chip</v>
      </c>
    </row>
    <row r="130" spans="1:21" ht="15" customHeight="1" x14ac:dyDescent="0.2">
      <c r="A130" s="94" t="str">
        <f t="shared" ref="A130:A161" si="4">LEFT(B130, FIND("-", B130) - 1)</f>
        <v>TRAN</v>
      </c>
      <c r="B130" s="95" t="s">
        <v>736</v>
      </c>
      <c r="C130" s="96" t="s">
        <v>737</v>
      </c>
      <c r="D130" s="95" t="s">
        <v>29</v>
      </c>
      <c r="E130" s="95" t="s">
        <v>691</v>
      </c>
      <c r="F130" s="97" t="str">
        <f>IF(E130="","",IFERROR(IF(INDEX('Dashboard Items'!$B$2:$B$495,MATCH(E130,'Dashboard Items'!$A$2:$A$495,0))="Objective","Objectives go in the next column",IF(OR(D130="",INDEX('Dashboard Items'!$B$2:$B$495,MATCH(E130,'Dashboard Items'!$A$2:$A$495,0))=D130),INDEX('Dashboard Items'!$C$2:$C$495,MATCH(E130,'Dashboard Items'!$A$2:$A$495,0)),"Level does not match ID")),"ID not found"))</f>
        <v>Transit Services</v>
      </c>
      <c r="G130" s="98"/>
      <c r="H130" s="97" t="str">
        <f>IF(G130="","",IF(ISNUMBER(SEARCH(",",G130)),"Several items (the script lists them)",IFERROR(INDEX('Dashboard Items'!$B$2:$B$495,MATCH(G130,'Dashboard Items'!$A$2:$A$495,0))&amp;": "&amp;INDEX('Dashboard Items'!$C$2:$C$495,MATCH(G130,'Dashboard Items'!$A$2:$A$495,0)),"ID not found")))</f>
        <v/>
      </c>
      <c r="I130" s="95"/>
      <c r="J130" s="95"/>
      <c r="K130" s="95"/>
      <c r="L130" s="95"/>
      <c r="M130" s="95"/>
      <c r="N130" s="95"/>
      <c r="O130" s="95"/>
      <c r="P130" s="95"/>
      <c r="Q130" s="95"/>
      <c r="R130" s="95"/>
      <c r="S130" s="95"/>
      <c r="T130" s="95"/>
      <c r="U130" s="99" t="str">
        <f>IF(B130="","",IF(IF(D130&lt;&gt;"",D130,IFERROR(INDEX('Dashboard Items'!$B$2:$B$495,MATCH(E130,'Dashboard Items'!$A$2:$A$495,0)),""))="Key Service",IF(O130="No","Key Service: shown, not counted","Counts in Key Service gauge"),IF(IF(D130&lt;&gt;"",D130,IFERROR(INDEX('Dashboard Items'!$B$2:$B$495,MATCH(E130,'Dashboard Items'!$A$2:$A$495,0)),""))="Program",IF(ISNUMBER(SEARCH("ks",G130)),IF(O130="No","Program, also at Key Service: not counted","Counts in Key Service gauge + sets Program chip"),IF(O130="No","Program: shown, no status chip","Sets Program status chip")),IF(IF(D130&lt;&gt;"",D130,IFERROR(INDEX('Dashboard Items'!$B$2:$B$495,MATCH(E130,'Dashboard Items'!$A$2:$A$495,0)),""))="Work System","Work System: shown, not counted","Check Level"))))</f>
        <v>Counts in Key Service gauge</v>
      </c>
    </row>
    <row r="131" spans="1:21" ht="15" customHeight="1" x14ac:dyDescent="0.2">
      <c r="A131" s="94" t="str">
        <f t="shared" si="4"/>
        <v>PR</v>
      </c>
      <c r="B131" s="95" t="s">
        <v>738</v>
      </c>
      <c r="C131" s="96" t="s">
        <v>739</v>
      </c>
      <c r="D131" s="95" t="s">
        <v>29</v>
      </c>
      <c r="E131" s="95" t="s">
        <v>740</v>
      </c>
      <c r="F131" s="97" t="str">
        <f>IF(E131="","",IFERROR(IF(INDEX('Dashboard Items'!$B$2:$B$495,MATCH(E131,'Dashboard Items'!$A$2:$A$495,0))="Objective","Objectives go in the next column",IF(OR(D131="",INDEX('Dashboard Items'!$B$2:$B$495,MATCH(E131,'Dashboard Items'!$A$2:$A$495,0))=D131),INDEX('Dashboard Items'!$C$2:$C$495,MATCH(E131,'Dashboard Items'!$A$2:$A$495,0)),"Level does not match ID")),"ID not found"))</f>
        <v>Parks &amp; Open Space Management</v>
      </c>
      <c r="G131" s="98"/>
      <c r="H131" s="97" t="str">
        <f>IF(G131="","",IF(ISNUMBER(SEARCH(",",G131)),"Several items (the script lists them)",IFERROR(INDEX('Dashboard Items'!$B$2:$B$495,MATCH(G131,'Dashboard Items'!$A$2:$A$495,0))&amp;": "&amp;INDEX('Dashboard Items'!$C$2:$C$495,MATCH(G131,'Dashboard Items'!$A$2:$A$495,0)),"ID not found")))</f>
        <v/>
      </c>
      <c r="I131" s="95"/>
      <c r="J131" s="95"/>
      <c r="K131" s="95"/>
      <c r="L131" s="95"/>
      <c r="M131" s="95"/>
      <c r="N131" s="95"/>
      <c r="O131" s="95"/>
      <c r="P131" s="95"/>
      <c r="Q131" s="95"/>
      <c r="R131" s="95"/>
      <c r="S131" s="95"/>
      <c r="T131" s="95"/>
      <c r="U131" s="99" t="str">
        <f>IF(B131="","",IF(IF(D131&lt;&gt;"",D131,IFERROR(INDEX('Dashboard Items'!$B$2:$B$495,MATCH(E131,'Dashboard Items'!$A$2:$A$495,0)),""))="Key Service",IF(O131="No","Key Service: shown, not counted","Counts in Key Service gauge"),IF(IF(D131&lt;&gt;"",D131,IFERROR(INDEX('Dashboard Items'!$B$2:$B$495,MATCH(E131,'Dashboard Items'!$A$2:$A$495,0)),""))="Program",IF(ISNUMBER(SEARCH("ks",G131)),IF(O131="No","Program, also at Key Service: not counted","Counts in Key Service gauge + sets Program chip"),IF(O131="No","Program: shown, no status chip","Sets Program status chip")),IF(IF(D131&lt;&gt;"",D131,IFERROR(INDEX('Dashboard Items'!$B$2:$B$495,MATCH(E131,'Dashboard Items'!$A$2:$A$495,0)),""))="Work System","Work System: shown, not counted","Check Level"))))</f>
        <v>Counts in Key Service gauge</v>
      </c>
    </row>
    <row r="132" spans="1:21" ht="15" customHeight="1" x14ac:dyDescent="0.2">
      <c r="A132" s="94" t="str">
        <f t="shared" si="4"/>
        <v>PR</v>
      </c>
      <c r="B132" s="95" t="s">
        <v>741</v>
      </c>
      <c r="C132" s="96" t="s">
        <v>742</v>
      </c>
      <c r="D132" s="95" t="s">
        <v>29</v>
      </c>
      <c r="E132" s="95" t="s">
        <v>740</v>
      </c>
      <c r="F132" s="97" t="str">
        <f>IF(E132="","",IFERROR(IF(INDEX('Dashboard Items'!$B$2:$B$495,MATCH(E132,'Dashboard Items'!$A$2:$A$495,0))="Objective","Objectives go in the next column",IF(OR(D132="",INDEX('Dashboard Items'!$B$2:$B$495,MATCH(E132,'Dashboard Items'!$A$2:$A$495,0))=D132),INDEX('Dashboard Items'!$C$2:$C$495,MATCH(E132,'Dashboard Items'!$A$2:$A$495,0)),"Level does not match ID")),"ID not found"))</f>
        <v>Parks &amp; Open Space Management</v>
      </c>
      <c r="G132" s="98"/>
      <c r="H132" s="97" t="str">
        <f>IF(G132="","",IF(ISNUMBER(SEARCH(",",G132)),"Several items (the script lists them)",IFERROR(INDEX('Dashboard Items'!$B$2:$B$495,MATCH(G132,'Dashboard Items'!$A$2:$A$495,0))&amp;": "&amp;INDEX('Dashboard Items'!$C$2:$C$495,MATCH(G132,'Dashboard Items'!$A$2:$A$495,0)),"ID not found")))</f>
        <v/>
      </c>
      <c r="I132" s="95"/>
      <c r="J132" s="95"/>
      <c r="K132" s="95"/>
      <c r="L132" s="95"/>
      <c r="M132" s="95"/>
      <c r="N132" s="95"/>
      <c r="O132" s="95"/>
      <c r="P132" s="95"/>
      <c r="Q132" s="95"/>
      <c r="R132" s="95"/>
      <c r="S132" s="95"/>
      <c r="T132" s="95"/>
      <c r="U132" s="99" t="str">
        <f>IF(B132="","",IF(IF(D132&lt;&gt;"",D132,IFERROR(INDEX('Dashboard Items'!$B$2:$B$495,MATCH(E132,'Dashboard Items'!$A$2:$A$495,0)),""))="Key Service",IF(O132="No","Key Service: shown, not counted","Counts in Key Service gauge"),IF(IF(D132&lt;&gt;"",D132,IFERROR(INDEX('Dashboard Items'!$B$2:$B$495,MATCH(E132,'Dashboard Items'!$A$2:$A$495,0)),""))="Program",IF(ISNUMBER(SEARCH("ks",G132)),IF(O132="No","Program, also at Key Service: not counted","Counts in Key Service gauge + sets Program chip"),IF(O132="No","Program: shown, no status chip","Sets Program status chip")),IF(IF(D132&lt;&gt;"",D132,IFERROR(INDEX('Dashboard Items'!$B$2:$B$495,MATCH(E132,'Dashboard Items'!$A$2:$A$495,0)),""))="Work System","Work System: shown, not counted","Check Level"))))</f>
        <v>Counts in Key Service gauge</v>
      </c>
    </row>
    <row r="133" spans="1:21" ht="15" customHeight="1" x14ac:dyDescent="0.2">
      <c r="A133" s="94" t="str">
        <f t="shared" si="4"/>
        <v>PR</v>
      </c>
      <c r="B133" s="95" t="s">
        <v>743</v>
      </c>
      <c r="C133" s="96" t="s">
        <v>744</v>
      </c>
      <c r="D133" s="95" t="s">
        <v>29</v>
      </c>
      <c r="E133" s="95" t="s">
        <v>740</v>
      </c>
      <c r="F133" s="97" t="str">
        <f>IF(E133="","",IFERROR(IF(INDEX('Dashboard Items'!$B$2:$B$495,MATCH(E133,'Dashboard Items'!$A$2:$A$495,0))="Objective","Objectives go in the next column",IF(OR(D133="",INDEX('Dashboard Items'!$B$2:$B$495,MATCH(E133,'Dashboard Items'!$A$2:$A$495,0))=D133),INDEX('Dashboard Items'!$C$2:$C$495,MATCH(E133,'Dashboard Items'!$A$2:$A$495,0)),"Level does not match ID")),"ID not found"))</f>
        <v>Parks &amp; Open Space Management</v>
      </c>
      <c r="G133" s="98"/>
      <c r="H133" s="97" t="str">
        <f>IF(G133="","",IF(ISNUMBER(SEARCH(",",G133)),"Several items (the script lists them)",IFERROR(INDEX('Dashboard Items'!$B$2:$B$495,MATCH(G133,'Dashboard Items'!$A$2:$A$495,0))&amp;": "&amp;INDEX('Dashboard Items'!$C$2:$C$495,MATCH(G133,'Dashboard Items'!$A$2:$A$495,0)),"ID not found")))</f>
        <v/>
      </c>
      <c r="I133" s="95"/>
      <c r="J133" s="95"/>
      <c r="K133" s="95"/>
      <c r="L133" s="95"/>
      <c r="M133" s="95"/>
      <c r="N133" s="95"/>
      <c r="O133" s="95"/>
      <c r="P133" s="95"/>
      <c r="Q133" s="95"/>
      <c r="R133" s="95"/>
      <c r="S133" s="95"/>
      <c r="T133" s="95"/>
      <c r="U133" s="99" t="str">
        <f>IF(B133="","",IF(IF(D133&lt;&gt;"",D133,IFERROR(INDEX('Dashboard Items'!$B$2:$B$495,MATCH(E133,'Dashboard Items'!$A$2:$A$495,0)),""))="Key Service",IF(O133="No","Key Service: shown, not counted","Counts in Key Service gauge"),IF(IF(D133&lt;&gt;"",D133,IFERROR(INDEX('Dashboard Items'!$B$2:$B$495,MATCH(E133,'Dashboard Items'!$A$2:$A$495,0)),""))="Program",IF(ISNUMBER(SEARCH("ks",G133)),IF(O133="No","Program, also at Key Service: not counted","Counts in Key Service gauge + sets Program chip"),IF(O133="No","Program: shown, no status chip","Sets Program status chip")),IF(IF(D133&lt;&gt;"",D133,IFERROR(INDEX('Dashboard Items'!$B$2:$B$495,MATCH(E133,'Dashboard Items'!$A$2:$A$495,0)),""))="Work System","Work System: shown, not counted","Check Level"))))</f>
        <v>Counts in Key Service gauge</v>
      </c>
    </row>
    <row r="134" spans="1:21" ht="15" customHeight="1" x14ac:dyDescent="0.2">
      <c r="A134" s="94" t="str">
        <f t="shared" si="4"/>
        <v>PR</v>
      </c>
      <c r="B134" s="95" t="s">
        <v>745</v>
      </c>
      <c r="C134" s="96" t="s">
        <v>354</v>
      </c>
      <c r="D134" s="95" t="s">
        <v>30</v>
      </c>
      <c r="E134" s="95" t="s">
        <v>353</v>
      </c>
      <c r="F134" s="97" t="str">
        <f>IF(E134="","",IFERROR(IF(INDEX('Dashboard Items'!$B$2:$B$495,MATCH(E134,'Dashboard Items'!$A$2:$A$495,0))="Objective","Objectives go in the next column",IF(OR(D134="",INDEX('Dashboard Items'!$B$2:$B$495,MATCH(E134,'Dashboard Items'!$A$2:$A$495,0))=D134),INDEX('Dashboard Items'!$C$2:$C$495,MATCH(E134,'Dashboard Items'!$A$2:$A$495,0)),"Level does not match ID")),"ID not found"))</f>
        <v>Park Management</v>
      </c>
      <c r="G134" s="98"/>
      <c r="H134" s="97" t="str">
        <f>IF(G134="","",IF(ISNUMBER(SEARCH(",",G134)),"Several items (the script lists them)",IFERROR(INDEX('Dashboard Items'!$B$2:$B$495,MATCH(G134,'Dashboard Items'!$A$2:$A$495,0))&amp;": "&amp;INDEX('Dashboard Items'!$C$2:$C$495,MATCH(G134,'Dashboard Items'!$A$2:$A$495,0)),"ID not found")))</f>
        <v/>
      </c>
      <c r="I134" s="95"/>
      <c r="J134" s="95"/>
      <c r="K134" s="95"/>
      <c r="L134" s="95"/>
      <c r="M134" s="95"/>
      <c r="N134" s="95"/>
      <c r="O134" s="95"/>
      <c r="P134" s="95"/>
      <c r="Q134" s="95"/>
      <c r="R134" s="95"/>
      <c r="S134" s="95"/>
      <c r="T134" s="95"/>
      <c r="U134" s="99" t="str">
        <f>IF(B134="","",IF(IF(D134&lt;&gt;"",D134,IFERROR(INDEX('Dashboard Items'!$B$2:$B$495,MATCH(E134,'Dashboard Items'!$A$2:$A$495,0)),""))="Key Service",IF(O134="No","Key Service: shown, not counted","Counts in Key Service gauge"),IF(IF(D134&lt;&gt;"",D134,IFERROR(INDEX('Dashboard Items'!$B$2:$B$495,MATCH(E134,'Dashboard Items'!$A$2:$A$495,0)),""))="Program",IF(ISNUMBER(SEARCH("ks",G134)),IF(O134="No","Program, also at Key Service: not counted","Counts in Key Service gauge + sets Program chip"),IF(O134="No","Program: shown, no status chip","Sets Program status chip")),IF(IF(D134&lt;&gt;"",D134,IFERROR(INDEX('Dashboard Items'!$B$2:$B$495,MATCH(E134,'Dashboard Items'!$A$2:$A$495,0)),""))="Work System","Work System: shown, not counted","Check Level"))))</f>
        <v>Sets Program status chip</v>
      </c>
    </row>
    <row r="135" spans="1:21" ht="15" customHeight="1" x14ac:dyDescent="0.2">
      <c r="A135" s="94" t="str">
        <f t="shared" si="4"/>
        <v>PR</v>
      </c>
      <c r="B135" s="95" t="s">
        <v>746</v>
      </c>
      <c r="C135" s="96" t="s">
        <v>355</v>
      </c>
      <c r="D135" s="95" t="s">
        <v>30</v>
      </c>
      <c r="E135" s="95" t="s">
        <v>353</v>
      </c>
      <c r="F135" s="97" t="str">
        <f>IF(E135="","",IFERROR(IF(INDEX('Dashboard Items'!$B$2:$B$495,MATCH(E135,'Dashboard Items'!$A$2:$A$495,0))="Objective","Objectives go in the next column",IF(OR(D135="",INDEX('Dashboard Items'!$B$2:$B$495,MATCH(E135,'Dashboard Items'!$A$2:$A$495,0))=D135),INDEX('Dashboard Items'!$C$2:$C$495,MATCH(E135,'Dashboard Items'!$A$2:$A$495,0)),"Level does not match ID")),"ID not found"))</f>
        <v>Park Management</v>
      </c>
      <c r="G135" s="98"/>
      <c r="H135" s="97" t="str">
        <f>IF(G135="","",IF(ISNUMBER(SEARCH(",",G135)),"Several items (the script lists them)",IFERROR(INDEX('Dashboard Items'!$B$2:$B$495,MATCH(G135,'Dashboard Items'!$A$2:$A$495,0))&amp;": "&amp;INDEX('Dashboard Items'!$C$2:$C$495,MATCH(G135,'Dashboard Items'!$A$2:$A$495,0)),"ID not found")))</f>
        <v/>
      </c>
      <c r="I135" s="95"/>
      <c r="J135" s="95"/>
      <c r="K135" s="95"/>
      <c r="L135" s="95"/>
      <c r="M135" s="95"/>
      <c r="N135" s="95"/>
      <c r="O135" s="95"/>
      <c r="P135" s="95"/>
      <c r="Q135" s="95"/>
      <c r="R135" s="95"/>
      <c r="S135" s="95"/>
      <c r="T135" s="95"/>
      <c r="U135" s="99" t="str">
        <f>IF(B135="","",IF(IF(D135&lt;&gt;"",D135,IFERROR(INDEX('Dashboard Items'!$B$2:$B$495,MATCH(E135,'Dashboard Items'!$A$2:$A$495,0)),""))="Key Service",IF(O135="No","Key Service: shown, not counted","Counts in Key Service gauge"),IF(IF(D135&lt;&gt;"",D135,IFERROR(INDEX('Dashboard Items'!$B$2:$B$495,MATCH(E135,'Dashboard Items'!$A$2:$A$495,0)),""))="Program",IF(ISNUMBER(SEARCH("ks",G135)),IF(O135="No","Program, also at Key Service: not counted","Counts in Key Service gauge + sets Program chip"),IF(O135="No","Program: shown, no status chip","Sets Program status chip")),IF(IF(D135&lt;&gt;"",D135,IFERROR(INDEX('Dashboard Items'!$B$2:$B$495,MATCH(E135,'Dashboard Items'!$A$2:$A$495,0)),""))="Work System","Work System: shown, not counted","Check Level"))))</f>
        <v>Sets Program status chip</v>
      </c>
    </row>
    <row r="136" spans="1:21" ht="15" customHeight="1" x14ac:dyDescent="0.2">
      <c r="A136" s="94" t="str">
        <f t="shared" si="4"/>
        <v>PR</v>
      </c>
      <c r="B136" s="95" t="s">
        <v>747</v>
      </c>
      <c r="C136" s="96" t="s">
        <v>358</v>
      </c>
      <c r="D136" s="95" t="s">
        <v>30</v>
      </c>
      <c r="E136" s="95" t="s">
        <v>357</v>
      </c>
      <c r="F136" s="97" t="str">
        <f>IF(E136="","",IFERROR(IF(INDEX('Dashboard Items'!$B$2:$B$495,MATCH(E136,'Dashboard Items'!$A$2:$A$495,0))="Objective","Objectives go in the next column",IF(OR(D136="",INDEX('Dashboard Items'!$B$2:$B$495,MATCH(E136,'Dashboard Items'!$A$2:$A$495,0))=D136),INDEX('Dashboard Items'!$C$2:$C$495,MATCH(E136,'Dashboard Items'!$A$2:$A$495,0)),"Level does not match ID")),"ID not found"))</f>
        <v>Cemetery</v>
      </c>
      <c r="G136" s="98"/>
      <c r="H136" s="97" t="str">
        <f>IF(G136="","",IF(ISNUMBER(SEARCH(",",G136)),"Several items (the script lists them)",IFERROR(INDEX('Dashboard Items'!$B$2:$B$495,MATCH(G136,'Dashboard Items'!$A$2:$A$495,0))&amp;": "&amp;INDEX('Dashboard Items'!$C$2:$C$495,MATCH(G136,'Dashboard Items'!$A$2:$A$495,0)),"ID not found")))</f>
        <v/>
      </c>
      <c r="I136" s="95"/>
      <c r="J136" s="95"/>
      <c r="K136" s="95"/>
      <c r="L136" s="95"/>
      <c r="M136" s="95"/>
      <c r="N136" s="95"/>
      <c r="O136" s="95"/>
      <c r="P136" s="95"/>
      <c r="Q136" s="95"/>
      <c r="R136" s="95"/>
      <c r="S136" s="95"/>
      <c r="T136" s="95"/>
      <c r="U136" s="99" t="str">
        <f>IF(B136="","",IF(IF(D136&lt;&gt;"",D136,IFERROR(INDEX('Dashboard Items'!$B$2:$B$495,MATCH(E136,'Dashboard Items'!$A$2:$A$495,0)),""))="Key Service",IF(O136="No","Key Service: shown, not counted","Counts in Key Service gauge"),IF(IF(D136&lt;&gt;"",D136,IFERROR(INDEX('Dashboard Items'!$B$2:$B$495,MATCH(E136,'Dashboard Items'!$A$2:$A$495,0)),""))="Program",IF(ISNUMBER(SEARCH("ks",G136)),IF(O136="No","Program, also at Key Service: not counted","Counts in Key Service gauge + sets Program chip"),IF(O136="No","Program: shown, no status chip","Sets Program status chip")),IF(IF(D136&lt;&gt;"",D136,IFERROR(INDEX('Dashboard Items'!$B$2:$B$495,MATCH(E136,'Dashboard Items'!$A$2:$A$495,0)),""))="Work System","Work System: shown, not counted","Check Level"))))</f>
        <v>Sets Program status chip</v>
      </c>
    </row>
    <row r="137" spans="1:21" ht="15" customHeight="1" x14ac:dyDescent="0.2">
      <c r="A137" s="94" t="str">
        <f t="shared" si="4"/>
        <v>PR</v>
      </c>
      <c r="B137" s="95" t="s">
        <v>748</v>
      </c>
      <c r="C137" s="96" t="s">
        <v>359</v>
      </c>
      <c r="D137" s="95" t="s">
        <v>30</v>
      </c>
      <c r="E137" s="95" t="s">
        <v>357</v>
      </c>
      <c r="F137" s="97" t="str">
        <f>IF(E137="","",IFERROR(IF(INDEX('Dashboard Items'!$B$2:$B$495,MATCH(E137,'Dashboard Items'!$A$2:$A$495,0))="Objective","Objectives go in the next column",IF(OR(D137="",INDEX('Dashboard Items'!$B$2:$B$495,MATCH(E137,'Dashboard Items'!$A$2:$A$495,0))=D137),INDEX('Dashboard Items'!$C$2:$C$495,MATCH(E137,'Dashboard Items'!$A$2:$A$495,0)),"Level does not match ID")),"ID not found"))</f>
        <v>Cemetery</v>
      </c>
      <c r="G137" s="98"/>
      <c r="H137" s="97" t="str">
        <f>IF(G137="","",IF(ISNUMBER(SEARCH(",",G137)),"Several items (the script lists them)",IFERROR(INDEX('Dashboard Items'!$B$2:$B$495,MATCH(G137,'Dashboard Items'!$A$2:$A$495,0))&amp;": "&amp;INDEX('Dashboard Items'!$C$2:$C$495,MATCH(G137,'Dashboard Items'!$A$2:$A$495,0)),"ID not found")))</f>
        <v/>
      </c>
      <c r="I137" s="95"/>
      <c r="J137" s="95"/>
      <c r="K137" s="95"/>
      <c r="L137" s="95"/>
      <c r="M137" s="95"/>
      <c r="N137" s="95"/>
      <c r="O137" s="95"/>
      <c r="P137" s="95"/>
      <c r="Q137" s="95"/>
      <c r="R137" s="95"/>
      <c r="S137" s="95"/>
      <c r="T137" s="95"/>
      <c r="U137" s="99" t="str">
        <f>IF(B137="","",IF(IF(D137&lt;&gt;"",D137,IFERROR(INDEX('Dashboard Items'!$B$2:$B$495,MATCH(E137,'Dashboard Items'!$A$2:$A$495,0)),""))="Key Service",IF(O137="No","Key Service: shown, not counted","Counts in Key Service gauge"),IF(IF(D137&lt;&gt;"",D137,IFERROR(INDEX('Dashboard Items'!$B$2:$B$495,MATCH(E137,'Dashboard Items'!$A$2:$A$495,0)),""))="Program",IF(ISNUMBER(SEARCH("ks",G137)),IF(O137="No","Program, also at Key Service: not counted","Counts in Key Service gauge + sets Program chip"),IF(O137="No","Program: shown, no status chip","Sets Program status chip")),IF(IF(D137&lt;&gt;"",D137,IFERROR(INDEX('Dashboard Items'!$B$2:$B$495,MATCH(E137,'Dashboard Items'!$A$2:$A$495,0)),""))="Work System","Work System: shown, not counted","Check Level"))))</f>
        <v>Sets Program status chip</v>
      </c>
    </row>
    <row r="138" spans="1:21" ht="15" customHeight="1" x14ac:dyDescent="0.2">
      <c r="A138" s="94" t="str">
        <f t="shared" si="4"/>
        <v>PR</v>
      </c>
      <c r="B138" s="95" t="s">
        <v>749</v>
      </c>
      <c r="C138" s="96" t="s">
        <v>362</v>
      </c>
      <c r="D138" s="95" t="s">
        <v>30</v>
      </c>
      <c r="E138" s="95" t="s">
        <v>361</v>
      </c>
      <c r="F138" s="97" t="str">
        <f>IF(E138="","",IFERROR(IF(INDEX('Dashboard Items'!$B$2:$B$495,MATCH(E138,'Dashboard Items'!$A$2:$A$495,0))="Objective","Objectives go in the next column",IF(OR(D138="",INDEX('Dashboard Items'!$B$2:$B$495,MATCH(E138,'Dashboard Items'!$A$2:$A$495,0))=D138),INDEX('Dashboard Items'!$C$2:$C$495,MATCH(E138,'Dashboard Items'!$A$2:$A$495,0)),"Level does not match ID")),"ID not found"))</f>
        <v>Trails</v>
      </c>
      <c r="G138" s="98"/>
      <c r="H138" s="97" t="str">
        <f>IF(G138="","",IF(ISNUMBER(SEARCH(",",G138)),"Several items (the script lists them)",IFERROR(INDEX('Dashboard Items'!$B$2:$B$495,MATCH(G138,'Dashboard Items'!$A$2:$A$495,0))&amp;": "&amp;INDEX('Dashboard Items'!$C$2:$C$495,MATCH(G138,'Dashboard Items'!$A$2:$A$495,0)),"ID not found")))</f>
        <v/>
      </c>
      <c r="I138" s="95"/>
      <c r="J138" s="95"/>
      <c r="K138" s="95"/>
      <c r="L138" s="95"/>
      <c r="M138" s="95"/>
      <c r="N138" s="95"/>
      <c r="O138" s="95"/>
      <c r="P138" s="95"/>
      <c r="Q138" s="95"/>
      <c r="R138" s="95"/>
      <c r="S138" s="95"/>
      <c r="T138" s="95"/>
      <c r="U138" s="99" t="str">
        <f>IF(B138="","",IF(IF(D138&lt;&gt;"",D138,IFERROR(INDEX('Dashboard Items'!$B$2:$B$495,MATCH(E138,'Dashboard Items'!$A$2:$A$495,0)),""))="Key Service",IF(O138="No","Key Service: shown, not counted","Counts in Key Service gauge"),IF(IF(D138&lt;&gt;"",D138,IFERROR(INDEX('Dashboard Items'!$B$2:$B$495,MATCH(E138,'Dashboard Items'!$A$2:$A$495,0)),""))="Program",IF(ISNUMBER(SEARCH("ks",G138)),IF(O138="No","Program, also at Key Service: not counted","Counts in Key Service gauge + sets Program chip"),IF(O138="No","Program: shown, no status chip","Sets Program status chip")),IF(IF(D138&lt;&gt;"",D138,IFERROR(INDEX('Dashboard Items'!$B$2:$B$495,MATCH(E138,'Dashboard Items'!$A$2:$A$495,0)),""))="Work System","Work System: shown, not counted","Check Level"))))</f>
        <v>Sets Program status chip</v>
      </c>
    </row>
    <row r="139" spans="1:21" ht="15" customHeight="1" x14ac:dyDescent="0.2">
      <c r="A139" s="94" t="str">
        <f t="shared" si="4"/>
        <v>PR</v>
      </c>
      <c r="B139" s="95" t="s">
        <v>750</v>
      </c>
      <c r="C139" s="96" t="s">
        <v>751</v>
      </c>
      <c r="D139" s="95" t="s">
        <v>30</v>
      </c>
      <c r="E139" s="95" t="s">
        <v>364</v>
      </c>
      <c r="F139" s="97" t="str">
        <f>IF(E139="","",IFERROR(IF(INDEX('Dashboard Items'!$B$2:$B$495,MATCH(E139,'Dashboard Items'!$A$2:$A$495,0))="Objective","Objectives go in the next column",IF(OR(D139="",INDEX('Dashboard Items'!$B$2:$B$495,MATCH(E139,'Dashboard Items'!$A$2:$A$495,0))=D139),INDEX('Dashboard Items'!$C$2:$C$495,MATCH(E139,'Dashboard Items'!$A$2:$A$495,0)),"Level does not match ID")),"ID not found"))</f>
        <v>Lake Nighthorse</v>
      </c>
      <c r="G139" s="98"/>
      <c r="H139" s="97" t="str">
        <f>IF(G139="","",IF(ISNUMBER(SEARCH(",",G139)),"Several items (the script lists them)",IFERROR(INDEX('Dashboard Items'!$B$2:$B$495,MATCH(G139,'Dashboard Items'!$A$2:$A$495,0))&amp;": "&amp;INDEX('Dashboard Items'!$C$2:$C$495,MATCH(G139,'Dashboard Items'!$A$2:$A$495,0)),"ID not found")))</f>
        <v/>
      </c>
      <c r="I139" s="95"/>
      <c r="J139" s="95"/>
      <c r="K139" s="95"/>
      <c r="L139" s="95"/>
      <c r="M139" s="95"/>
      <c r="N139" s="95"/>
      <c r="O139" s="95"/>
      <c r="P139" s="95"/>
      <c r="Q139" s="95"/>
      <c r="R139" s="95"/>
      <c r="S139" s="95"/>
      <c r="T139" s="95"/>
      <c r="U139" s="99" t="str">
        <f>IF(B139="","",IF(IF(D139&lt;&gt;"",D139,IFERROR(INDEX('Dashboard Items'!$B$2:$B$495,MATCH(E139,'Dashboard Items'!$A$2:$A$495,0)),""))="Key Service",IF(O139="No","Key Service: shown, not counted","Counts in Key Service gauge"),IF(IF(D139&lt;&gt;"",D139,IFERROR(INDEX('Dashboard Items'!$B$2:$B$495,MATCH(E139,'Dashboard Items'!$A$2:$A$495,0)),""))="Program",IF(ISNUMBER(SEARCH("ks",G139)),IF(O139="No","Program, also at Key Service: not counted","Counts in Key Service gauge + sets Program chip"),IF(O139="No","Program: shown, no status chip","Sets Program status chip")),IF(IF(D139&lt;&gt;"",D139,IFERROR(INDEX('Dashboard Items'!$B$2:$B$495,MATCH(E139,'Dashboard Items'!$A$2:$A$495,0)),""))="Work System","Work System: shown, not counted","Check Level"))))</f>
        <v>Sets Program status chip</v>
      </c>
    </row>
    <row r="140" spans="1:21" ht="15" customHeight="1" x14ac:dyDescent="0.2">
      <c r="A140" s="94" t="str">
        <f t="shared" si="4"/>
        <v>PR</v>
      </c>
      <c r="B140" s="95" t="s">
        <v>752</v>
      </c>
      <c r="C140" s="96" t="s">
        <v>753</v>
      </c>
      <c r="D140" s="95" t="s">
        <v>30</v>
      </c>
      <c r="E140" s="95" t="s">
        <v>364</v>
      </c>
      <c r="F140" s="97" t="str">
        <f>IF(E140="","",IFERROR(IF(INDEX('Dashboard Items'!$B$2:$B$495,MATCH(E140,'Dashboard Items'!$A$2:$A$495,0))="Objective","Objectives go in the next column",IF(OR(D140="",INDEX('Dashboard Items'!$B$2:$B$495,MATCH(E140,'Dashboard Items'!$A$2:$A$495,0))=D140),INDEX('Dashboard Items'!$C$2:$C$495,MATCH(E140,'Dashboard Items'!$A$2:$A$495,0)),"Level does not match ID")),"ID not found"))</f>
        <v>Lake Nighthorse</v>
      </c>
      <c r="G140" s="98"/>
      <c r="H140" s="97" t="str">
        <f>IF(G140="","",IF(ISNUMBER(SEARCH(",",G140)),"Several items (the script lists them)",IFERROR(INDEX('Dashboard Items'!$B$2:$B$495,MATCH(G140,'Dashboard Items'!$A$2:$A$495,0))&amp;": "&amp;INDEX('Dashboard Items'!$C$2:$C$495,MATCH(G140,'Dashboard Items'!$A$2:$A$495,0)),"ID not found")))</f>
        <v/>
      </c>
      <c r="I140" s="95"/>
      <c r="J140" s="95"/>
      <c r="K140" s="95"/>
      <c r="L140" s="95"/>
      <c r="M140" s="95"/>
      <c r="N140" s="95"/>
      <c r="O140" s="95"/>
      <c r="P140" s="95"/>
      <c r="Q140" s="95"/>
      <c r="R140" s="95"/>
      <c r="S140" s="95"/>
      <c r="T140" s="95"/>
      <c r="U140" s="99" t="str">
        <f>IF(B140="","",IF(IF(D140&lt;&gt;"",D140,IFERROR(INDEX('Dashboard Items'!$B$2:$B$495,MATCH(E140,'Dashboard Items'!$A$2:$A$495,0)),""))="Key Service",IF(O140="No","Key Service: shown, not counted","Counts in Key Service gauge"),IF(IF(D140&lt;&gt;"",D140,IFERROR(INDEX('Dashboard Items'!$B$2:$B$495,MATCH(E140,'Dashboard Items'!$A$2:$A$495,0)),""))="Program",IF(ISNUMBER(SEARCH("ks",G140)),IF(O140="No","Program, also at Key Service: not counted","Counts in Key Service gauge + sets Program chip"),IF(O140="No","Program: shown, no status chip","Sets Program status chip")),IF(IF(D140&lt;&gt;"",D140,IFERROR(INDEX('Dashboard Items'!$B$2:$B$495,MATCH(E140,'Dashboard Items'!$A$2:$A$495,0)),""))="Work System","Work System: shown, not counted","Check Level"))))</f>
        <v>Sets Program status chip</v>
      </c>
    </row>
    <row r="141" spans="1:21" ht="15" customHeight="1" x14ac:dyDescent="0.2">
      <c r="A141" s="94" t="str">
        <f t="shared" si="4"/>
        <v>PR</v>
      </c>
      <c r="B141" s="95" t="s">
        <v>754</v>
      </c>
      <c r="C141" s="96" t="s">
        <v>755</v>
      </c>
      <c r="D141" s="95" t="s">
        <v>30</v>
      </c>
      <c r="E141" s="95" t="s">
        <v>368</v>
      </c>
      <c r="F141" s="97" t="str">
        <f>IF(E141="","",IFERROR(IF(INDEX('Dashboard Items'!$B$2:$B$495,MATCH(E141,'Dashboard Items'!$A$2:$A$495,0))="Objective","Objectives go in the next column",IF(OR(D141="",INDEX('Dashboard Items'!$B$2:$B$495,MATCH(E141,'Dashboard Items'!$A$2:$A$495,0))=D141),INDEX('Dashboard Items'!$C$2:$C$495,MATCH(E141,'Dashboard Items'!$A$2:$A$495,0)),"Level does not match ID")),"ID not found"))</f>
        <v>Open Space Management</v>
      </c>
      <c r="G141" s="98"/>
      <c r="H141" s="97" t="str">
        <f>IF(G141="","",IF(ISNUMBER(SEARCH(",",G141)),"Several items (the script lists them)",IFERROR(INDEX('Dashboard Items'!$B$2:$B$495,MATCH(G141,'Dashboard Items'!$A$2:$A$495,0))&amp;": "&amp;INDEX('Dashboard Items'!$C$2:$C$495,MATCH(G141,'Dashboard Items'!$A$2:$A$495,0)),"ID not found")))</f>
        <v/>
      </c>
      <c r="I141" s="95"/>
      <c r="J141" s="95"/>
      <c r="K141" s="95"/>
      <c r="L141" s="95"/>
      <c r="M141" s="95"/>
      <c r="N141" s="95"/>
      <c r="O141" s="95"/>
      <c r="P141" s="95"/>
      <c r="Q141" s="95"/>
      <c r="R141" s="95"/>
      <c r="S141" s="95"/>
      <c r="T141" s="95"/>
      <c r="U141" s="99" t="str">
        <f>IF(B141="","",IF(IF(D141&lt;&gt;"",D141,IFERROR(INDEX('Dashboard Items'!$B$2:$B$495,MATCH(E141,'Dashboard Items'!$A$2:$A$495,0)),""))="Key Service",IF(O141="No","Key Service: shown, not counted","Counts in Key Service gauge"),IF(IF(D141&lt;&gt;"",D141,IFERROR(INDEX('Dashboard Items'!$B$2:$B$495,MATCH(E141,'Dashboard Items'!$A$2:$A$495,0)),""))="Program",IF(ISNUMBER(SEARCH("ks",G141)),IF(O141="No","Program, also at Key Service: not counted","Counts in Key Service gauge + sets Program chip"),IF(O141="No","Program: shown, no status chip","Sets Program status chip")),IF(IF(D141&lt;&gt;"",D141,IFERROR(INDEX('Dashboard Items'!$B$2:$B$495,MATCH(E141,'Dashboard Items'!$A$2:$A$495,0)),""))="Work System","Work System: shown, not counted","Check Level"))))</f>
        <v>Sets Program status chip</v>
      </c>
    </row>
    <row r="142" spans="1:21" ht="15" customHeight="1" x14ac:dyDescent="0.2">
      <c r="A142" s="94" t="str">
        <f t="shared" si="4"/>
        <v>PR</v>
      </c>
      <c r="B142" s="95" t="s">
        <v>756</v>
      </c>
      <c r="C142" s="96" t="s">
        <v>757</v>
      </c>
      <c r="D142" s="95" t="s">
        <v>30</v>
      </c>
      <c r="E142" s="95" t="s">
        <v>368</v>
      </c>
      <c r="F142" s="97" t="str">
        <f>IF(E142="","",IFERROR(IF(INDEX('Dashboard Items'!$B$2:$B$495,MATCH(E142,'Dashboard Items'!$A$2:$A$495,0))="Objective","Objectives go in the next column",IF(OR(D142="",INDEX('Dashboard Items'!$B$2:$B$495,MATCH(E142,'Dashboard Items'!$A$2:$A$495,0))=D142),INDEX('Dashboard Items'!$C$2:$C$495,MATCH(E142,'Dashboard Items'!$A$2:$A$495,0)),"Level does not match ID")),"ID not found"))</f>
        <v>Open Space Management</v>
      </c>
      <c r="G142" s="98"/>
      <c r="H142" s="97" t="str">
        <f>IF(G142="","",IF(ISNUMBER(SEARCH(",",G142)),"Several items (the script lists them)",IFERROR(INDEX('Dashboard Items'!$B$2:$B$495,MATCH(G142,'Dashboard Items'!$A$2:$A$495,0))&amp;": "&amp;INDEX('Dashboard Items'!$C$2:$C$495,MATCH(G142,'Dashboard Items'!$A$2:$A$495,0)),"ID not found")))</f>
        <v/>
      </c>
      <c r="I142" s="95"/>
      <c r="J142" s="95"/>
      <c r="K142" s="95"/>
      <c r="L142" s="95"/>
      <c r="M142" s="95"/>
      <c r="N142" s="95"/>
      <c r="O142" s="95"/>
      <c r="P142" s="95"/>
      <c r="Q142" s="95"/>
      <c r="R142" s="95"/>
      <c r="S142" s="95"/>
      <c r="T142" s="95"/>
      <c r="U142" s="99" t="str">
        <f>IF(B142="","",IF(IF(D142&lt;&gt;"",D142,IFERROR(INDEX('Dashboard Items'!$B$2:$B$495,MATCH(E142,'Dashboard Items'!$A$2:$A$495,0)),""))="Key Service",IF(O142="No","Key Service: shown, not counted","Counts in Key Service gauge"),IF(IF(D142&lt;&gt;"",D142,IFERROR(INDEX('Dashboard Items'!$B$2:$B$495,MATCH(E142,'Dashboard Items'!$A$2:$A$495,0)),""))="Program",IF(ISNUMBER(SEARCH("ks",G142)),IF(O142="No","Program, also at Key Service: not counted","Counts in Key Service gauge + sets Program chip"),IF(O142="No","Program: shown, no status chip","Sets Program status chip")),IF(IF(D142&lt;&gt;"",D142,IFERROR(INDEX('Dashboard Items'!$B$2:$B$495,MATCH(E142,'Dashboard Items'!$A$2:$A$495,0)),""))="Work System","Work System: shown, not counted","Check Level"))))</f>
        <v>Sets Program status chip</v>
      </c>
    </row>
    <row r="143" spans="1:21" ht="15" customHeight="1" x14ac:dyDescent="0.2">
      <c r="A143" s="94" t="str">
        <f t="shared" si="4"/>
        <v>PR</v>
      </c>
      <c r="B143" s="95" t="s">
        <v>758</v>
      </c>
      <c r="C143" s="96" t="s">
        <v>373</v>
      </c>
      <c r="D143" s="95" t="s">
        <v>30</v>
      </c>
      <c r="E143" s="95" t="s">
        <v>372</v>
      </c>
      <c r="F143" s="97" t="str">
        <f>IF(E143="","",IFERROR(IF(INDEX('Dashboard Items'!$B$2:$B$495,MATCH(E143,'Dashboard Items'!$A$2:$A$495,0))="Objective","Objectives go in the next column",IF(OR(D143="",INDEX('Dashboard Items'!$B$2:$B$495,MATCH(E143,'Dashboard Items'!$A$2:$A$495,0))=D143),INDEX('Dashboard Items'!$C$2:$C$495,MATCH(E143,'Dashboard Items'!$A$2:$A$495,0)),"Level does not match ID")),"ID not found"))</f>
        <v>Forestry</v>
      </c>
      <c r="G143" s="98"/>
      <c r="H143" s="97" t="str">
        <f>IF(G143="","",IF(ISNUMBER(SEARCH(",",G143)),"Several items (the script lists them)",IFERROR(INDEX('Dashboard Items'!$B$2:$B$495,MATCH(G143,'Dashboard Items'!$A$2:$A$495,0))&amp;": "&amp;INDEX('Dashboard Items'!$C$2:$C$495,MATCH(G143,'Dashboard Items'!$A$2:$A$495,0)),"ID not found")))</f>
        <v/>
      </c>
      <c r="I143" s="95"/>
      <c r="J143" s="95"/>
      <c r="K143" s="95"/>
      <c r="L143" s="95"/>
      <c r="M143" s="95"/>
      <c r="N143" s="95"/>
      <c r="O143" s="95"/>
      <c r="P143" s="95"/>
      <c r="Q143" s="95"/>
      <c r="R143" s="95"/>
      <c r="S143" s="95"/>
      <c r="T143" s="95"/>
      <c r="U143" s="99" t="str">
        <f>IF(B143="","",IF(IF(D143&lt;&gt;"",D143,IFERROR(INDEX('Dashboard Items'!$B$2:$B$495,MATCH(E143,'Dashboard Items'!$A$2:$A$495,0)),""))="Key Service",IF(O143="No","Key Service: shown, not counted","Counts in Key Service gauge"),IF(IF(D143&lt;&gt;"",D143,IFERROR(INDEX('Dashboard Items'!$B$2:$B$495,MATCH(E143,'Dashboard Items'!$A$2:$A$495,0)),""))="Program",IF(ISNUMBER(SEARCH("ks",G143)),IF(O143="No","Program, also at Key Service: not counted","Counts in Key Service gauge + sets Program chip"),IF(O143="No","Program: shown, no status chip","Sets Program status chip")),IF(IF(D143&lt;&gt;"",D143,IFERROR(INDEX('Dashboard Items'!$B$2:$B$495,MATCH(E143,'Dashboard Items'!$A$2:$A$495,0)),""))="Work System","Work System: shown, not counted","Check Level"))))</f>
        <v>Sets Program status chip</v>
      </c>
    </row>
    <row r="144" spans="1:21" ht="15" customHeight="1" x14ac:dyDescent="0.2">
      <c r="A144" s="94" t="str">
        <f t="shared" si="4"/>
        <v>PR</v>
      </c>
      <c r="B144" s="95" t="s">
        <v>759</v>
      </c>
      <c r="C144" s="96" t="s">
        <v>374</v>
      </c>
      <c r="D144" s="95" t="s">
        <v>30</v>
      </c>
      <c r="E144" s="95" t="s">
        <v>372</v>
      </c>
      <c r="F144" s="97" t="str">
        <f>IF(E144="","",IFERROR(IF(INDEX('Dashboard Items'!$B$2:$B$495,MATCH(E144,'Dashboard Items'!$A$2:$A$495,0))="Objective","Objectives go in the next column",IF(OR(D144="",INDEX('Dashboard Items'!$B$2:$B$495,MATCH(E144,'Dashboard Items'!$A$2:$A$495,0))=D144),INDEX('Dashboard Items'!$C$2:$C$495,MATCH(E144,'Dashboard Items'!$A$2:$A$495,0)),"Level does not match ID")),"ID not found"))</f>
        <v>Forestry</v>
      </c>
      <c r="G144" s="98"/>
      <c r="H144" s="97" t="str">
        <f>IF(G144="","",IF(ISNUMBER(SEARCH(",",G144)),"Several items (the script lists them)",IFERROR(INDEX('Dashboard Items'!$B$2:$B$495,MATCH(G144,'Dashboard Items'!$A$2:$A$495,0))&amp;": "&amp;INDEX('Dashboard Items'!$C$2:$C$495,MATCH(G144,'Dashboard Items'!$A$2:$A$495,0)),"ID not found")))</f>
        <v/>
      </c>
      <c r="I144" s="95"/>
      <c r="J144" s="95"/>
      <c r="K144" s="95"/>
      <c r="L144" s="95"/>
      <c r="M144" s="95"/>
      <c r="N144" s="95"/>
      <c r="O144" s="95"/>
      <c r="P144" s="95"/>
      <c r="Q144" s="95"/>
      <c r="R144" s="95"/>
      <c r="S144" s="95"/>
      <c r="T144" s="95"/>
      <c r="U144" s="99" t="str">
        <f>IF(B144="","",IF(IF(D144&lt;&gt;"",D144,IFERROR(INDEX('Dashboard Items'!$B$2:$B$495,MATCH(E144,'Dashboard Items'!$A$2:$A$495,0)),""))="Key Service",IF(O144="No","Key Service: shown, not counted","Counts in Key Service gauge"),IF(IF(D144&lt;&gt;"",D144,IFERROR(INDEX('Dashboard Items'!$B$2:$B$495,MATCH(E144,'Dashboard Items'!$A$2:$A$495,0)),""))="Program",IF(ISNUMBER(SEARCH("ks",G144)),IF(O144="No","Program, also at Key Service: not counted","Counts in Key Service gauge + sets Program chip"),IF(O144="No","Program: shown, no status chip","Sets Program status chip")),IF(IF(D144&lt;&gt;"",D144,IFERROR(INDEX('Dashboard Items'!$B$2:$B$495,MATCH(E144,'Dashboard Items'!$A$2:$A$495,0)),""))="Work System","Work System: shown, not counted","Check Level"))))</f>
        <v>Sets Program status chip</v>
      </c>
    </row>
    <row r="145" spans="1:21" ht="15" customHeight="1" x14ac:dyDescent="0.2">
      <c r="A145" s="94" t="str">
        <f t="shared" si="4"/>
        <v>REC</v>
      </c>
      <c r="B145" s="95" t="s">
        <v>760</v>
      </c>
      <c r="C145" s="96" t="s">
        <v>471</v>
      </c>
      <c r="D145" s="95" t="s">
        <v>29</v>
      </c>
      <c r="E145" s="95" t="s">
        <v>667</v>
      </c>
      <c r="F145" s="97" t="str">
        <f>IF(E145="","",IFERROR(IF(INDEX('Dashboard Items'!$B$2:$B$495,MATCH(E145,'Dashboard Items'!$A$2:$A$495,0))="Objective","Objectives go in the next column",IF(OR(D145="",INDEX('Dashboard Items'!$B$2:$B$495,MATCH(E145,'Dashboard Items'!$A$2:$A$495,0))=D145),INDEX('Dashboard Items'!$C$2:$C$495,MATCH(E145,'Dashboard Items'!$A$2:$A$495,0)),"Level does not match ID")),"ID not found"))</f>
        <v>Recreation &amp; Community Programs</v>
      </c>
      <c r="G145" s="98"/>
      <c r="H145" s="97" t="str">
        <f>IF(G145="","",IF(ISNUMBER(SEARCH(",",G145)),"Several items (the script lists them)",IFERROR(INDEX('Dashboard Items'!$B$2:$B$495,MATCH(G145,'Dashboard Items'!$A$2:$A$495,0))&amp;": "&amp;INDEX('Dashboard Items'!$C$2:$C$495,MATCH(G145,'Dashboard Items'!$A$2:$A$495,0)),"ID not found")))</f>
        <v/>
      </c>
      <c r="I145" s="95"/>
      <c r="J145" s="95"/>
      <c r="K145" s="95"/>
      <c r="L145" s="95"/>
      <c r="M145" s="95"/>
      <c r="N145" s="95"/>
      <c r="O145" s="95"/>
      <c r="P145" s="95"/>
      <c r="Q145" s="95"/>
      <c r="R145" s="95"/>
      <c r="S145" s="95"/>
      <c r="T145" s="95"/>
      <c r="U145" s="99" t="str">
        <f>IF(B145="","",IF(IF(D145&lt;&gt;"",D145,IFERROR(INDEX('Dashboard Items'!$B$2:$B$495,MATCH(E145,'Dashboard Items'!$A$2:$A$495,0)),""))="Key Service",IF(O145="No","Key Service: shown, not counted","Counts in Key Service gauge"),IF(IF(D145&lt;&gt;"",D145,IFERROR(INDEX('Dashboard Items'!$B$2:$B$495,MATCH(E145,'Dashboard Items'!$A$2:$A$495,0)),""))="Program",IF(ISNUMBER(SEARCH("ks",G145)),IF(O145="No","Program, also at Key Service: not counted","Counts in Key Service gauge + sets Program chip"),IF(O145="No","Program: shown, no status chip","Sets Program status chip")),IF(IF(D145&lt;&gt;"",D145,IFERROR(INDEX('Dashboard Items'!$B$2:$B$495,MATCH(E145,'Dashboard Items'!$A$2:$A$495,0)),""))="Work System","Work System: shown, not counted","Check Level"))))</f>
        <v>Counts in Key Service gauge</v>
      </c>
    </row>
    <row r="146" spans="1:21" ht="15" customHeight="1" x14ac:dyDescent="0.2">
      <c r="A146" s="94" t="str">
        <f t="shared" si="4"/>
        <v>REC</v>
      </c>
      <c r="B146" s="95" t="s">
        <v>761</v>
      </c>
      <c r="C146" s="96" t="s">
        <v>472</v>
      </c>
      <c r="D146" s="95" t="s">
        <v>29</v>
      </c>
      <c r="E146" s="95" t="s">
        <v>667</v>
      </c>
      <c r="F146" s="97" t="str">
        <f>IF(E146="","",IFERROR(IF(INDEX('Dashboard Items'!$B$2:$B$495,MATCH(E146,'Dashboard Items'!$A$2:$A$495,0))="Objective","Objectives go in the next column",IF(OR(D146="",INDEX('Dashboard Items'!$B$2:$B$495,MATCH(E146,'Dashboard Items'!$A$2:$A$495,0))=D146),INDEX('Dashboard Items'!$C$2:$C$495,MATCH(E146,'Dashboard Items'!$A$2:$A$495,0)),"Level does not match ID")),"ID not found"))</f>
        <v>Recreation &amp; Community Programs</v>
      </c>
      <c r="G146" s="98"/>
      <c r="H146" s="97" t="str">
        <f>IF(G146="","",IF(ISNUMBER(SEARCH(",",G146)),"Several items (the script lists them)",IFERROR(INDEX('Dashboard Items'!$B$2:$B$495,MATCH(G146,'Dashboard Items'!$A$2:$A$495,0))&amp;": "&amp;INDEX('Dashboard Items'!$C$2:$C$495,MATCH(G146,'Dashboard Items'!$A$2:$A$495,0)),"ID not found")))</f>
        <v/>
      </c>
      <c r="I146" s="95"/>
      <c r="J146" s="95"/>
      <c r="K146" s="95"/>
      <c r="L146" s="95"/>
      <c r="M146" s="95"/>
      <c r="N146" s="95"/>
      <c r="O146" s="95"/>
      <c r="P146" s="95"/>
      <c r="Q146" s="95"/>
      <c r="R146" s="95"/>
      <c r="S146" s="95"/>
      <c r="T146" s="95"/>
      <c r="U146" s="99" t="str">
        <f>IF(B146="","",IF(IF(D146&lt;&gt;"",D146,IFERROR(INDEX('Dashboard Items'!$B$2:$B$495,MATCH(E146,'Dashboard Items'!$A$2:$A$495,0)),""))="Key Service",IF(O146="No","Key Service: shown, not counted","Counts in Key Service gauge"),IF(IF(D146&lt;&gt;"",D146,IFERROR(INDEX('Dashboard Items'!$B$2:$B$495,MATCH(E146,'Dashboard Items'!$A$2:$A$495,0)),""))="Program",IF(ISNUMBER(SEARCH("ks",G146)),IF(O146="No","Program, also at Key Service: not counted","Counts in Key Service gauge + sets Program chip"),IF(O146="No","Program: shown, no status chip","Sets Program status chip")),IF(IF(D146&lt;&gt;"",D146,IFERROR(INDEX('Dashboard Items'!$B$2:$B$495,MATCH(E146,'Dashboard Items'!$A$2:$A$495,0)),""))="Work System","Work System: shown, not counted","Check Level"))))</f>
        <v>Counts in Key Service gauge</v>
      </c>
    </row>
    <row r="147" spans="1:21" ht="15" customHeight="1" x14ac:dyDescent="0.2">
      <c r="A147" s="94" t="str">
        <f t="shared" si="4"/>
        <v>REC</v>
      </c>
      <c r="B147" s="95" t="s">
        <v>762</v>
      </c>
      <c r="C147" s="96" t="s">
        <v>763</v>
      </c>
      <c r="D147" s="95" t="s">
        <v>29</v>
      </c>
      <c r="E147" s="95" t="s">
        <v>667</v>
      </c>
      <c r="F147" s="97" t="str">
        <f>IF(E147="","",IFERROR(IF(INDEX('Dashboard Items'!$B$2:$B$495,MATCH(E147,'Dashboard Items'!$A$2:$A$495,0))="Objective","Objectives go in the next column",IF(OR(D147="",INDEX('Dashboard Items'!$B$2:$B$495,MATCH(E147,'Dashboard Items'!$A$2:$A$495,0))=D147),INDEX('Dashboard Items'!$C$2:$C$495,MATCH(E147,'Dashboard Items'!$A$2:$A$495,0)),"Level does not match ID")),"ID not found"))</f>
        <v>Recreation &amp; Community Programs</v>
      </c>
      <c r="G147" s="98"/>
      <c r="H147" s="97" t="str">
        <f>IF(G147="","",IF(ISNUMBER(SEARCH(",",G147)),"Several items (the script lists them)",IFERROR(INDEX('Dashboard Items'!$B$2:$B$495,MATCH(G147,'Dashboard Items'!$A$2:$A$495,0))&amp;": "&amp;INDEX('Dashboard Items'!$C$2:$C$495,MATCH(G147,'Dashboard Items'!$A$2:$A$495,0)),"ID not found")))</f>
        <v/>
      </c>
      <c r="I147" s="95"/>
      <c r="J147" s="95"/>
      <c r="K147" s="95"/>
      <c r="L147" s="95"/>
      <c r="M147" s="95"/>
      <c r="N147" s="95"/>
      <c r="O147" s="95"/>
      <c r="P147" s="95"/>
      <c r="Q147" s="95"/>
      <c r="R147" s="95"/>
      <c r="S147" s="95"/>
      <c r="T147" s="95"/>
      <c r="U147" s="99" t="str">
        <f>IF(B147="","",IF(IF(D147&lt;&gt;"",D147,IFERROR(INDEX('Dashboard Items'!$B$2:$B$495,MATCH(E147,'Dashboard Items'!$A$2:$A$495,0)),""))="Key Service",IF(O147="No","Key Service: shown, not counted","Counts in Key Service gauge"),IF(IF(D147&lt;&gt;"",D147,IFERROR(INDEX('Dashboard Items'!$B$2:$B$495,MATCH(E147,'Dashboard Items'!$A$2:$A$495,0)),""))="Program",IF(ISNUMBER(SEARCH("ks",G147)),IF(O147="No","Program, also at Key Service: not counted","Counts in Key Service gauge + sets Program chip"),IF(O147="No","Program: shown, no status chip","Sets Program status chip")),IF(IF(D147&lt;&gt;"",D147,IFERROR(INDEX('Dashboard Items'!$B$2:$B$495,MATCH(E147,'Dashboard Items'!$A$2:$A$495,0)),""))="Work System","Work System: shown, not counted","Check Level"))))</f>
        <v>Counts in Key Service gauge</v>
      </c>
    </row>
    <row r="148" spans="1:21" ht="15" customHeight="1" x14ac:dyDescent="0.2">
      <c r="A148" s="94" t="str">
        <f t="shared" si="4"/>
        <v>REC</v>
      </c>
      <c r="B148" s="95" t="s">
        <v>764</v>
      </c>
      <c r="C148" s="96" t="s">
        <v>474</v>
      </c>
      <c r="D148" s="95" t="s">
        <v>29</v>
      </c>
      <c r="E148" s="95" t="s">
        <v>667</v>
      </c>
      <c r="F148" s="97" t="str">
        <f>IF(E148="","",IFERROR(IF(INDEX('Dashboard Items'!$B$2:$B$495,MATCH(E148,'Dashboard Items'!$A$2:$A$495,0))="Objective","Objectives go in the next column",IF(OR(D148="",INDEX('Dashboard Items'!$B$2:$B$495,MATCH(E148,'Dashboard Items'!$A$2:$A$495,0))=D148),INDEX('Dashboard Items'!$C$2:$C$495,MATCH(E148,'Dashboard Items'!$A$2:$A$495,0)),"Level does not match ID")),"ID not found"))</f>
        <v>Recreation &amp; Community Programs</v>
      </c>
      <c r="G148" s="98"/>
      <c r="H148" s="97" t="str">
        <f>IF(G148="","",IF(ISNUMBER(SEARCH(",",G148)),"Several items (the script lists them)",IFERROR(INDEX('Dashboard Items'!$B$2:$B$495,MATCH(G148,'Dashboard Items'!$A$2:$A$495,0))&amp;": "&amp;INDEX('Dashboard Items'!$C$2:$C$495,MATCH(G148,'Dashboard Items'!$A$2:$A$495,0)),"ID not found")))</f>
        <v/>
      </c>
      <c r="I148" s="95"/>
      <c r="J148" s="95"/>
      <c r="K148" s="95"/>
      <c r="L148" s="95"/>
      <c r="M148" s="95"/>
      <c r="N148" s="95"/>
      <c r="O148" s="95"/>
      <c r="P148" s="95"/>
      <c r="Q148" s="95"/>
      <c r="R148" s="95"/>
      <c r="S148" s="95"/>
      <c r="T148" s="95"/>
      <c r="U148" s="99" t="str">
        <f>IF(B148="","",IF(IF(D148&lt;&gt;"",D148,IFERROR(INDEX('Dashboard Items'!$B$2:$B$495,MATCH(E148,'Dashboard Items'!$A$2:$A$495,0)),""))="Key Service",IF(O148="No","Key Service: shown, not counted","Counts in Key Service gauge"),IF(IF(D148&lt;&gt;"",D148,IFERROR(INDEX('Dashboard Items'!$B$2:$B$495,MATCH(E148,'Dashboard Items'!$A$2:$A$495,0)),""))="Program",IF(ISNUMBER(SEARCH("ks",G148)),IF(O148="No","Program, also at Key Service: not counted","Counts in Key Service gauge + sets Program chip"),IF(O148="No","Program: shown, no status chip","Sets Program status chip")),IF(IF(D148&lt;&gt;"",D148,IFERROR(INDEX('Dashboard Items'!$B$2:$B$495,MATCH(E148,'Dashboard Items'!$A$2:$A$495,0)),""))="Work System","Work System: shown, not counted","Check Level"))))</f>
        <v>Counts in Key Service gauge</v>
      </c>
    </row>
    <row r="149" spans="1:21" ht="15" customHeight="1" x14ac:dyDescent="0.2">
      <c r="A149" s="94" t="str">
        <f t="shared" si="4"/>
        <v>REC</v>
      </c>
      <c r="B149" s="95" t="s">
        <v>765</v>
      </c>
      <c r="C149" s="96" t="s">
        <v>378</v>
      </c>
      <c r="D149" s="95" t="s">
        <v>30</v>
      </c>
      <c r="E149" s="95" t="s">
        <v>377</v>
      </c>
      <c r="F149" s="97" t="str">
        <f>IF(E149="","",IFERROR(IF(INDEX('Dashboard Items'!$B$2:$B$495,MATCH(E149,'Dashboard Items'!$A$2:$A$495,0))="Objective","Objectives go in the next column",IF(OR(D149="",INDEX('Dashboard Items'!$B$2:$B$495,MATCH(E149,'Dashboard Items'!$A$2:$A$495,0))=D149),INDEX('Dashboard Items'!$C$2:$C$495,MATCH(E149,'Dashboard Items'!$A$2:$A$495,0)),"Level does not match ID")),"ID not found"))</f>
        <v>Recreation Center</v>
      </c>
      <c r="G149" s="98"/>
      <c r="H149" s="97" t="str">
        <f>IF(G149="","",IF(ISNUMBER(SEARCH(",",G149)),"Several items (the script lists them)",IFERROR(INDEX('Dashboard Items'!$B$2:$B$495,MATCH(G149,'Dashboard Items'!$A$2:$A$495,0))&amp;": "&amp;INDEX('Dashboard Items'!$C$2:$C$495,MATCH(G149,'Dashboard Items'!$A$2:$A$495,0)),"ID not found")))</f>
        <v/>
      </c>
      <c r="I149" s="95"/>
      <c r="J149" s="95"/>
      <c r="K149" s="95"/>
      <c r="L149" s="95"/>
      <c r="M149" s="95"/>
      <c r="N149" s="95"/>
      <c r="O149" s="95"/>
      <c r="P149" s="95"/>
      <c r="Q149" s="95"/>
      <c r="R149" s="95"/>
      <c r="S149" s="95"/>
      <c r="T149" s="95"/>
      <c r="U149" s="99" t="str">
        <f>IF(B149="","",IF(IF(D149&lt;&gt;"",D149,IFERROR(INDEX('Dashboard Items'!$B$2:$B$495,MATCH(E149,'Dashboard Items'!$A$2:$A$495,0)),""))="Key Service",IF(O149="No","Key Service: shown, not counted","Counts in Key Service gauge"),IF(IF(D149&lt;&gt;"",D149,IFERROR(INDEX('Dashboard Items'!$B$2:$B$495,MATCH(E149,'Dashboard Items'!$A$2:$A$495,0)),""))="Program",IF(ISNUMBER(SEARCH("ks",G149)),IF(O149="No","Program, also at Key Service: not counted","Counts in Key Service gauge + sets Program chip"),IF(O149="No","Program: shown, no status chip","Sets Program status chip")),IF(IF(D149&lt;&gt;"",D149,IFERROR(INDEX('Dashboard Items'!$B$2:$B$495,MATCH(E149,'Dashboard Items'!$A$2:$A$495,0)),""))="Work System","Work System: shown, not counted","Check Level"))))</f>
        <v>Sets Program status chip</v>
      </c>
    </row>
    <row r="150" spans="1:21" ht="15" customHeight="1" x14ac:dyDescent="0.2">
      <c r="A150" s="94" t="str">
        <f t="shared" si="4"/>
        <v>REC</v>
      </c>
      <c r="B150" s="95" t="s">
        <v>766</v>
      </c>
      <c r="C150" s="96" t="s">
        <v>379</v>
      </c>
      <c r="D150" s="95" t="s">
        <v>30</v>
      </c>
      <c r="E150" s="95" t="s">
        <v>377</v>
      </c>
      <c r="F150" s="97" t="str">
        <f>IF(E150="","",IFERROR(IF(INDEX('Dashboard Items'!$B$2:$B$495,MATCH(E150,'Dashboard Items'!$A$2:$A$495,0))="Objective","Objectives go in the next column",IF(OR(D150="",INDEX('Dashboard Items'!$B$2:$B$495,MATCH(E150,'Dashboard Items'!$A$2:$A$495,0))=D150),INDEX('Dashboard Items'!$C$2:$C$495,MATCH(E150,'Dashboard Items'!$A$2:$A$495,0)),"Level does not match ID")),"ID not found"))</f>
        <v>Recreation Center</v>
      </c>
      <c r="G150" s="98"/>
      <c r="H150" s="97" t="str">
        <f>IF(G150="","",IF(ISNUMBER(SEARCH(",",G150)),"Several items (the script lists them)",IFERROR(INDEX('Dashboard Items'!$B$2:$B$495,MATCH(G150,'Dashboard Items'!$A$2:$A$495,0))&amp;": "&amp;INDEX('Dashboard Items'!$C$2:$C$495,MATCH(G150,'Dashboard Items'!$A$2:$A$495,0)),"ID not found")))</f>
        <v/>
      </c>
      <c r="I150" s="95"/>
      <c r="J150" s="95"/>
      <c r="K150" s="95"/>
      <c r="L150" s="95"/>
      <c r="M150" s="95"/>
      <c r="N150" s="95"/>
      <c r="O150" s="95"/>
      <c r="P150" s="95"/>
      <c r="Q150" s="95"/>
      <c r="R150" s="95"/>
      <c r="S150" s="95"/>
      <c r="T150" s="95"/>
      <c r="U150" s="99" t="str">
        <f>IF(B150="","",IF(IF(D150&lt;&gt;"",D150,IFERROR(INDEX('Dashboard Items'!$B$2:$B$495,MATCH(E150,'Dashboard Items'!$A$2:$A$495,0)),""))="Key Service",IF(O150="No","Key Service: shown, not counted","Counts in Key Service gauge"),IF(IF(D150&lt;&gt;"",D150,IFERROR(INDEX('Dashboard Items'!$B$2:$B$495,MATCH(E150,'Dashboard Items'!$A$2:$A$495,0)),""))="Program",IF(ISNUMBER(SEARCH("ks",G150)),IF(O150="No","Program, also at Key Service: not counted","Counts in Key Service gauge + sets Program chip"),IF(O150="No","Program: shown, no status chip","Sets Program status chip")),IF(IF(D150&lt;&gt;"",D150,IFERROR(INDEX('Dashboard Items'!$B$2:$B$495,MATCH(E150,'Dashboard Items'!$A$2:$A$495,0)),""))="Work System","Work System: shown, not counted","Check Level"))))</f>
        <v>Sets Program status chip</v>
      </c>
    </row>
    <row r="151" spans="1:21" ht="15" customHeight="1" x14ac:dyDescent="0.2">
      <c r="A151" s="94" t="str">
        <f t="shared" si="4"/>
        <v>REC</v>
      </c>
      <c r="B151" s="95" t="s">
        <v>767</v>
      </c>
      <c r="C151" s="96" t="s">
        <v>382</v>
      </c>
      <c r="D151" s="95" t="s">
        <v>30</v>
      </c>
      <c r="E151" s="95" t="s">
        <v>381</v>
      </c>
      <c r="F151" s="97" t="str">
        <f>IF(E151="","",IFERROR(IF(INDEX('Dashboard Items'!$B$2:$B$495,MATCH(E151,'Dashboard Items'!$A$2:$A$495,0))="Objective","Objectives go in the next column",IF(OR(D151="",INDEX('Dashboard Items'!$B$2:$B$495,MATCH(E151,'Dashboard Items'!$A$2:$A$495,0))=D151),INDEX('Dashboard Items'!$C$2:$C$495,MATCH(E151,'Dashboard Items'!$A$2:$A$495,0)),"Level does not match ID")),"ID not found"))</f>
        <v>Youth/Teen Recreation Programs</v>
      </c>
      <c r="G151" s="98"/>
      <c r="H151" s="97" t="str">
        <f>IF(G151="","",IF(ISNUMBER(SEARCH(",",G151)),"Several items (the script lists them)",IFERROR(INDEX('Dashboard Items'!$B$2:$B$495,MATCH(G151,'Dashboard Items'!$A$2:$A$495,0))&amp;": "&amp;INDEX('Dashboard Items'!$C$2:$C$495,MATCH(G151,'Dashboard Items'!$A$2:$A$495,0)),"ID not found")))</f>
        <v/>
      </c>
      <c r="I151" s="95"/>
      <c r="J151" s="95"/>
      <c r="K151" s="95"/>
      <c r="L151" s="95"/>
      <c r="M151" s="95"/>
      <c r="N151" s="95"/>
      <c r="O151" s="95"/>
      <c r="P151" s="95"/>
      <c r="Q151" s="95"/>
      <c r="R151" s="95"/>
      <c r="S151" s="95"/>
      <c r="T151" s="95"/>
      <c r="U151" s="99" t="str">
        <f>IF(B151="","",IF(IF(D151&lt;&gt;"",D151,IFERROR(INDEX('Dashboard Items'!$B$2:$B$495,MATCH(E151,'Dashboard Items'!$A$2:$A$495,0)),""))="Key Service",IF(O151="No","Key Service: shown, not counted","Counts in Key Service gauge"),IF(IF(D151&lt;&gt;"",D151,IFERROR(INDEX('Dashboard Items'!$B$2:$B$495,MATCH(E151,'Dashboard Items'!$A$2:$A$495,0)),""))="Program",IF(ISNUMBER(SEARCH("ks",G151)),IF(O151="No","Program, also at Key Service: not counted","Counts in Key Service gauge + sets Program chip"),IF(O151="No","Program: shown, no status chip","Sets Program status chip")),IF(IF(D151&lt;&gt;"",D151,IFERROR(INDEX('Dashboard Items'!$B$2:$B$495,MATCH(E151,'Dashboard Items'!$A$2:$A$495,0)),""))="Work System","Work System: shown, not counted","Check Level"))))</f>
        <v>Sets Program status chip</v>
      </c>
    </row>
    <row r="152" spans="1:21" ht="15" customHeight="1" x14ac:dyDescent="0.2">
      <c r="A152" s="94" t="str">
        <f t="shared" si="4"/>
        <v>REC</v>
      </c>
      <c r="B152" s="95" t="s">
        <v>768</v>
      </c>
      <c r="C152" s="96" t="s">
        <v>385</v>
      </c>
      <c r="D152" s="95" t="s">
        <v>30</v>
      </c>
      <c r="E152" s="95" t="s">
        <v>384</v>
      </c>
      <c r="F152" s="97" t="str">
        <f>IF(E152="","",IFERROR(IF(INDEX('Dashboard Items'!$B$2:$B$495,MATCH(E152,'Dashboard Items'!$A$2:$A$495,0))="Objective","Objectives go in the next column",IF(OR(D152="",INDEX('Dashboard Items'!$B$2:$B$495,MATCH(E152,'Dashboard Items'!$A$2:$A$495,0))=D152),INDEX('Dashboard Items'!$C$2:$C$495,MATCH(E152,'Dashboard Items'!$A$2:$A$495,0)),"Level does not match ID")),"ID not found"))</f>
        <v>Adult/Senior Recreation Programs</v>
      </c>
      <c r="G152" s="98"/>
      <c r="H152" s="97" t="str">
        <f>IF(G152="","",IF(ISNUMBER(SEARCH(",",G152)),"Several items (the script lists them)",IFERROR(INDEX('Dashboard Items'!$B$2:$B$495,MATCH(G152,'Dashboard Items'!$A$2:$A$495,0))&amp;": "&amp;INDEX('Dashboard Items'!$C$2:$C$495,MATCH(G152,'Dashboard Items'!$A$2:$A$495,0)),"ID not found")))</f>
        <v/>
      </c>
      <c r="I152" s="95"/>
      <c r="J152" s="95"/>
      <c r="K152" s="95"/>
      <c r="L152" s="95"/>
      <c r="M152" s="95"/>
      <c r="N152" s="95"/>
      <c r="O152" s="95"/>
      <c r="P152" s="95"/>
      <c r="Q152" s="95"/>
      <c r="R152" s="95"/>
      <c r="S152" s="95"/>
      <c r="T152" s="95"/>
      <c r="U152" s="99" t="str">
        <f>IF(B152="","",IF(IF(D152&lt;&gt;"",D152,IFERROR(INDEX('Dashboard Items'!$B$2:$B$495,MATCH(E152,'Dashboard Items'!$A$2:$A$495,0)),""))="Key Service",IF(O152="No","Key Service: shown, not counted","Counts in Key Service gauge"),IF(IF(D152&lt;&gt;"",D152,IFERROR(INDEX('Dashboard Items'!$B$2:$B$495,MATCH(E152,'Dashboard Items'!$A$2:$A$495,0)),""))="Program",IF(ISNUMBER(SEARCH("ks",G152)),IF(O152="No","Program, also at Key Service: not counted","Counts in Key Service gauge + sets Program chip"),IF(O152="No","Program: shown, no status chip","Sets Program status chip")),IF(IF(D152&lt;&gt;"",D152,IFERROR(INDEX('Dashboard Items'!$B$2:$B$495,MATCH(E152,'Dashboard Items'!$A$2:$A$495,0)),""))="Work System","Work System: shown, not counted","Check Level"))))</f>
        <v>Sets Program status chip</v>
      </c>
    </row>
    <row r="153" spans="1:21" ht="15" customHeight="1" x14ac:dyDescent="0.2">
      <c r="A153" s="94" t="str">
        <f t="shared" si="4"/>
        <v>REC</v>
      </c>
      <c r="B153" s="95" t="s">
        <v>769</v>
      </c>
      <c r="C153" s="96" t="s">
        <v>388</v>
      </c>
      <c r="D153" s="95" t="s">
        <v>30</v>
      </c>
      <c r="E153" s="95" t="s">
        <v>387</v>
      </c>
      <c r="F153" s="97" t="str">
        <f>IF(E153="","",IFERROR(IF(INDEX('Dashboard Items'!$B$2:$B$495,MATCH(E153,'Dashboard Items'!$A$2:$A$495,0))="Objective","Objectives go in the next column",IF(OR(D153="",INDEX('Dashboard Items'!$B$2:$B$495,MATCH(E153,'Dashboard Items'!$A$2:$A$495,0))=D153),INDEX('Dashboard Items'!$C$2:$C$495,MATCH(E153,'Dashboard Items'!$A$2:$A$495,0)),"Level does not match ID")),"ID not found"))</f>
        <v>Chapman Hill</v>
      </c>
      <c r="G153" s="98"/>
      <c r="H153" s="97" t="str">
        <f>IF(G153="","",IF(ISNUMBER(SEARCH(",",G153)),"Several items (the script lists them)",IFERROR(INDEX('Dashboard Items'!$B$2:$B$495,MATCH(G153,'Dashboard Items'!$A$2:$A$495,0))&amp;": "&amp;INDEX('Dashboard Items'!$C$2:$C$495,MATCH(G153,'Dashboard Items'!$A$2:$A$495,0)),"ID not found")))</f>
        <v/>
      </c>
      <c r="I153" s="95"/>
      <c r="J153" s="95"/>
      <c r="K153" s="95"/>
      <c r="L153" s="95"/>
      <c r="M153" s="95"/>
      <c r="N153" s="95"/>
      <c r="O153" s="95"/>
      <c r="P153" s="95"/>
      <c r="Q153" s="95"/>
      <c r="R153" s="95"/>
      <c r="S153" s="95"/>
      <c r="T153" s="95"/>
      <c r="U153" s="99" t="str">
        <f>IF(B153="","",IF(IF(D153&lt;&gt;"",D153,IFERROR(INDEX('Dashboard Items'!$B$2:$B$495,MATCH(E153,'Dashboard Items'!$A$2:$A$495,0)),""))="Key Service",IF(O153="No","Key Service: shown, not counted","Counts in Key Service gauge"),IF(IF(D153&lt;&gt;"",D153,IFERROR(INDEX('Dashboard Items'!$B$2:$B$495,MATCH(E153,'Dashboard Items'!$A$2:$A$495,0)),""))="Program",IF(ISNUMBER(SEARCH("ks",G153)),IF(O153="No","Program, also at Key Service: not counted","Counts in Key Service gauge + sets Program chip"),IF(O153="No","Program: shown, no status chip","Sets Program status chip")),IF(IF(D153&lt;&gt;"",D153,IFERROR(INDEX('Dashboard Items'!$B$2:$B$495,MATCH(E153,'Dashboard Items'!$A$2:$A$495,0)),""))="Work System","Work System: shown, not counted","Check Level"))))</f>
        <v>Sets Program status chip</v>
      </c>
    </row>
    <row r="154" spans="1:21" ht="15" customHeight="1" x14ac:dyDescent="0.2">
      <c r="A154" s="94" t="str">
        <f t="shared" si="4"/>
        <v>REC</v>
      </c>
      <c r="B154" s="95" t="s">
        <v>770</v>
      </c>
      <c r="C154" s="96" t="s">
        <v>389</v>
      </c>
      <c r="D154" s="95" t="s">
        <v>30</v>
      </c>
      <c r="E154" s="95" t="s">
        <v>387</v>
      </c>
      <c r="F154" s="97" t="str">
        <f>IF(E154="","",IFERROR(IF(INDEX('Dashboard Items'!$B$2:$B$495,MATCH(E154,'Dashboard Items'!$A$2:$A$495,0))="Objective","Objectives go in the next column",IF(OR(D154="",INDEX('Dashboard Items'!$B$2:$B$495,MATCH(E154,'Dashboard Items'!$A$2:$A$495,0))=D154),INDEX('Dashboard Items'!$C$2:$C$495,MATCH(E154,'Dashboard Items'!$A$2:$A$495,0)),"Level does not match ID")),"ID not found"))</f>
        <v>Chapman Hill</v>
      </c>
      <c r="G154" s="98"/>
      <c r="H154" s="97" t="str">
        <f>IF(G154="","",IF(ISNUMBER(SEARCH(",",G154)),"Several items (the script lists them)",IFERROR(INDEX('Dashboard Items'!$B$2:$B$495,MATCH(G154,'Dashboard Items'!$A$2:$A$495,0))&amp;": "&amp;INDEX('Dashboard Items'!$C$2:$C$495,MATCH(G154,'Dashboard Items'!$A$2:$A$495,0)),"ID not found")))</f>
        <v/>
      </c>
      <c r="I154" s="95"/>
      <c r="J154" s="95"/>
      <c r="K154" s="95"/>
      <c r="L154" s="95"/>
      <c r="M154" s="95"/>
      <c r="N154" s="95"/>
      <c r="O154" s="95"/>
      <c r="P154" s="95"/>
      <c r="Q154" s="95"/>
      <c r="R154" s="95"/>
      <c r="S154" s="95"/>
      <c r="T154" s="95"/>
      <c r="U154" s="99" t="str">
        <f>IF(B154="","",IF(IF(D154&lt;&gt;"",D154,IFERROR(INDEX('Dashboard Items'!$B$2:$B$495,MATCH(E154,'Dashboard Items'!$A$2:$A$495,0)),""))="Key Service",IF(O154="No","Key Service: shown, not counted","Counts in Key Service gauge"),IF(IF(D154&lt;&gt;"",D154,IFERROR(INDEX('Dashboard Items'!$B$2:$B$495,MATCH(E154,'Dashboard Items'!$A$2:$A$495,0)),""))="Program",IF(ISNUMBER(SEARCH("ks",G154)),IF(O154="No","Program, also at Key Service: not counted","Counts in Key Service gauge + sets Program chip"),IF(O154="No","Program: shown, no status chip","Sets Program status chip")),IF(IF(D154&lt;&gt;"",D154,IFERROR(INDEX('Dashboard Items'!$B$2:$B$495,MATCH(E154,'Dashboard Items'!$A$2:$A$495,0)),""))="Work System","Work System: shown, not counted","Check Level"))))</f>
        <v>Sets Program status chip</v>
      </c>
    </row>
    <row r="155" spans="1:21" ht="15" customHeight="1" x14ac:dyDescent="0.2">
      <c r="A155" s="94" t="str">
        <f t="shared" si="4"/>
        <v>REC</v>
      </c>
      <c r="B155" s="95" t="s">
        <v>771</v>
      </c>
      <c r="C155" s="96" t="s">
        <v>392</v>
      </c>
      <c r="D155" s="95" t="s">
        <v>30</v>
      </c>
      <c r="E155" s="95" t="s">
        <v>391</v>
      </c>
      <c r="F155" s="97" t="str">
        <f>IF(E155="","",IFERROR(IF(INDEX('Dashboard Items'!$B$2:$B$495,MATCH(E155,'Dashboard Items'!$A$2:$A$495,0))="Objective","Objectives go in the next column",IF(OR(D155="",INDEX('Dashboard Items'!$B$2:$B$495,MATCH(E155,'Dashboard Items'!$A$2:$A$495,0))=D155),INDEX('Dashboard Items'!$C$2:$C$495,MATCH(E155,'Dashboard Items'!$A$2:$A$495,0)),"Level does not match ID")),"ID not found"))</f>
        <v>Gymnastics Programs</v>
      </c>
      <c r="G155" s="98"/>
      <c r="H155" s="97" t="str">
        <f>IF(G155="","",IF(ISNUMBER(SEARCH(",",G155)),"Several items (the script lists them)",IFERROR(INDEX('Dashboard Items'!$B$2:$B$495,MATCH(G155,'Dashboard Items'!$A$2:$A$495,0))&amp;": "&amp;INDEX('Dashboard Items'!$C$2:$C$495,MATCH(G155,'Dashboard Items'!$A$2:$A$495,0)),"ID not found")))</f>
        <v/>
      </c>
      <c r="I155" s="95"/>
      <c r="J155" s="95"/>
      <c r="K155" s="95"/>
      <c r="L155" s="95"/>
      <c r="M155" s="95"/>
      <c r="N155" s="95"/>
      <c r="O155" s="95"/>
      <c r="P155" s="95"/>
      <c r="Q155" s="95"/>
      <c r="R155" s="95"/>
      <c r="S155" s="95"/>
      <c r="T155" s="95"/>
      <c r="U155" s="99" t="str">
        <f>IF(B155="","",IF(IF(D155&lt;&gt;"",D155,IFERROR(INDEX('Dashboard Items'!$B$2:$B$495,MATCH(E155,'Dashboard Items'!$A$2:$A$495,0)),""))="Key Service",IF(O155="No","Key Service: shown, not counted","Counts in Key Service gauge"),IF(IF(D155&lt;&gt;"",D155,IFERROR(INDEX('Dashboard Items'!$B$2:$B$495,MATCH(E155,'Dashboard Items'!$A$2:$A$495,0)),""))="Program",IF(ISNUMBER(SEARCH("ks",G155)),IF(O155="No","Program, also at Key Service: not counted","Counts in Key Service gauge + sets Program chip"),IF(O155="No","Program: shown, no status chip","Sets Program status chip")),IF(IF(D155&lt;&gt;"",D155,IFERROR(INDEX('Dashboard Items'!$B$2:$B$495,MATCH(E155,'Dashboard Items'!$A$2:$A$495,0)),""))="Work System","Work System: shown, not counted","Check Level"))))</f>
        <v>Sets Program status chip</v>
      </c>
    </row>
    <row r="156" spans="1:21" ht="15" customHeight="1" x14ac:dyDescent="0.2">
      <c r="A156" s="94" t="str">
        <f t="shared" si="4"/>
        <v>REC</v>
      </c>
      <c r="B156" s="95" t="s">
        <v>772</v>
      </c>
      <c r="C156" s="96" t="s">
        <v>395</v>
      </c>
      <c r="D156" s="95" t="s">
        <v>30</v>
      </c>
      <c r="E156" s="95" t="s">
        <v>394</v>
      </c>
      <c r="F156" s="97" t="str">
        <f>IF(E156="","",IFERROR(IF(INDEX('Dashboard Items'!$B$2:$B$495,MATCH(E156,'Dashboard Items'!$A$2:$A$495,0))="Objective","Objectives go in the next column",IF(OR(D156="",INDEX('Dashboard Items'!$B$2:$B$495,MATCH(E156,'Dashboard Items'!$A$2:$A$495,0))=D156),INDEX('Dashboard Items'!$C$2:$C$495,MATCH(E156,'Dashboard Items'!$A$2:$A$495,0)),"Level does not match ID")),"ID not found"))</f>
        <v>Childcare</v>
      </c>
      <c r="G156" s="98"/>
      <c r="H156" s="97" t="str">
        <f>IF(G156="","",IF(ISNUMBER(SEARCH(",",G156)),"Several items (the script lists them)",IFERROR(INDEX('Dashboard Items'!$B$2:$B$495,MATCH(G156,'Dashboard Items'!$A$2:$A$495,0))&amp;": "&amp;INDEX('Dashboard Items'!$C$2:$C$495,MATCH(G156,'Dashboard Items'!$A$2:$A$495,0)),"ID not found")))</f>
        <v/>
      </c>
      <c r="I156" s="95"/>
      <c r="J156" s="95"/>
      <c r="K156" s="95"/>
      <c r="L156" s="95"/>
      <c r="M156" s="95"/>
      <c r="N156" s="95"/>
      <c r="O156" s="95"/>
      <c r="P156" s="95"/>
      <c r="Q156" s="95"/>
      <c r="R156" s="95"/>
      <c r="S156" s="95"/>
      <c r="T156" s="95"/>
      <c r="U156" s="99" t="str">
        <f>IF(B156="","",IF(IF(D156&lt;&gt;"",D156,IFERROR(INDEX('Dashboard Items'!$B$2:$B$495,MATCH(E156,'Dashboard Items'!$A$2:$A$495,0)),""))="Key Service",IF(O156="No","Key Service: shown, not counted","Counts in Key Service gauge"),IF(IF(D156&lt;&gt;"",D156,IFERROR(INDEX('Dashboard Items'!$B$2:$B$495,MATCH(E156,'Dashboard Items'!$A$2:$A$495,0)),""))="Program",IF(ISNUMBER(SEARCH("ks",G156)),IF(O156="No","Program, also at Key Service: not counted","Counts in Key Service gauge + sets Program chip"),IF(O156="No","Program: shown, no status chip","Sets Program status chip")),IF(IF(D156&lt;&gt;"",D156,IFERROR(INDEX('Dashboard Items'!$B$2:$B$495,MATCH(E156,'Dashboard Items'!$A$2:$A$495,0)),""))="Work System","Work System: shown, not counted","Check Level"))))</f>
        <v>Sets Program status chip</v>
      </c>
    </row>
    <row r="157" spans="1:21" ht="15" customHeight="1" x14ac:dyDescent="0.2">
      <c r="B157" s="137"/>
      <c r="C157" s="137"/>
      <c r="D157" s="137"/>
      <c r="E157" s="137"/>
      <c r="F157" s="138" t="str">
        <f>IF(E157="","",IFERROR(IF(INDEX('Dashboard Items'!$B$2:$B$495,MATCH(E157,'Dashboard Items'!$A$2:$A$495,0))="Objective","Objectives go in the next column",IF(OR(D157="",INDEX('Dashboard Items'!$B$2:$B$495,MATCH(E157,'Dashboard Items'!$A$2:$A$495,0))=D157),INDEX('Dashboard Items'!$C$2:$C$495,MATCH(E157,'Dashboard Items'!$A$2:$A$495,0)),"Level does not match ID")),"ID not found"))</f>
        <v/>
      </c>
      <c r="G157" s="139"/>
      <c r="H157" s="138" t="str">
        <f>IF(G157="","",IF(ISNUMBER(SEARCH(",",G157)),"Several items (the script lists them)",IFERROR(INDEX('Dashboard Items'!$B$2:$B$495,MATCH(G157,'Dashboard Items'!$A$2:$A$495,0))&amp;": "&amp;INDEX('Dashboard Items'!$C$2:$C$495,MATCH(G157,'Dashboard Items'!$A$2:$A$495,0)),"ID not found")))</f>
        <v/>
      </c>
      <c r="I157" s="137"/>
      <c r="J157" s="137"/>
      <c r="K157" s="137"/>
      <c r="L157" s="137"/>
      <c r="M157" s="137"/>
      <c r="N157" s="137"/>
      <c r="O157" s="137"/>
      <c r="P157" s="137"/>
      <c r="Q157" s="137"/>
      <c r="R157" s="137"/>
      <c r="S157" s="137"/>
      <c r="T157" s="137"/>
      <c r="U157" s="99" t="str">
        <f>IF(B157="","",IF(IF(D157&lt;&gt;"",D157,IFERROR(INDEX('Dashboard Items'!$B$2:$B$495,MATCH(E157,'Dashboard Items'!$A$2:$A$495,0)),""))="Key Service",IF(O157="No","Key Service: shown, not counted","Counts in Key Service gauge"),IF(IF(D157&lt;&gt;"",D157,IFERROR(INDEX('Dashboard Items'!$B$2:$B$495,MATCH(E157,'Dashboard Items'!$A$2:$A$495,0)),""))="Program",IF(ISNUMBER(SEARCH("ks",G157)),IF(O157="No","Program, also at Key Service: not counted","Counts in Key Service gauge + sets Program chip"),IF(O157="No","Program: shown, no status chip","Sets Program status chip")),IF(IF(D157&lt;&gt;"",D157,IFERROR(INDEX('Dashboard Items'!$B$2:$B$495,MATCH(E157,'Dashboard Items'!$A$2:$A$495,0)),""))="Work System","Work System: shown, not counted","Check Level"))))</f>
        <v/>
      </c>
    </row>
    <row r="158" spans="1:21" ht="15" customHeight="1" x14ac:dyDescent="0.2">
      <c r="B158" s="137"/>
      <c r="C158" s="137"/>
      <c r="D158" s="137"/>
      <c r="E158" s="137"/>
      <c r="F158" s="138" t="str">
        <f>IF(E158="","",IFERROR(IF(INDEX('Dashboard Items'!$B$2:$B$495,MATCH(E158,'Dashboard Items'!$A$2:$A$495,0))="Objective","Objectives go in the next column",IF(OR(D158="",INDEX('Dashboard Items'!$B$2:$B$495,MATCH(E158,'Dashboard Items'!$A$2:$A$495,0))=D158),INDEX('Dashboard Items'!$C$2:$C$495,MATCH(E158,'Dashboard Items'!$A$2:$A$495,0)),"Level does not match ID")),"ID not found"))</f>
        <v/>
      </c>
      <c r="G158" s="139"/>
      <c r="H158" s="138" t="str">
        <f>IF(G158="","",IF(ISNUMBER(SEARCH(",",G158)),"Several items (the script lists them)",IFERROR(INDEX('Dashboard Items'!$B$2:$B$495,MATCH(G158,'Dashboard Items'!$A$2:$A$495,0))&amp;": "&amp;INDEX('Dashboard Items'!$C$2:$C$495,MATCH(G158,'Dashboard Items'!$A$2:$A$495,0)),"ID not found")))</f>
        <v/>
      </c>
      <c r="I158" s="137"/>
      <c r="J158" s="137"/>
      <c r="K158" s="137"/>
      <c r="L158" s="137"/>
      <c r="M158" s="137"/>
      <c r="N158" s="137"/>
      <c r="O158" s="137"/>
      <c r="P158" s="137"/>
      <c r="Q158" s="137"/>
      <c r="R158" s="137"/>
      <c r="S158" s="137"/>
      <c r="T158" s="137"/>
      <c r="U158" s="99" t="str">
        <f>IF(B158="","",IF(IF(D158&lt;&gt;"",D158,IFERROR(INDEX('Dashboard Items'!$B$2:$B$495,MATCH(E158,'Dashboard Items'!$A$2:$A$495,0)),""))="Key Service",IF(O158="No","Key Service: shown, not counted","Counts in Key Service gauge"),IF(IF(D158&lt;&gt;"",D158,IFERROR(INDEX('Dashboard Items'!$B$2:$B$495,MATCH(E158,'Dashboard Items'!$A$2:$A$495,0)),""))="Program",IF(ISNUMBER(SEARCH("ks",G158)),IF(O158="No","Program, also at Key Service: not counted","Counts in Key Service gauge + sets Program chip"),IF(O158="No","Program: shown, no status chip","Sets Program status chip")),IF(IF(D158&lt;&gt;"",D158,IFERROR(INDEX('Dashboard Items'!$B$2:$B$495,MATCH(E158,'Dashboard Items'!$A$2:$A$495,0)),""))="Work System","Work System: shown, not counted","Check Level"))))</f>
        <v/>
      </c>
    </row>
    <row r="159" spans="1:21" ht="15" customHeight="1" x14ac:dyDescent="0.2">
      <c r="B159" s="137"/>
      <c r="C159" s="137"/>
      <c r="D159" s="137"/>
      <c r="E159" s="137"/>
      <c r="F159" s="138" t="str">
        <f>IF(E159="","",IFERROR(IF(INDEX('Dashboard Items'!$B$2:$B$495,MATCH(E159,'Dashboard Items'!$A$2:$A$495,0))="Objective","Objectives go in the next column",IF(OR(D159="",INDEX('Dashboard Items'!$B$2:$B$495,MATCH(E159,'Dashboard Items'!$A$2:$A$495,0))=D159),INDEX('Dashboard Items'!$C$2:$C$495,MATCH(E159,'Dashboard Items'!$A$2:$A$495,0)),"Level does not match ID")),"ID not found"))</f>
        <v/>
      </c>
      <c r="G159" s="139"/>
      <c r="H159" s="138" t="str">
        <f>IF(G159="","",IF(ISNUMBER(SEARCH(",",G159)),"Several items (the script lists them)",IFERROR(INDEX('Dashboard Items'!$B$2:$B$495,MATCH(G159,'Dashboard Items'!$A$2:$A$495,0))&amp;": "&amp;INDEX('Dashboard Items'!$C$2:$C$495,MATCH(G159,'Dashboard Items'!$A$2:$A$495,0)),"ID not found")))</f>
        <v/>
      </c>
      <c r="I159" s="137"/>
      <c r="J159" s="137"/>
      <c r="K159" s="137"/>
      <c r="L159" s="137"/>
      <c r="M159" s="137"/>
      <c r="N159" s="137"/>
      <c r="O159" s="137"/>
      <c r="P159" s="137"/>
      <c r="Q159" s="137"/>
      <c r="R159" s="137"/>
      <c r="S159" s="137"/>
      <c r="T159" s="137"/>
      <c r="U159" s="99" t="str">
        <f>IF(B159="","",IF(IF(D159&lt;&gt;"",D159,IFERROR(INDEX('Dashboard Items'!$B$2:$B$495,MATCH(E159,'Dashboard Items'!$A$2:$A$495,0)),""))="Key Service",IF(O159="No","Key Service: shown, not counted","Counts in Key Service gauge"),IF(IF(D159&lt;&gt;"",D159,IFERROR(INDEX('Dashboard Items'!$B$2:$B$495,MATCH(E159,'Dashboard Items'!$A$2:$A$495,0)),""))="Program",IF(ISNUMBER(SEARCH("ks",G159)),IF(O159="No","Program, also at Key Service: not counted","Counts in Key Service gauge + sets Program chip"),IF(O159="No","Program: shown, no status chip","Sets Program status chip")),IF(IF(D159&lt;&gt;"",D159,IFERROR(INDEX('Dashboard Items'!$B$2:$B$495,MATCH(E159,'Dashboard Items'!$A$2:$A$495,0)),""))="Work System","Work System: shown, not counted","Check Level"))))</f>
        <v/>
      </c>
    </row>
    <row r="160" spans="1:21" ht="15" customHeight="1" x14ac:dyDescent="0.2">
      <c r="B160" s="137"/>
      <c r="C160" s="137"/>
      <c r="D160" s="137"/>
      <c r="E160" s="137"/>
      <c r="F160" s="138" t="str">
        <f>IF(E160="","",IFERROR(IF(INDEX('Dashboard Items'!$B$2:$B$495,MATCH(E160,'Dashboard Items'!$A$2:$A$495,0))="Objective","Objectives go in the next column",IF(OR(D160="",INDEX('Dashboard Items'!$B$2:$B$495,MATCH(E160,'Dashboard Items'!$A$2:$A$495,0))=D160),INDEX('Dashboard Items'!$C$2:$C$495,MATCH(E160,'Dashboard Items'!$A$2:$A$495,0)),"Level does not match ID")),"ID not found"))</f>
        <v/>
      </c>
      <c r="G160" s="139"/>
      <c r="H160" s="138" t="str">
        <f>IF(G160="","",IF(ISNUMBER(SEARCH(",",G160)),"Several items (the script lists them)",IFERROR(INDEX('Dashboard Items'!$B$2:$B$495,MATCH(G160,'Dashboard Items'!$A$2:$A$495,0))&amp;": "&amp;INDEX('Dashboard Items'!$C$2:$C$495,MATCH(G160,'Dashboard Items'!$A$2:$A$495,0)),"ID not found")))</f>
        <v/>
      </c>
      <c r="I160" s="137"/>
      <c r="J160" s="137"/>
      <c r="K160" s="137"/>
      <c r="L160" s="137"/>
      <c r="M160" s="137"/>
      <c r="N160" s="137"/>
      <c r="O160" s="137"/>
      <c r="P160" s="137"/>
      <c r="Q160" s="137"/>
      <c r="R160" s="137"/>
      <c r="S160" s="137"/>
      <c r="T160" s="137"/>
      <c r="U160" s="99" t="str">
        <f>IF(B160="","",IF(IF(D160&lt;&gt;"",D160,IFERROR(INDEX('Dashboard Items'!$B$2:$B$495,MATCH(E160,'Dashboard Items'!$A$2:$A$495,0)),""))="Key Service",IF(O160="No","Key Service: shown, not counted","Counts in Key Service gauge"),IF(IF(D160&lt;&gt;"",D160,IFERROR(INDEX('Dashboard Items'!$B$2:$B$495,MATCH(E160,'Dashboard Items'!$A$2:$A$495,0)),""))="Program",IF(ISNUMBER(SEARCH("ks",G160)),IF(O160="No","Program, also at Key Service: not counted","Counts in Key Service gauge + sets Program chip"),IF(O160="No","Program: shown, no status chip","Sets Program status chip")),IF(IF(D160&lt;&gt;"",D160,IFERROR(INDEX('Dashboard Items'!$B$2:$B$495,MATCH(E160,'Dashboard Items'!$A$2:$A$495,0)),""))="Work System","Work System: shown, not counted","Check Level"))))</f>
        <v/>
      </c>
    </row>
    <row r="161" spans="2:21" ht="15" customHeight="1" x14ac:dyDescent="0.2">
      <c r="B161" s="137"/>
      <c r="C161" s="137"/>
      <c r="D161" s="137"/>
      <c r="E161" s="137"/>
      <c r="F161" s="138" t="str">
        <f>IF(E161="","",IFERROR(IF(INDEX('Dashboard Items'!$B$2:$B$495,MATCH(E161,'Dashboard Items'!$A$2:$A$495,0))="Objective","Objectives go in the next column",IF(OR(D161="",INDEX('Dashboard Items'!$B$2:$B$495,MATCH(E161,'Dashboard Items'!$A$2:$A$495,0))=D161),INDEX('Dashboard Items'!$C$2:$C$495,MATCH(E161,'Dashboard Items'!$A$2:$A$495,0)),"Level does not match ID")),"ID not found"))</f>
        <v/>
      </c>
      <c r="G161" s="139"/>
      <c r="H161" s="138" t="str">
        <f>IF(G161="","",IF(ISNUMBER(SEARCH(",",G161)),"Several items (the script lists them)",IFERROR(INDEX('Dashboard Items'!$B$2:$B$495,MATCH(G161,'Dashboard Items'!$A$2:$A$495,0))&amp;": "&amp;INDEX('Dashboard Items'!$C$2:$C$495,MATCH(G161,'Dashboard Items'!$A$2:$A$495,0)),"ID not found")))</f>
        <v/>
      </c>
      <c r="I161" s="137"/>
      <c r="J161" s="137"/>
      <c r="K161" s="137"/>
      <c r="L161" s="137"/>
      <c r="M161" s="137"/>
      <c r="N161" s="137"/>
      <c r="O161" s="137"/>
      <c r="P161" s="137"/>
      <c r="Q161" s="137"/>
      <c r="R161" s="137"/>
      <c r="S161" s="137"/>
      <c r="T161" s="137"/>
      <c r="U161" s="99" t="str">
        <f>IF(B161="","",IF(IF(D161&lt;&gt;"",D161,IFERROR(INDEX('Dashboard Items'!$B$2:$B$495,MATCH(E161,'Dashboard Items'!$A$2:$A$495,0)),""))="Key Service",IF(O161="No","Key Service: shown, not counted","Counts in Key Service gauge"),IF(IF(D161&lt;&gt;"",D161,IFERROR(INDEX('Dashboard Items'!$B$2:$B$495,MATCH(E161,'Dashboard Items'!$A$2:$A$495,0)),""))="Program",IF(ISNUMBER(SEARCH("ks",G161)),IF(O161="No","Program, also at Key Service: not counted","Counts in Key Service gauge + sets Program chip"),IF(O161="No","Program: shown, no status chip","Sets Program status chip")),IF(IF(D161&lt;&gt;"",D161,IFERROR(INDEX('Dashboard Items'!$B$2:$B$495,MATCH(E161,'Dashboard Items'!$A$2:$A$495,0)),""))="Work System","Work System: shown, not counted","Check Level"))))</f>
        <v/>
      </c>
    </row>
    <row r="162" spans="2:21" ht="15" customHeight="1" x14ac:dyDescent="0.2">
      <c r="B162" s="137"/>
      <c r="C162" s="137"/>
      <c r="D162" s="137"/>
      <c r="E162" s="137"/>
      <c r="F162" s="138" t="str">
        <f>IF(E162="","",IFERROR(IF(INDEX('Dashboard Items'!$B$2:$B$495,MATCH(E162,'Dashboard Items'!$A$2:$A$495,0))="Objective","Objectives go in the next column",IF(OR(D162="",INDEX('Dashboard Items'!$B$2:$B$495,MATCH(E162,'Dashboard Items'!$A$2:$A$495,0))=D162),INDEX('Dashboard Items'!$C$2:$C$495,MATCH(E162,'Dashboard Items'!$A$2:$A$495,0)),"Level does not match ID")),"ID not found"))</f>
        <v/>
      </c>
      <c r="G162" s="139"/>
      <c r="H162" s="138" t="str">
        <f>IF(G162="","",IF(ISNUMBER(SEARCH(",",G162)),"Several items (the script lists them)",IFERROR(INDEX('Dashboard Items'!$B$2:$B$495,MATCH(G162,'Dashboard Items'!$A$2:$A$495,0))&amp;": "&amp;INDEX('Dashboard Items'!$C$2:$C$495,MATCH(G162,'Dashboard Items'!$A$2:$A$495,0)),"ID not found")))</f>
        <v/>
      </c>
      <c r="I162" s="137"/>
      <c r="J162" s="137"/>
      <c r="K162" s="137"/>
      <c r="L162" s="137"/>
      <c r="M162" s="137"/>
      <c r="N162" s="137"/>
      <c r="O162" s="137"/>
      <c r="P162" s="137"/>
      <c r="Q162" s="137"/>
      <c r="R162" s="137"/>
      <c r="S162" s="137"/>
      <c r="T162" s="137"/>
      <c r="U162" s="99" t="str">
        <f>IF(B162="","",IF(IF(D162&lt;&gt;"",D162,IFERROR(INDEX('Dashboard Items'!$B$2:$B$495,MATCH(E162,'Dashboard Items'!$A$2:$A$495,0)),""))="Key Service",IF(O162="No","Key Service: shown, not counted","Counts in Key Service gauge"),IF(IF(D162&lt;&gt;"",D162,IFERROR(INDEX('Dashboard Items'!$B$2:$B$495,MATCH(E162,'Dashboard Items'!$A$2:$A$495,0)),""))="Program",IF(ISNUMBER(SEARCH("ks",G162)),IF(O162="No","Program, also at Key Service: not counted","Counts in Key Service gauge + sets Program chip"),IF(O162="No","Program: shown, no status chip","Sets Program status chip")),IF(IF(D162&lt;&gt;"",D162,IFERROR(INDEX('Dashboard Items'!$B$2:$B$495,MATCH(E162,'Dashboard Items'!$A$2:$A$495,0)),""))="Work System","Work System: shown, not counted","Check Level"))))</f>
        <v/>
      </c>
    </row>
    <row r="163" spans="2:21" ht="15" customHeight="1" x14ac:dyDescent="0.2">
      <c r="B163" s="137"/>
      <c r="C163" s="137"/>
      <c r="D163" s="137"/>
      <c r="E163" s="137"/>
      <c r="F163" s="138" t="str">
        <f>IF(E163="","",IFERROR(IF(INDEX('Dashboard Items'!$B$2:$B$495,MATCH(E163,'Dashboard Items'!$A$2:$A$495,0))="Objective","Objectives go in the next column",IF(OR(D163="",INDEX('Dashboard Items'!$B$2:$B$495,MATCH(E163,'Dashboard Items'!$A$2:$A$495,0))=D163),INDEX('Dashboard Items'!$C$2:$C$495,MATCH(E163,'Dashboard Items'!$A$2:$A$495,0)),"Level does not match ID")),"ID not found"))</f>
        <v/>
      </c>
      <c r="G163" s="139"/>
      <c r="H163" s="138" t="str">
        <f>IF(G163="","",IF(ISNUMBER(SEARCH(",",G163)),"Several items (the script lists them)",IFERROR(INDEX('Dashboard Items'!$B$2:$B$495,MATCH(G163,'Dashboard Items'!$A$2:$A$495,0))&amp;": "&amp;INDEX('Dashboard Items'!$C$2:$C$495,MATCH(G163,'Dashboard Items'!$A$2:$A$495,0)),"ID not found")))</f>
        <v/>
      </c>
      <c r="I163" s="137"/>
      <c r="J163" s="137"/>
      <c r="K163" s="137"/>
      <c r="L163" s="137"/>
      <c r="M163" s="137"/>
      <c r="N163" s="137"/>
      <c r="O163" s="137"/>
      <c r="P163" s="137"/>
      <c r="Q163" s="137"/>
      <c r="R163" s="137"/>
      <c r="S163" s="137"/>
      <c r="T163" s="137"/>
      <c r="U163" s="99" t="str">
        <f>IF(B163="","",IF(IF(D163&lt;&gt;"",D163,IFERROR(INDEX('Dashboard Items'!$B$2:$B$495,MATCH(E163,'Dashboard Items'!$A$2:$A$495,0)),""))="Key Service",IF(O163="No","Key Service: shown, not counted","Counts in Key Service gauge"),IF(IF(D163&lt;&gt;"",D163,IFERROR(INDEX('Dashboard Items'!$B$2:$B$495,MATCH(E163,'Dashboard Items'!$A$2:$A$495,0)),""))="Program",IF(ISNUMBER(SEARCH("ks",G163)),IF(O163="No","Program, also at Key Service: not counted","Counts in Key Service gauge + sets Program chip"),IF(O163="No","Program: shown, no status chip","Sets Program status chip")),IF(IF(D163&lt;&gt;"",D163,IFERROR(INDEX('Dashboard Items'!$B$2:$B$495,MATCH(E163,'Dashboard Items'!$A$2:$A$495,0)),""))="Work System","Work System: shown, not counted","Check Level"))))</f>
        <v/>
      </c>
    </row>
    <row r="164" spans="2:21" ht="15" customHeight="1" x14ac:dyDescent="0.2">
      <c r="B164" s="137"/>
      <c r="C164" s="137"/>
      <c r="D164" s="137"/>
      <c r="E164" s="137"/>
      <c r="F164" s="138" t="str">
        <f>IF(E164="","",IFERROR(IF(INDEX('Dashboard Items'!$B$2:$B$495,MATCH(E164,'Dashboard Items'!$A$2:$A$495,0))="Objective","Objectives go in the next column",IF(OR(D164="",INDEX('Dashboard Items'!$B$2:$B$495,MATCH(E164,'Dashboard Items'!$A$2:$A$495,0))=D164),INDEX('Dashboard Items'!$C$2:$C$495,MATCH(E164,'Dashboard Items'!$A$2:$A$495,0)),"Level does not match ID")),"ID not found"))</f>
        <v/>
      </c>
      <c r="G164" s="139"/>
      <c r="H164" s="138" t="str">
        <f>IF(G164="","",IF(ISNUMBER(SEARCH(",",G164)),"Several items (the script lists them)",IFERROR(INDEX('Dashboard Items'!$B$2:$B$495,MATCH(G164,'Dashboard Items'!$A$2:$A$495,0))&amp;": "&amp;INDEX('Dashboard Items'!$C$2:$C$495,MATCH(G164,'Dashboard Items'!$A$2:$A$495,0)),"ID not found")))</f>
        <v/>
      </c>
      <c r="I164" s="137"/>
      <c r="J164" s="137"/>
      <c r="K164" s="137"/>
      <c r="L164" s="137"/>
      <c r="M164" s="137"/>
      <c r="N164" s="137"/>
      <c r="O164" s="137"/>
      <c r="P164" s="137"/>
      <c r="Q164" s="137"/>
      <c r="R164" s="137"/>
      <c r="S164" s="137"/>
      <c r="T164" s="137"/>
      <c r="U164" s="99" t="str">
        <f>IF(B164="","",IF(IF(D164&lt;&gt;"",D164,IFERROR(INDEX('Dashboard Items'!$B$2:$B$495,MATCH(E164,'Dashboard Items'!$A$2:$A$495,0)),""))="Key Service",IF(O164="No","Key Service: shown, not counted","Counts in Key Service gauge"),IF(IF(D164&lt;&gt;"",D164,IFERROR(INDEX('Dashboard Items'!$B$2:$B$495,MATCH(E164,'Dashboard Items'!$A$2:$A$495,0)),""))="Program",IF(ISNUMBER(SEARCH("ks",G164)),IF(O164="No","Program, also at Key Service: not counted","Counts in Key Service gauge + sets Program chip"),IF(O164="No","Program: shown, no status chip","Sets Program status chip")),IF(IF(D164&lt;&gt;"",D164,IFERROR(INDEX('Dashboard Items'!$B$2:$B$495,MATCH(E164,'Dashboard Items'!$A$2:$A$495,0)),""))="Work System","Work System: shown, not counted","Check Level"))))</f>
        <v/>
      </c>
    </row>
    <row r="165" spans="2:21" ht="15" customHeight="1" x14ac:dyDescent="0.2">
      <c r="B165" s="137"/>
      <c r="C165" s="137"/>
      <c r="D165" s="137"/>
      <c r="E165" s="137"/>
      <c r="F165" s="138" t="str">
        <f>IF(E165="","",IFERROR(IF(INDEX('Dashboard Items'!$B$2:$B$495,MATCH(E165,'Dashboard Items'!$A$2:$A$495,0))="Objective","Objectives go in the next column",IF(OR(D165="",INDEX('Dashboard Items'!$B$2:$B$495,MATCH(E165,'Dashboard Items'!$A$2:$A$495,0))=D165),INDEX('Dashboard Items'!$C$2:$C$495,MATCH(E165,'Dashboard Items'!$A$2:$A$495,0)),"Level does not match ID")),"ID not found"))</f>
        <v/>
      </c>
      <c r="G165" s="139"/>
      <c r="H165" s="138" t="str">
        <f>IF(G165="","",IF(ISNUMBER(SEARCH(",",G165)),"Several items (the script lists them)",IFERROR(INDEX('Dashboard Items'!$B$2:$B$495,MATCH(G165,'Dashboard Items'!$A$2:$A$495,0))&amp;": "&amp;INDEX('Dashboard Items'!$C$2:$C$495,MATCH(G165,'Dashboard Items'!$A$2:$A$495,0)),"ID not found")))</f>
        <v/>
      </c>
      <c r="I165" s="137"/>
      <c r="J165" s="137"/>
      <c r="K165" s="137"/>
      <c r="L165" s="137"/>
      <c r="M165" s="137"/>
      <c r="N165" s="137"/>
      <c r="O165" s="137"/>
      <c r="P165" s="137"/>
      <c r="Q165" s="137"/>
      <c r="R165" s="137"/>
      <c r="S165" s="137"/>
      <c r="T165" s="137"/>
      <c r="U165" s="99" t="str">
        <f>IF(B165="","",IF(IF(D165&lt;&gt;"",D165,IFERROR(INDEX('Dashboard Items'!$B$2:$B$495,MATCH(E165,'Dashboard Items'!$A$2:$A$495,0)),""))="Key Service",IF(O165="No","Key Service: shown, not counted","Counts in Key Service gauge"),IF(IF(D165&lt;&gt;"",D165,IFERROR(INDEX('Dashboard Items'!$B$2:$B$495,MATCH(E165,'Dashboard Items'!$A$2:$A$495,0)),""))="Program",IF(ISNUMBER(SEARCH("ks",G165)),IF(O165="No","Program, also at Key Service: not counted","Counts in Key Service gauge + sets Program chip"),IF(O165="No","Program: shown, no status chip","Sets Program status chip")),IF(IF(D165&lt;&gt;"",D165,IFERROR(INDEX('Dashboard Items'!$B$2:$B$495,MATCH(E165,'Dashboard Items'!$A$2:$A$495,0)),""))="Work System","Work System: shown, not counted","Check Level"))))</f>
        <v/>
      </c>
    </row>
    <row r="166" spans="2:21" ht="15" customHeight="1" x14ac:dyDescent="0.2">
      <c r="B166" s="137"/>
      <c r="C166" s="137"/>
      <c r="D166" s="137"/>
      <c r="E166" s="137"/>
      <c r="F166" s="138" t="str">
        <f>IF(E166="","",IFERROR(IF(INDEX('Dashboard Items'!$B$2:$B$495,MATCH(E166,'Dashboard Items'!$A$2:$A$495,0))="Objective","Objectives go in the next column",IF(OR(D166="",INDEX('Dashboard Items'!$B$2:$B$495,MATCH(E166,'Dashboard Items'!$A$2:$A$495,0))=D166),INDEX('Dashboard Items'!$C$2:$C$495,MATCH(E166,'Dashboard Items'!$A$2:$A$495,0)),"Level does not match ID")),"ID not found"))</f>
        <v/>
      </c>
      <c r="G166" s="139"/>
      <c r="H166" s="138" t="str">
        <f>IF(G166="","",IF(ISNUMBER(SEARCH(",",G166)),"Several items (the script lists them)",IFERROR(INDEX('Dashboard Items'!$B$2:$B$495,MATCH(G166,'Dashboard Items'!$A$2:$A$495,0))&amp;": "&amp;INDEX('Dashboard Items'!$C$2:$C$495,MATCH(G166,'Dashboard Items'!$A$2:$A$495,0)),"ID not found")))</f>
        <v/>
      </c>
      <c r="I166" s="137"/>
      <c r="J166" s="137"/>
      <c r="K166" s="137"/>
      <c r="L166" s="137"/>
      <c r="M166" s="137"/>
      <c r="N166" s="137"/>
      <c r="O166" s="137"/>
      <c r="P166" s="137"/>
      <c r="Q166" s="137"/>
      <c r="R166" s="137"/>
      <c r="S166" s="137"/>
      <c r="T166" s="137"/>
      <c r="U166" s="99" t="str">
        <f>IF(B166="","",IF(IF(D166&lt;&gt;"",D166,IFERROR(INDEX('Dashboard Items'!$B$2:$B$495,MATCH(E166,'Dashboard Items'!$A$2:$A$495,0)),""))="Key Service",IF(O166="No","Key Service: shown, not counted","Counts in Key Service gauge"),IF(IF(D166&lt;&gt;"",D166,IFERROR(INDEX('Dashboard Items'!$B$2:$B$495,MATCH(E166,'Dashboard Items'!$A$2:$A$495,0)),""))="Program",IF(ISNUMBER(SEARCH("ks",G166)),IF(O166="No","Program, also at Key Service: not counted","Counts in Key Service gauge + sets Program chip"),IF(O166="No","Program: shown, no status chip","Sets Program status chip")),IF(IF(D166&lt;&gt;"",D166,IFERROR(INDEX('Dashboard Items'!$B$2:$B$495,MATCH(E166,'Dashboard Items'!$A$2:$A$495,0)),""))="Work System","Work System: shown, not counted","Check Level"))))</f>
        <v/>
      </c>
    </row>
    <row r="167" spans="2:21" ht="15" customHeight="1" x14ac:dyDescent="0.2">
      <c r="B167" s="137"/>
      <c r="C167" s="137"/>
      <c r="D167" s="137"/>
      <c r="E167" s="137"/>
      <c r="F167" s="138" t="str">
        <f>IF(E167="","",IFERROR(IF(INDEX('Dashboard Items'!$B$2:$B$495,MATCH(E167,'Dashboard Items'!$A$2:$A$495,0))="Objective","Objectives go in the next column",IF(OR(D167="",INDEX('Dashboard Items'!$B$2:$B$495,MATCH(E167,'Dashboard Items'!$A$2:$A$495,0))=D167),INDEX('Dashboard Items'!$C$2:$C$495,MATCH(E167,'Dashboard Items'!$A$2:$A$495,0)),"Level does not match ID")),"ID not found"))</f>
        <v/>
      </c>
      <c r="G167" s="139"/>
      <c r="H167" s="138" t="str">
        <f>IF(G167="","",IF(ISNUMBER(SEARCH(",",G167)),"Several items (the script lists them)",IFERROR(INDEX('Dashboard Items'!$B$2:$B$495,MATCH(G167,'Dashboard Items'!$A$2:$A$495,0))&amp;": "&amp;INDEX('Dashboard Items'!$C$2:$C$495,MATCH(G167,'Dashboard Items'!$A$2:$A$495,0)),"ID not found")))</f>
        <v/>
      </c>
      <c r="I167" s="137"/>
      <c r="J167" s="137"/>
      <c r="K167" s="137"/>
      <c r="L167" s="137"/>
      <c r="M167" s="137"/>
      <c r="N167" s="137"/>
      <c r="O167" s="137"/>
      <c r="P167" s="137"/>
      <c r="Q167" s="137"/>
      <c r="R167" s="137"/>
      <c r="S167" s="137"/>
      <c r="T167" s="137"/>
      <c r="U167" s="99" t="str">
        <f>IF(B167="","",IF(IF(D167&lt;&gt;"",D167,IFERROR(INDEX('Dashboard Items'!$B$2:$B$495,MATCH(E167,'Dashboard Items'!$A$2:$A$495,0)),""))="Key Service",IF(O167="No","Key Service: shown, not counted","Counts in Key Service gauge"),IF(IF(D167&lt;&gt;"",D167,IFERROR(INDEX('Dashboard Items'!$B$2:$B$495,MATCH(E167,'Dashboard Items'!$A$2:$A$495,0)),""))="Program",IF(ISNUMBER(SEARCH("ks",G167)),IF(O167="No","Program, also at Key Service: not counted","Counts in Key Service gauge + sets Program chip"),IF(O167="No","Program: shown, no status chip","Sets Program status chip")),IF(IF(D167&lt;&gt;"",D167,IFERROR(INDEX('Dashboard Items'!$B$2:$B$495,MATCH(E167,'Dashboard Items'!$A$2:$A$495,0)),""))="Work System","Work System: shown, not counted","Check Level"))))</f>
        <v/>
      </c>
    </row>
    <row r="168" spans="2:21" ht="15" customHeight="1" x14ac:dyDescent="0.2">
      <c r="B168" s="137"/>
      <c r="C168" s="137"/>
      <c r="D168" s="137"/>
      <c r="E168" s="137"/>
      <c r="F168" s="138" t="str">
        <f>IF(E168="","",IFERROR(IF(INDEX('Dashboard Items'!$B$2:$B$495,MATCH(E168,'Dashboard Items'!$A$2:$A$495,0))="Objective","Objectives go in the next column",IF(OR(D168="",INDEX('Dashboard Items'!$B$2:$B$495,MATCH(E168,'Dashboard Items'!$A$2:$A$495,0))=D168),INDEX('Dashboard Items'!$C$2:$C$495,MATCH(E168,'Dashboard Items'!$A$2:$A$495,0)),"Level does not match ID")),"ID not found"))</f>
        <v/>
      </c>
      <c r="G168" s="139"/>
      <c r="H168" s="138" t="str">
        <f>IF(G168="","",IF(ISNUMBER(SEARCH(",",G168)),"Several items (the script lists them)",IFERROR(INDEX('Dashboard Items'!$B$2:$B$495,MATCH(G168,'Dashboard Items'!$A$2:$A$495,0))&amp;": "&amp;INDEX('Dashboard Items'!$C$2:$C$495,MATCH(G168,'Dashboard Items'!$A$2:$A$495,0)),"ID not found")))</f>
        <v/>
      </c>
      <c r="I168" s="137"/>
      <c r="J168" s="137"/>
      <c r="K168" s="137"/>
      <c r="L168" s="137"/>
      <c r="M168" s="137"/>
      <c r="N168" s="137"/>
      <c r="O168" s="137"/>
      <c r="P168" s="137"/>
      <c r="Q168" s="137"/>
      <c r="R168" s="137"/>
      <c r="S168" s="137"/>
      <c r="T168" s="137"/>
      <c r="U168" s="99" t="str">
        <f>IF(B168="","",IF(IF(D168&lt;&gt;"",D168,IFERROR(INDEX('Dashboard Items'!$B$2:$B$495,MATCH(E168,'Dashboard Items'!$A$2:$A$495,0)),""))="Key Service",IF(O168="No","Key Service: shown, not counted","Counts in Key Service gauge"),IF(IF(D168&lt;&gt;"",D168,IFERROR(INDEX('Dashboard Items'!$B$2:$B$495,MATCH(E168,'Dashboard Items'!$A$2:$A$495,0)),""))="Program",IF(ISNUMBER(SEARCH("ks",G168)),IF(O168="No","Program, also at Key Service: not counted","Counts in Key Service gauge + sets Program chip"),IF(O168="No","Program: shown, no status chip","Sets Program status chip")),IF(IF(D168&lt;&gt;"",D168,IFERROR(INDEX('Dashboard Items'!$B$2:$B$495,MATCH(E168,'Dashboard Items'!$A$2:$A$495,0)),""))="Work System","Work System: shown, not counted","Check Level"))))</f>
        <v/>
      </c>
    </row>
    <row r="169" spans="2:21" ht="15" customHeight="1" x14ac:dyDescent="0.2">
      <c r="B169" s="137"/>
      <c r="C169" s="137"/>
      <c r="D169" s="137"/>
      <c r="E169" s="137"/>
      <c r="F169" s="138" t="str">
        <f>IF(E169="","",IFERROR(IF(INDEX('Dashboard Items'!$B$2:$B$495,MATCH(E169,'Dashboard Items'!$A$2:$A$495,0))="Objective","Objectives go in the next column",IF(OR(D169="",INDEX('Dashboard Items'!$B$2:$B$495,MATCH(E169,'Dashboard Items'!$A$2:$A$495,0))=D169),INDEX('Dashboard Items'!$C$2:$C$495,MATCH(E169,'Dashboard Items'!$A$2:$A$495,0)),"Level does not match ID")),"ID not found"))</f>
        <v/>
      </c>
      <c r="G169" s="139"/>
      <c r="H169" s="138" t="str">
        <f>IF(G169="","",IF(ISNUMBER(SEARCH(",",G169)),"Several items (the script lists them)",IFERROR(INDEX('Dashboard Items'!$B$2:$B$495,MATCH(G169,'Dashboard Items'!$A$2:$A$495,0))&amp;": "&amp;INDEX('Dashboard Items'!$C$2:$C$495,MATCH(G169,'Dashboard Items'!$A$2:$A$495,0)),"ID not found")))</f>
        <v/>
      </c>
      <c r="I169" s="137"/>
      <c r="J169" s="137"/>
      <c r="K169" s="137"/>
      <c r="L169" s="137"/>
      <c r="M169" s="137"/>
      <c r="N169" s="137"/>
      <c r="O169" s="137"/>
      <c r="P169" s="137"/>
      <c r="Q169" s="137"/>
      <c r="R169" s="137"/>
      <c r="S169" s="137"/>
      <c r="T169" s="137"/>
      <c r="U169" s="99" t="str">
        <f>IF(B169="","",IF(IF(D169&lt;&gt;"",D169,IFERROR(INDEX('Dashboard Items'!$B$2:$B$495,MATCH(E169,'Dashboard Items'!$A$2:$A$495,0)),""))="Key Service",IF(O169="No","Key Service: shown, not counted","Counts in Key Service gauge"),IF(IF(D169&lt;&gt;"",D169,IFERROR(INDEX('Dashboard Items'!$B$2:$B$495,MATCH(E169,'Dashboard Items'!$A$2:$A$495,0)),""))="Program",IF(ISNUMBER(SEARCH("ks",G169)),IF(O169="No","Program, also at Key Service: not counted","Counts in Key Service gauge + sets Program chip"),IF(O169="No","Program: shown, no status chip","Sets Program status chip")),IF(IF(D169&lt;&gt;"",D169,IFERROR(INDEX('Dashboard Items'!$B$2:$B$495,MATCH(E169,'Dashboard Items'!$A$2:$A$495,0)),""))="Work System","Work System: shown, not counted","Check Level"))))</f>
        <v/>
      </c>
    </row>
    <row r="170" spans="2:21" ht="15" customHeight="1" x14ac:dyDescent="0.2">
      <c r="B170" s="137"/>
      <c r="C170" s="137"/>
      <c r="D170" s="137"/>
      <c r="E170" s="137"/>
      <c r="F170" s="138" t="str">
        <f>IF(E170="","",IFERROR(IF(INDEX('Dashboard Items'!$B$2:$B$495,MATCH(E170,'Dashboard Items'!$A$2:$A$495,0))="Objective","Objectives go in the next column",IF(OR(D170="",INDEX('Dashboard Items'!$B$2:$B$495,MATCH(E170,'Dashboard Items'!$A$2:$A$495,0))=D170),INDEX('Dashboard Items'!$C$2:$C$495,MATCH(E170,'Dashboard Items'!$A$2:$A$495,0)),"Level does not match ID")),"ID not found"))</f>
        <v/>
      </c>
      <c r="G170" s="139"/>
      <c r="H170" s="138" t="str">
        <f>IF(G170="","",IF(ISNUMBER(SEARCH(",",G170)),"Several items (the script lists them)",IFERROR(INDEX('Dashboard Items'!$B$2:$B$495,MATCH(G170,'Dashboard Items'!$A$2:$A$495,0))&amp;": "&amp;INDEX('Dashboard Items'!$C$2:$C$495,MATCH(G170,'Dashboard Items'!$A$2:$A$495,0)),"ID not found")))</f>
        <v/>
      </c>
      <c r="I170" s="137"/>
      <c r="J170" s="137"/>
      <c r="K170" s="137"/>
      <c r="L170" s="137"/>
      <c r="M170" s="137"/>
      <c r="N170" s="137"/>
      <c r="O170" s="137"/>
      <c r="P170" s="137"/>
      <c r="Q170" s="137"/>
      <c r="R170" s="137"/>
      <c r="S170" s="137"/>
      <c r="T170" s="137"/>
      <c r="U170" s="99" t="str">
        <f>IF(B170="","",IF(IF(D170&lt;&gt;"",D170,IFERROR(INDEX('Dashboard Items'!$B$2:$B$495,MATCH(E170,'Dashboard Items'!$A$2:$A$495,0)),""))="Key Service",IF(O170="No","Key Service: shown, not counted","Counts in Key Service gauge"),IF(IF(D170&lt;&gt;"",D170,IFERROR(INDEX('Dashboard Items'!$B$2:$B$495,MATCH(E170,'Dashboard Items'!$A$2:$A$495,0)),""))="Program",IF(ISNUMBER(SEARCH("ks",G170)),IF(O170="No","Program, also at Key Service: not counted","Counts in Key Service gauge + sets Program chip"),IF(O170="No","Program: shown, no status chip","Sets Program status chip")),IF(IF(D170&lt;&gt;"",D170,IFERROR(INDEX('Dashboard Items'!$B$2:$B$495,MATCH(E170,'Dashboard Items'!$A$2:$A$495,0)),""))="Work System","Work System: shown, not counted","Check Level"))))</f>
        <v/>
      </c>
    </row>
    <row r="171" spans="2:21" ht="15" customHeight="1" x14ac:dyDescent="0.2">
      <c r="B171" s="137"/>
      <c r="C171" s="137"/>
      <c r="D171" s="137"/>
      <c r="E171" s="137"/>
      <c r="F171" s="138" t="str">
        <f>IF(E171="","",IFERROR(IF(INDEX('Dashboard Items'!$B$2:$B$495,MATCH(E171,'Dashboard Items'!$A$2:$A$495,0))="Objective","Objectives go in the next column",IF(OR(D171="",INDEX('Dashboard Items'!$B$2:$B$495,MATCH(E171,'Dashboard Items'!$A$2:$A$495,0))=D171),INDEX('Dashboard Items'!$C$2:$C$495,MATCH(E171,'Dashboard Items'!$A$2:$A$495,0)),"Level does not match ID")),"ID not found"))</f>
        <v/>
      </c>
      <c r="G171" s="139"/>
      <c r="H171" s="138" t="str">
        <f>IF(G171="","",IF(ISNUMBER(SEARCH(",",G171)),"Several items (the script lists them)",IFERROR(INDEX('Dashboard Items'!$B$2:$B$495,MATCH(G171,'Dashboard Items'!$A$2:$A$495,0))&amp;": "&amp;INDEX('Dashboard Items'!$C$2:$C$495,MATCH(G171,'Dashboard Items'!$A$2:$A$495,0)),"ID not found")))</f>
        <v/>
      </c>
      <c r="I171" s="137"/>
      <c r="J171" s="137"/>
      <c r="K171" s="137"/>
      <c r="L171" s="137"/>
      <c r="M171" s="137"/>
      <c r="N171" s="137"/>
      <c r="O171" s="137"/>
      <c r="P171" s="137"/>
      <c r="Q171" s="137"/>
      <c r="R171" s="137"/>
      <c r="S171" s="137"/>
      <c r="T171" s="137"/>
      <c r="U171" s="99" t="str">
        <f>IF(B171="","",IF(IF(D171&lt;&gt;"",D171,IFERROR(INDEX('Dashboard Items'!$B$2:$B$495,MATCH(E171,'Dashboard Items'!$A$2:$A$495,0)),""))="Key Service",IF(O171="No","Key Service: shown, not counted","Counts in Key Service gauge"),IF(IF(D171&lt;&gt;"",D171,IFERROR(INDEX('Dashboard Items'!$B$2:$B$495,MATCH(E171,'Dashboard Items'!$A$2:$A$495,0)),""))="Program",IF(ISNUMBER(SEARCH("ks",G171)),IF(O171="No","Program, also at Key Service: not counted","Counts in Key Service gauge + sets Program chip"),IF(O171="No","Program: shown, no status chip","Sets Program status chip")),IF(IF(D171&lt;&gt;"",D171,IFERROR(INDEX('Dashboard Items'!$B$2:$B$495,MATCH(E171,'Dashboard Items'!$A$2:$A$495,0)),""))="Work System","Work System: shown, not counted","Check Level"))))</f>
        <v/>
      </c>
    </row>
    <row r="172" spans="2:21" ht="15" customHeight="1" x14ac:dyDescent="0.2">
      <c r="B172" s="137"/>
      <c r="C172" s="137"/>
      <c r="D172" s="137"/>
      <c r="E172" s="137"/>
      <c r="F172" s="138" t="str">
        <f>IF(E172="","",IFERROR(IF(INDEX('Dashboard Items'!$B$2:$B$495,MATCH(E172,'Dashboard Items'!$A$2:$A$495,0))="Objective","Objectives go in the next column",IF(OR(D172="",INDEX('Dashboard Items'!$B$2:$B$495,MATCH(E172,'Dashboard Items'!$A$2:$A$495,0))=D172),INDEX('Dashboard Items'!$C$2:$C$495,MATCH(E172,'Dashboard Items'!$A$2:$A$495,0)),"Level does not match ID")),"ID not found"))</f>
        <v/>
      </c>
      <c r="G172" s="139"/>
      <c r="H172" s="138" t="str">
        <f>IF(G172="","",IF(ISNUMBER(SEARCH(",",G172)),"Several items (the script lists them)",IFERROR(INDEX('Dashboard Items'!$B$2:$B$495,MATCH(G172,'Dashboard Items'!$A$2:$A$495,0))&amp;": "&amp;INDEX('Dashboard Items'!$C$2:$C$495,MATCH(G172,'Dashboard Items'!$A$2:$A$495,0)),"ID not found")))</f>
        <v/>
      </c>
      <c r="I172" s="137"/>
      <c r="J172" s="137"/>
      <c r="K172" s="137"/>
      <c r="L172" s="137"/>
      <c r="M172" s="137"/>
      <c r="N172" s="137"/>
      <c r="O172" s="137"/>
      <c r="P172" s="137"/>
      <c r="Q172" s="137"/>
      <c r="R172" s="137"/>
      <c r="S172" s="137"/>
      <c r="T172" s="137"/>
      <c r="U172" s="99" t="str">
        <f>IF(B172="","",IF(IF(D172&lt;&gt;"",D172,IFERROR(INDEX('Dashboard Items'!$B$2:$B$495,MATCH(E172,'Dashboard Items'!$A$2:$A$495,0)),""))="Key Service",IF(O172="No","Key Service: shown, not counted","Counts in Key Service gauge"),IF(IF(D172&lt;&gt;"",D172,IFERROR(INDEX('Dashboard Items'!$B$2:$B$495,MATCH(E172,'Dashboard Items'!$A$2:$A$495,0)),""))="Program",IF(ISNUMBER(SEARCH("ks",G172)),IF(O172="No","Program, also at Key Service: not counted","Counts in Key Service gauge + sets Program chip"),IF(O172="No","Program: shown, no status chip","Sets Program status chip")),IF(IF(D172&lt;&gt;"",D172,IFERROR(INDEX('Dashboard Items'!$B$2:$B$495,MATCH(E172,'Dashboard Items'!$A$2:$A$495,0)),""))="Work System","Work System: shown, not counted","Check Level"))))</f>
        <v/>
      </c>
    </row>
    <row r="173" spans="2:21" ht="15" customHeight="1" x14ac:dyDescent="0.2">
      <c r="B173" s="137"/>
      <c r="C173" s="137"/>
      <c r="D173" s="137"/>
      <c r="E173" s="137"/>
      <c r="F173" s="138" t="str">
        <f>IF(E173="","",IFERROR(IF(INDEX('Dashboard Items'!$B$2:$B$495,MATCH(E173,'Dashboard Items'!$A$2:$A$495,0))="Objective","Objectives go in the next column",IF(OR(D173="",INDEX('Dashboard Items'!$B$2:$B$495,MATCH(E173,'Dashboard Items'!$A$2:$A$495,0))=D173),INDEX('Dashboard Items'!$C$2:$C$495,MATCH(E173,'Dashboard Items'!$A$2:$A$495,0)),"Level does not match ID")),"ID not found"))</f>
        <v/>
      </c>
      <c r="G173" s="139"/>
      <c r="H173" s="138" t="str">
        <f>IF(G173="","",IF(ISNUMBER(SEARCH(",",G173)),"Several items (the script lists them)",IFERROR(INDEX('Dashboard Items'!$B$2:$B$495,MATCH(G173,'Dashboard Items'!$A$2:$A$495,0))&amp;": "&amp;INDEX('Dashboard Items'!$C$2:$C$495,MATCH(G173,'Dashboard Items'!$A$2:$A$495,0)),"ID not found")))</f>
        <v/>
      </c>
      <c r="I173" s="137"/>
      <c r="J173" s="137"/>
      <c r="K173" s="137"/>
      <c r="L173" s="137"/>
      <c r="M173" s="137"/>
      <c r="N173" s="137"/>
      <c r="O173" s="137"/>
      <c r="P173" s="137"/>
      <c r="Q173" s="137"/>
      <c r="R173" s="137"/>
      <c r="S173" s="137"/>
      <c r="T173" s="137"/>
      <c r="U173" s="99" t="str">
        <f>IF(B173="","",IF(IF(D173&lt;&gt;"",D173,IFERROR(INDEX('Dashboard Items'!$B$2:$B$495,MATCH(E173,'Dashboard Items'!$A$2:$A$495,0)),""))="Key Service",IF(O173="No","Key Service: shown, not counted","Counts in Key Service gauge"),IF(IF(D173&lt;&gt;"",D173,IFERROR(INDEX('Dashboard Items'!$B$2:$B$495,MATCH(E173,'Dashboard Items'!$A$2:$A$495,0)),""))="Program",IF(ISNUMBER(SEARCH("ks",G173)),IF(O173="No","Program, also at Key Service: not counted","Counts in Key Service gauge + sets Program chip"),IF(O173="No","Program: shown, no status chip","Sets Program status chip")),IF(IF(D173&lt;&gt;"",D173,IFERROR(INDEX('Dashboard Items'!$B$2:$B$495,MATCH(E173,'Dashboard Items'!$A$2:$A$495,0)),""))="Work System","Work System: shown, not counted","Check Level"))))</f>
        <v/>
      </c>
    </row>
    <row r="174" spans="2:21" ht="15" customHeight="1" x14ac:dyDescent="0.2">
      <c r="B174" s="137"/>
      <c r="C174" s="137"/>
      <c r="D174" s="137"/>
      <c r="E174" s="137"/>
      <c r="F174" s="138" t="str">
        <f>IF(E174="","",IFERROR(IF(INDEX('Dashboard Items'!$B$2:$B$495,MATCH(E174,'Dashboard Items'!$A$2:$A$495,0))="Objective","Objectives go in the next column",IF(OR(D174="",INDEX('Dashboard Items'!$B$2:$B$495,MATCH(E174,'Dashboard Items'!$A$2:$A$495,0))=D174),INDEX('Dashboard Items'!$C$2:$C$495,MATCH(E174,'Dashboard Items'!$A$2:$A$495,0)),"Level does not match ID")),"ID not found"))</f>
        <v/>
      </c>
      <c r="G174" s="139"/>
      <c r="H174" s="138" t="str">
        <f>IF(G174="","",IF(ISNUMBER(SEARCH(",",G174)),"Several items (the script lists them)",IFERROR(INDEX('Dashboard Items'!$B$2:$B$495,MATCH(G174,'Dashboard Items'!$A$2:$A$495,0))&amp;": "&amp;INDEX('Dashboard Items'!$C$2:$C$495,MATCH(G174,'Dashboard Items'!$A$2:$A$495,0)),"ID not found")))</f>
        <v/>
      </c>
      <c r="I174" s="137"/>
      <c r="J174" s="137"/>
      <c r="K174" s="137"/>
      <c r="L174" s="137"/>
      <c r="M174" s="137"/>
      <c r="N174" s="137"/>
      <c r="O174" s="137"/>
      <c r="P174" s="137"/>
      <c r="Q174" s="137"/>
      <c r="R174" s="137"/>
      <c r="S174" s="137"/>
      <c r="T174" s="137"/>
      <c r="U174" s="99" t="str">
        <f>IF(B174="","",IF(IF(D174&lt;&gt;"",D174,IFERROR(INDEX('Dashboard Items'!$B$2:$B$495,MATCH(E174,'Dashboard Items'!$A$2:$A$495,0)),""))="Key Service",IF(O174="No","Key Service: shown, not counted","Counts in Key Service gauge"),IF(IF(D174&lt;&gt;"",D174,IFERROR(INDEX('Dashboard Items'!$B$2:$B$495,MATCH(E174,'Dashboard Items'!$A$2:$A$495,0)),""))="Program",IF(ISNUMBER(SEARCH("ks",G174)),IF(O174="No","Program, also at Key Service: not counted","Counts in Key Service gauge + sets Program chip"),IF(O174="No","Program: shown, no status chip","Sets Program status chip")),IF(IF(D174&lt;&gt;"",D174,IFERROR(INDEX('Dashboard Items'!$B$2:$B$495,MATCH(E174,'Dashboard Items'!$A$2:$A$495,0)),""))="Work System","Work System: shown, not counted","Check Level"))))</f>
        <v/>
      </c>
    </row>
    <row r="175" spans="2:21" ht="15" customHeight="1" x14ac:dyDescent="0.2">
      <c r="B175" s="137"/>
      <c r="C175" s="137"/>
      <c r="D175" s="137"/>
      <c r="E175" s="137"/>
      <c r="F175" s="138" t="str">
        <f>IF(E175="","",IFERROR(IF(INDEX('Dashboard Items'!$B$2:$B$495,MATCH(E175,'Dashboard Items'!$A$2:$A$495,0))="Objective","Objectives go in the next column",IF(OR(D175="",INDEX('Dashboard Items'!$B$2:$B$495,MATCH(E175,'Dashboard Items'!$A$2:$A$495,0))=D175),INDEX('Dashboard Items'!$C$2:$C$495,MATCH(E175,'Dashboard Items'!$A$2:$A$495,0)),"Level does not match ID")),"ID not found"))</f>
        <v/>
      </c>
      <c r="G175" s="139"/>
      <c r="H175" s="138" t="str">
        <f>IF(G175="","",IF(ISNUMBER(SEARCH(",",G175)),"Several items (the script lists them)",IFERROR(INDEX('Dashboard Items'!$B$2:$B$495,MATCH(G175,'Dashboard Items'!$A$2:$A$495,0))&amp;": "&amp;INDEX('Dashboard Items'!$C$2:$C$495,MATCH(G175,'Dashboard Items'!$A$2:$A$495,0)),"ID not found")))</f>
        <v/>
      </c>
      <c r="I175" s="137"/>
      <c r="J175" s="137"/>
      <c r="K175" s="137"/>
      <c r="L175" s="137"/>
      <c r="M175" s="137"/>
      <c r="N175" s="137"/>
      <c r="O175" s="137"/>
      <c r="P175" s="137"/>
      <c r="Q175" s="137"/>
      <c r="R175" s="137"/>
      <c r="S175" s="137"/>
      <c r="T175" s="137"/>
      <c r="U175" s="99" t="str">
        <f>IF(B175="","",IF(IF(D175&lt;&gt;"",D175,IFERROR(INDEX('Dashboard Items'!$B$2:$B$495,MATCH(E175,'Dashboard Items'!$A$2:$A$495,0)),""))="Key Service",IF(O175="No","Key Service: shown, not counted","Counts in Key Service gauge"),IF(IF(D175&lt;&gt;"",D175,IFERROR(INDEX('Dashboard Items'!$B$2:$B$495,MATCH(E175,'Dashboard Items'!$A$2:$A$495,0)),""))="Program",IF(ISNUMBER(SEARCH("ks",G175)),IF(O175="No","Program, also at Key Service: not counted","Counts in Key Service gauge + sets Program chip"),IF(O175="No","Program: shown, no status chip","Sets Program status chip")),IF(IF(D175&lt;&gt;"",D175,IFERROR(INDEX('Dashboard Items'!$B$2:$B$495,MATCH(E175,'Dashboard Items'!$A$2:$A$495,0)),""))="Work System","Work System: shown, not counted","Check Level"))))</f>
        <v/>
      </c>
    </row>
    <row r="176" spans="2:21" ht="15" customHeight="1" x14ac:dyDescent="0.2">
      <c r="B176" s="137"/>
      <c r="C176" s="137"/>
      <c r="D176" s="137"/>
      <c r="E176" s="137"/>
      <c r="F176" s="138" t="str">
        <f>IF(E176="","",IFERROR(IF(INDEX('Dashboard Items'!$B$2:$B$495,MATCH(E176,'Dashboard Items'!$A$2:$A$495,0))="Objective","Objectives go in the next column",IF(OR(D176="",INDEX('Dashboard Items'!$B$2:$B$495,MATCH(E176,'Dashboard Items'!$A$2:$A$495,0))=D176),INDEX('Dashboard Items'!$C$2:$C$495,MATCH(E176,'Dashboard Items'!$A$2:$A$495,0)),"Level does not match ID")),"ID not found"))</f>
        <v/>
      </c>
      <c r="G176" s="139"/>
      <c r="H176" s="138" t="str">
        <f>IF(G176="","",IF(ISNUMBER(SEARCH(",",G176)),"Several items (the script lists them)",IFERROR(INDEX('Dashboard Items'!$B$2:$B$495,MATCH(G176,'Dashboard Items'!$A$2:$A$495,0))&amp;": "&amp;INDEX('Dashboard Items'!$C$2:$C$495,MATCH(G176,'Dashboard Items'!$A$2:$A$495,0)),"ID not found")))</f>
        <v/>
      </c>
      <c r="I176" s="137"/>
      <c r="J176" s="137"/>
      <c r="K176" s="137"/>
      <c r="L176" s="137"/>
      <c r="M176" s="137"/>
      <c r="N176" s="137"/>
      <c r="O176" s="137"/>
      <c r="P176" s="137"/>
      <c r="Q176" s="137"/>
      <c r="R176" s="137"/>
      <c r="S176" s="137"/>
      <c r="T176" s="137"/>
      <c r="U176" s="99" t="str">
        <f>IF(B176="","",IF(IF(D176&lt;&gt;"",D176,IFERROR(INDEX('Dashboard Items'!$B$2:$B$495,MATCH(E176,'Dashboard Items'!$A$2:$A$495,0)),""))="Key Service",IF(O176="No","Key Service: shown, not counted","Counts in Key Service gauge"),IF(IF(D176&lt;&gt;"",D176,IFERROR(INDEX('Dashboard Items'!$B$2:$B$495,MATCH(E176,'Dashboard Items'!$A$2:$A$495,0)),""))="Program",IF(ISNUMBER(SEARCH("ks",G176)),IF(O176="No","Program, also at Key Service: not counted","Counts in Key Service gauge + sets Program chip"),IF(O176="No","Program: shown, no status chip","Sets Program status chip")),IF(IF(D176&lt;&gt;"",D176,IFERROR(INDEX('Dashboard Items'!$B$2:$B$495,MATCH(E176,'Dashboard Items'!$A$2:$A$495,0)),""))="Work System","Work System: shown, not counted","Check Level"))))</f>
        <v/>
      </c>
    </row>
    <row r="177" spans="2:21" ht="15" customHeight="1" x14ac:dyDescent="0.2">
      <c r="B177" s="137"/>
      <c r="C177" s="137"/>
      <c r="D177" s="137"/>
      <c r="E177" s="137"/>
      <c r="F177" s="138" t="str">
        <f>IF(E177="","",IFERROR(IF(INDEX('Dashboard Items'!$B$2:$B$495,MATCH(E177,'Dashboard Items'!$A$2:$A$495,0))="Objective","Objectives go in the next column",IF(OR(D177="",INDEX('Dashboard Items'!$B$2:$B$495,MATCH(E177,'Dashboard Items'!$A$2:$A$495,0))=D177),INDEX('Dashboard Items'!$C$2:$C$495,MATCH(E177,'Dashboard Items'!$A$2:$A$495,0)),"Level does not match ID")),"ID not found"))</f>
        <v/>
      </c>
      <c r="G177" s="139"/>
      <c r="H177" s="138" t="str">
        <f>IF(G177="","",IF(ISNUMBER(SEARCH(",",G177)),"Several items (the script lists them)",IFERROR(INDEX('Dashboard Items'!$B$2:$B$495,MATCH(G177,'Dashboard Items'!$A$2:$A$495,0))&amp;": "&amp;INDEX('Dashboard Items'!$C$2:$C$495,MATCH(G177,'Dashboard Items'!$A$2:$A$495,0)),"ID not found")))</f>
        <v/>
      </c>
      <c r="I177" s="137"/>
      <c r="J177" s="137"/>
      <c r="K177" s="137"/>
      <c r="L177" s="137"/>
      <c r="M177" s="137"/>
      <c r="N177" s="137"/>
      <c r="O177" s="137"/>
      <c r="P177" s="137"/>
      <c r="Q177" s="137"/>
      <c r="R177" s="137"/>
      <c r="S177" s="137"/>
      <c r="T177" s="137"/>
      <c r="U177" s="99" t="str">
        <f>IF(B177="","",IF(IF(D177&lt;&gt;"",D177,IFERROR(INDEX('Dashboard Items'!$B$2:$B$495,MATCH(E177,'Dashboard Items'!$A$2:$A$495,0)),""))="Key Service",IF(O177="No","Key Service: shown, not counted","Counts in Key Service gauge"),IF(IF(D177&lt;&gt;"",D177,IFERROR(INDEX('Dashboard Items'!$B$2:$B$495,MATCH(E177,'Dashboard Items'!$A$2:$A$495,0)),""))="Program",IF(ISNUMBER(SEARCH("ks",G177)),IF(O177="No","Program, also at Key Service: not counted","Counts in Key Service gauge + sets Program chip"),IF(O177="No","Program: shown, no status chip","Sets Program status chip")),IF(IF(D177&lt;&gt;"",D177,IFERROR(INDEX('Dashboard Items'!$B$2:$B$495,MATCH(E177,'Dashboard Items'!$A$2:$A$495,0)),""))="Work System","Work System: shown, not counted","Check Level"))))</f>
        <v/>
      </c>
    </row>
    <row r="178" spans="2:21" ht="15" customHeight="1" x14ac:dyDescent="0.2">
      <c r="B178" s="137"/>
      <c r="C178" s="137"/>
      <c r="D178" s="137"/>
      <c r="E178" s="137"/>
      <c r="F178" s="138" t="str">
        <f>IF(E178="","",IFERROR(IF(INDEX('Dashboard Items'!$B$2:$B$495,MATCH(E178,'Dashboard Items'!$A$2:$A$495,0))="Objective","Objectives go in the next column",IF(OR(D178="",INDEX('Dashboard Items'!$B$2:$B$495,MATCH(E178,'Dashboard Items'!$A$2:$A$495,0))=D178),INDEX('Dashboard Items'!$C$2:$C$495,MATCH(E178,'Dashboard Items'!$A$2:$A$495,0)),"Level does not match ID")),"ID not found"))</f>
        <v/>
      </c>
      <c r="G178" s="139"/>
      <c r="H178" s="138" t="str">
        <f>IF(G178="","",IF(ISNUMBER(SEARCH(",",G178)),"Several items (the script lists them)",IFERROR(INDEX('Dashboard Items'!$B$2:$B$495,MATCH(G178,'Dashboard Items'!$A$2:$A$495,0))&amp;": "&amp;INDEX('Dashboard Items'!$C$2:$C$495,MATCH(G178,'Dashboard Items'!$A$2:$A$495,0)),"ID not found")))</f>
        <v/>
      </c>
      <c r="I178" s="137"/>
      <c r="J178" s="137"/>
      <c r="K178" s="137"/>
      <c r="L178" s="137"/>
      <c r="M178" s="137"/>
      <c r="N178" s="137"/>
      <c r="O178" s="137"/>
      <c r="P178" s="137"/>
      <c r="Q178" s="137"/>
      <c r="R178" s="137"/>
      <c r="S178" s="137"/>
      <c r="T178" s="137"/>
      <c r="U178" s="99" t="str">
        <f>IF(B178="","",IF(IF(D178&lt;&gt;"",D178,IFERROR(INDEX('Dashboard Items'!$B$2:$B$495,MATCH(E178,'Dashboard Items'!$A$2:$A$495,0)),""))="Key Service",IF(O178="No","Key Service: shown, not counted","Counts in Key Service gauge"),IF(IF(D178&lt;&gt;"",D178,IFERROR(INDEX('Dashboard Items'!$B$2:$B$495,MATCH(E178,'Dashboard Items'!$A$2:$A$495,0)),""))="Program",IF(ISNUMBER(SEARCH("ks",G178)),IF(O178="No","Program, also at Key Service: not counted","Counts in Key Service gauge + sets Program chip"),IF(O178="No","Program: shown, no status chip","Sets Program status chip")),IF(IF(D178&lt;&gt;"",D178,IFERROR(INDEX('Dashboard Items'!$B$2:$B$495,MATCH(E178,'Dashboard Items'!$A$2:$A$495,0)),""))="Work System","Work System: shown, not counted","Check Level"))))</f>
        <v/>
      </c>
    </row>
    <row r="179" spans="2:21" ht="15" customHeight="1" x14ac:dyDescent="0.2">
      <c r="B179" s="137"/>
      <c r="C179" s="137"/>
      <c r="D179" s="137"/>
      <c r="E179" s="137"/>
      <c r="F179" s="138" t="str">
        <f>IF(E179="","",IFERROR(IF(INDEX('Dashboard Items'!$B$2:$B$495,MATCH(E179,'Dashboard Items'!$A$2:$A$495,0))="Objective","Objectives go in the next column",IF(OR(D179="",INDEX('Dashboard Items'!$B$2:$B$495,MATCH(E179,'Dashboard Items'!$A$2:$A$495,0))=D179),INDEX('Dashboard Items'!$C$2:$C$495,MATCH(E179,'Dashboard Items'!$A$2:$A$495,0)),"Level does not match ID")),"ID not found"))</f>
        <v/>
      </c>
      <c r="G179" s="139"/>
      <c r="H179" s="138" t="str">
        <f>IF(G179="","",IF(ISNUMBER(SEARCH(",",G179)),"Several items (the script lists them)",IFERROR(INDEX('Dashboard Items'!$B$2:$B$495,MATCH(G179,'Dashboard Items'!$A$2:$A$495,0))&amp;": "&amp;INDEX('Dashboard Items'!$C$2:$C$495,MATCH(G179,'Dashboard Items'!$A$2:$A$495,0)),"ID not found")))</f>
        <v/>
      </c>
      <c r="I179" s="137"/>
      <c r="J179" s="137"/>
      <c r="K179" s="137"/>
      <c r="L179" s="137"/>
      <c r="M179" s="137"/>
      <c r="N179" s="137"/>
      <c r="O179" s="137"/>
      <c r="P179" s="137"/>
      <c r="Q179" s="137"/>
      <c r="R179" s="137"/>
      <c r="S179" s="137"/>
      <c r="T179" s="137"/>
      <c r="U179" s="99" t="str">
        <f>IF(B179="","",IF(IF(D179&lt;&gt;"",D179,IFERROR(INDEX('Dashboard Items'!$B$2:$B$495,MATCH(E179,'Dashboard Items'!$A$2:$A$495,0)),""))="Key Service",IF(O179="No","Key Service: shown, not counted","Counts in Key Service gauge"),IF(IF(D179&lt;&gt;"",D179,IFERROR(INDEX('Dashboard Items'!$B$2:$B$495,MATCH(E179,'Dashboard Items'!$A$2:$A$495,0)),""))="Program",IF(ISNUMBER(SEARCH("ks",G179)),IF(O179="No","Program, also at Key Service: not counted","Counts in Key Service gauge + sets Program chip"),IF(O179="No","Program: shown, no status chip","Sets Program status chip")),IF(IF(D179&lt;&gt;"",D179,IFERROR(INDEX('Dashboard Items'!$B$2:$B$495,MATCH(E179,'Dashboard Items'!$A$2:$A$495,0)),""))="Work System","Work System: shown, not counted","Check Level"))))</f>
        <v/>
      </c>
    </row>
    <row r="180" spans="2:21" ht="15" customHeight="1" x14ac:dyDescent="0.2">
      <c r="B180" s="137"/>
      <c r="C180" s="137"/>
      <c r="D180" s="137"/>
      <c r="E180" s="137"/>
      <c r="F180" s="138" t="str">
        <f>IF(E180="","",IFERROR(IF(INDEX('Dashboard Items'!$B$2:$B$495,MATCH(E180,'Dashboard Items'!$A$2:$A$495,0))="Objective","Objectives go in the next column",IF(OR(D180="",INDEX('Dashboard Items'!$B$2:$B$495,MATCH(E180,'Dashboard Items'!$A$2:$A$495,0))=D180),INDEX('Dashboard Items'!$C$2:$C$495,MATCH(E180,'Dashboard Items'!$A$2:$A$495,0)),"Level does not match ID")),"ID not found"))</f>
        <v/>
      </c>
      <c r="G180" s="139"/>
      <c r="H180" s="138" t="str">
        <f>IF(G180="","",IF(ISNUMBER(SEARCH(",",G180)),"Several items (the script lists them)",IFERROR(INDEX('Dashboard Items'!$B$2:$B$495,MATCH(G180,'Dashboard Items'!$A$2:$A$495,0))&amp;": "&amp;INDEX('Dashboard Items'!$C$2:$C$495,MATCH(G180,'Dashboard Items'!$A$2:$A$495,0)),"ID not found")))</f>
        <v/>
      </c>
      <c r="I180" s="137"/>
      <c r="J180" s="137"/>
      <c r="K180" s="137"/>
      <c r="L180" s="137"/>
      <c r="M180" s="137"/>
      <c r="N180" s="137"/>
      <c r="O180" s="137"/>
      <c r="P180" s="137"/>
      <c r="Q180" s="137"/>
      <c r="R180" s="137"/>
      <c r="S180" s="137"/>
      <c r="T180" s="137"/>
      <c r="U180" s="99" t="str">
        <f>IF(B180="","",IF(IF(D180&lt;&gt;"",D180,IFERROR(INDEX('Dashboard Items'!$B$2:$B$495,MATCH(E180,'Dashboard Items'!$A$2:$A$495,0)),""))="Key Service",IF(O180="No","Key Service: shown, not counted","Counts in Key Service gauge"),IF(IF(D180&lt;&gt;"",D180,IFERROR(INDEX('Dashboard Items'!$B$2:$B$495,MATCH(E180,'Dashboard Items'!$A$2:$A$495,0)),""))="Program",IF(ISNUMBER(SEARCH("ks",G180)),IF(O180="No","Program, also at Key Service: not counted","Counts in Key Service gauge + sets Program chip"),IF(O180="No","Program: shown, no status chip","Sets Program status chip")),IF(IF(D180&lt;&gt;"",D180,IFERROR(INDEX('Dashboard Items'!$B$2:$B$495,MATCH(E180,'Dashboard Items'!$A$2:$A$495,0)),""))="Work System","Work System: shown, not counted","Check Level"))))</f>
        <v/>
      </c>
    </row>
    <row r="181" spans="2:21" ht="15" customHeight="1" x14ac:dyDescent="0.2">
      <c r="B181" s="137"/>
      <c r="C181" s="137"/>
      <c r="D181" s="137"/>
      <c r="E181" s="137"/>
      <c r="F181" s="138" t="str">
        <f>IF(E181="","",IFERROR(IF(INDEX('Dashboard Items'!$B$2:$B$495,MATCH(E181,'Dashboard Items'!$A$2:$A$495,0))="Objective","Objectives go in the next column",IF(OR(D181="",INDEX('Dashboard Items'!$B$2:$B$495,MATCH(E181,'Dashboard Items'!$A$2:$A$495,0))=D181),INDEX('Dashboard Items'!$C$2:$C$495,MATCH(E181,'Dashboard Items'!$A$2:$A$495,0)),"Level does not match ID")),"ID not found"))</f>
        <v/>
      </c>
      <c r="G181" s="139"/>
      <c r="H181" s="138" t="str">
        <f>IF(G181="","",IF(ISNUMBER(SEARCH(",",G181)),"Several items (the script lists them)",IFERROR(INDEX('Dashboard Items'!$B$2:$B$495,MATCH(G181,'Dashboard Items'!$A$2:$A$495,0))&amp;": "&amp;INDEX('Dashboard Items'!$C$2:$C$495,MATCH(G181,'Dashboard Items'!$A$2:$A$495,0)),"ID not found")))</f>
        <v/>
      </c>
      <c r="I181" s="137"/>
      <c r="J181" s="137"/>
      <c r="K181" s="137"/>
      <c r="L181" s="137"/>
      <c r="M181" s="137"/>
      <c r="N181" s="137"/>
      <c r="O181" s="137"/>
      <c r="P181" s="137"/>
      <c r="Q181" s="137"/>
      <c r="R181" s="137"/>
      <c r="S181" s="137"/>
      <c r="T181" s="137"/>
      <c r="U181" s="99" t="str">
        <f>IF(B181="","",IF(IF(D181&lt;&gt;"",D181,IFERROR(INDEX('Dashboard Items'!$B$2:$B$495,MATCH(E181,'Dashboard Items'!$A$2:$A$495,0)),""))="Key Service",IF(O181="No","Key Service: shown, not counted","Counts in Key Service gauge"),IF(IF(D181&lt;&gt;"",D181,IFERROR(INDEX('Dashboard Items'!$B$2:$B$495,MATCH(E181,'Dashboard Items'!$A$2:$A$495,0)),""))="Program",IF(ISNUMBER(SEARCH("ks",G181)),IF(O181="No","Program, also at Key Service: not counted","Counts in Key Service gauge + sets Program chip"),IF(O181="No","Program: shown, no status chip","Sets Program status chip")),IF(IF(D181&lt;&gt;"",D181,IFERROR(INDEX('Dashboard Items'!$B$2:$B$495,MATCH(E181,'Dashboard Items'!$A$2:$A$495,0)),""))="Work System","Work System: shown, not counted","Check Level"))))</f>
        <v/>
      </c>
    </row>
    <row r="182" spans="2:21" ht="15" customHeight="1" x14ac:dyDescent="0.2">
      <c r="B182" s="137"/>
      <c r="C182" s="137"/>
      <c r="D182" s="137"/>
      <c r="E182" s="137"/>
      <c r="F182" s="138" t="str">
        <f>IF(E182="","",IFERROR(IF(INDEX('Dashboard Items'!$B$2:$B$495,MATCH(E182,'Dashboard Items'!$A$2:$A$495,0))="Objective","Objectives go in the next column",IF(OR(D182="",INDEX('Dashboard Items'!$B$2:$B$495,MATCH(E182,'Dashboard Items'!$A$2:$A$495,0))=D182),INDEX('Dashboard Items'!$C$2:$C$495,MATCH(E182,'Dashboard Items'!$A$2:$A$495,0)),"Level does not match ID")),"ID not found"))</f>
        <v/>
      </c>
      <c r="G182" s="139"/>
      <c r="H182" s="138" t="str">
        <f>IF(G182="","",IF(ISNUMBER(SEARCH(",",G182)),"Several items (the script lists them)",IFERROR(INDEX('Dashboard Items'!$B$2:$B$495,MATCH(G182,'Dashboard Items'!$A$2:$A$495,0))&amp;": "&amp;INDEX('Dashboard Items'!$C$2:$C$495,MATCH(G182,'Dashboard Items'!$A$2:$A$495,0)),"ID not found")))</f>
        <v/>
      </c>
      <c r="I182" s="137"/>
      <c r="J182" s="137"/>
      <c r="K182" s="137"/>
      <c r="L182" s="137"/>
      <c r="M182" s="137"/>
      <c r="N182" s="137"/>
      <c r="O182" s="137"/>
      <c r="P182" s="137"/>
      <c r="Q182" s="137"/>
      <c r="R182" s="137"/>
      <c r="S182" s="137"/>
      <c r="T182" s="137"/>
      <c r="U182" s="99" t="str">
        <f>IF(B182="","",IF(IF(D182&lt;&gt;"",D182,IFERROR(INDEX('Dashboard Items'!$B$2:$B$495,MATCH(E182,'Dashboard Items'!$A$2:$A$495,0)),""))="Key Service",IF(O182="No","Key Service: shown, not counted","Counts in Key Service gauge"),IF(IF(D182&lt;&gt;"",D182,IFERROR(INDEX('Dashboard Items'!$B$2:$B$495,MATCH(E182,'Dashboard Items'!$A$2:$A$495,0)),""))="Program",IF(ISNUMBER(SEARCH("ks",G182)),IF(O182="No","Program, also at Key Service: not counted","Counts in Key Service gauge + sets Program chip"),IF(O182="No","Program: shown, no status chip","Sets Program status chip")),IF(IF(D182&lt;&gt;"",D182,IFERROR(INDEX('Dashboard Items'!$B$2:$B$495,MATCH(E182,'Dashboard Items'!$A$2:$A$495,0)),""))="Work System","Work System: shown, not counted","Check Level"))))</f>
        <v/>
      </c>
    </row>
    <row r="183" spans="2:21" ht="15" customHeight="1" x14ac:dyDescent="0.2">
      <c r="B183" s="137"/>
      <c r="C183" s="137"/>
      <c r="D183" s="137"/>
      <c r="E183" s="137"/>
      <c r="F183" s="138" t="str">
        <f>IF(E183="","",IFERROR(IF(INDEX('Dashboard Items'!$B$2:$B$495,MATCH(E183,'Dashboard Items'!$A$2:$A$495,0))="Objective","Objectives go in the next column",IF(OR(D183="",INDEX('Dashboard Items'!$B$2:$B$495,MATCH(E183,'Dashboard Items'!$A$2:$A$495,0))=D183),INDEX('Dashboard Items'!$C$2:$C$495,MATCH(E183,'Dashboard Items'!$A$2:$A$495,0)),"Level does not match ID")),"ID not found"))</f>
        <v/>
      </c>
      <c r="G183" s="139"/>
      <c r="H183" s="138" t="str">
        <f>IF(G183="","",IF(ISNUMBER(SEARCH(",",G183)),"Several items (the script lists them)",IFERROR(INDEX('Dashboard Items'!$B$2:$B$495,MATCH(G183,'Dashboard Items'!$A$2:$A$495,0))&amp;": "&amp;INDEX('Dashboard Items'!$C$2:$C$495,MATCH(G183,'Dashboard Items'!$A$2:$A$495,0)),"ID not found")))</f>
        <v/>
      </c>
      <c r="I183" s="137"/>
      <c r="J183" s="137"/>
      <c r="K183" s="137"/>
      <c r="L183" s="137"/>
      <c r="M183" s="137"/>
      <c r="N183" s="137"/>
      <c r="O183" s="137"/>
      <c r="P183" s="137"/>
      <c r="Q183" s="137"/>
      <c r="R183" s="137"/>
      <c r="S183" s="137"/>
      <c r="T183" s="137"/>
      <c r="U183" s="99" t="str">
        <f>IF(B183="","",IF(IF(D183&lt;&gt;"",D183,IFERROR(INDEX('Dashboard Items'!$B$2:$B$495,MATCH(E183,'Dashboard Items'!$A$2:$A$495,0)),""))="Key Service",IF(O183="No","Key Service: shown, not counted","Counts in Key Service gauge"),IF(IF(D183&lt;&gt;"",D183,IFERROR(INDEX('Dashboard Items'!$B$2:$B$495,MATCH(E183,'Dashboard Items'!$A$2:$A$495,0)),""))="Program",IF(ISNUMBER(SEARCH("ks",G183)),IF(O183="No","Program, also at Key Service: not counted","Counts in Key Service gauge + sets Program chip"),IF(O183="No","Program: shown, no status chip","Sets Program status chip")),IF(IF(D183&lt;&gt;"",D183,IFERROR(INDEX('Dashboard Items'!$B$2:$B$495,MATCH(E183,'Dashboard Items'!$A$2:$A$495,0)),""))="Work System","Work System: shown, not counted","Check Level"))))</f>
        <v/>
      </c>
    </row>
    <row r="184" spans="2:21" ht="15" customHeight="1" x14ac:dyDescent="0.2">
      <c r="B184" s="137"/>
      <c r="C184" s="137"/>
      <c r="D184" s="137"/>
      <c r="E184" s="137"/>
      <c r="F184" s="138" t="str">
        <f>IF(E184="","",IFERROR(IF(INDEX('Dashboard Items'!$B$2:$B$495,MATCH(E184,'Dashboard Items'!$A$2:$A$495,0))="Objective","Objectives go in the next column",IF(OR(D184="",INDEX('Dashboard Items'!$B$2:$B$495,MATCH(E184,'Dashboard Items'!$A$2:$A$495,0))=D184),INDEX('Dashboard Items'!$C$2:$C$495,MATCH(E184,'Dashboard Items'!$A$2:$A$495,0)),"Level does not match ID")),"ID not found"))</f>
        <v/>
      </c>
      <c r="G184" s="139"/>
      <c r="H184" s="138" t="str">
        <f>IF(G184="","",IF(ISNUMBER(SEARCH(",",G184)),"Several items (the script lists them)",IFERROR(INDEX('Dashboard Items'!$B$2:$B$495,MATCH(G184,'Dashboard Items'!$A$2:$A$495,0))&amp;": "&amp;INDEX('Dashboard Items'!$C$2:$C$495,MATCH(G184,'Dashboard Items'!$A$2:$A$495,0)),"ID not found")))</f>
        <v/>
      </c>
      <c r="I184" s="137"/>
      <c r="J184" s="137"/>
      <c r="K184" s="137"/>
      <c r="L184" s="137"/>
      <c r="M184" s="137"/>
      <c r="N184" s="137"/>
      <c r="O184" s="137"/>
      <c r="P184" s="137"/>
      <c r="Q184" s="137"/>
      <c r="R184" s="137"/>
      <c r="S184" s="137"/>
      <c r="T184" s="137"/>
      <c r="U184" s="99" t="str">
        <f>IF(B184="","",IF(IF(D184&lt;&gt;"",D184,IFERROR(INDEX('Dashboard Items'!$B$2:$B$495,MATCH(E184,'Dashboard Items'!$A$2:$A$495,0)),""))="Key Service",IF(O184="No","Key Service: shown, not counted","Counts in Key Service gauge"),IF(IF(D184&lt;&gt;"",D184,IFERROR(INDEX('Dashboard Items'!$B$2:$B$495,MATCH(E184,'Dashboard Items'!$A$2:$A$495,0)),""))="Program",IF(ISNUMBER(SEARCH("ks",G184)),IF(O184="No","Program, also at Key Service: not counted","Counts in Key Service gauge + sets Program chip"),IF(O184="No","Program: shown, no status chip","Sets Program status chip")),IF(IF(D184&lt;&gt;"",D184,IFERROR(INDEX('Dashboard Items'!$B$2:$B$495,MATCH(E184,'Dashboard Items'!$A$2:$A$495,0)),""))="Work System","Work System: shown, not counted","Check Level"))))</f>
        <v/>
      </c>
    </row>
    <row r="185" spans="2:21" ht="15" customHeight="1" x14ac:dyDescent="0.2">
      <c r="B185" s="137"/>
      <c r="C185" s="137"/>
      <c r="D185" s="137"/>
      <c r="E185" s="137"/>
      <c r="F185" s="138" t="str">
        <f>IF(E185="","",IFERROR(IF(INDEX('Dashboard Items'!$B$2:$B$495,MATCH(E185,'Dashboard Items'!$A$2:$A$495,0))="Objective","Objectives go in the next column",IF(OR(D185="",INDEX('Dashboard Items'!$B$2:$B$495,MATCH(E185,'Dashboard Items'!$A$2:$A$495,0))=D185),INDEX('Dashboard Items'!$C$2:$C$495,MATCH(E185,'Dashboard Items'!$A$2:$A$495,0)),"Level does not match ID")),"ID not found"))</f>
        <v/>
      </c>
      <c r="G185" s="139"/>
      <c r="H185" s="138" t="str">
        <f>IF(G185="","",IF(ISNUMBER(SEARCH(",",G185)),"Several items (the script lists them)",IFERROR(INDEX('Dashboard Items'!$B$2:$B$495,MATCH(G185,'Dashboard Items'!$A$2:$A$495,0))&amp;": "&amp;INDEX('Dashboard Items'!$C$2:$C$495,MATCH(G185,'Dashboard Items'!$A$2:$A$495,0)),"ID not found")))</f>
        <v/>
      </c>
      <c r="I185" s="137"/>
      <c r="J185" s="137"/>
      <c r="K185" s="137"/>
      <c r="L185" s="137"/>
      <c r="M185" s="137"/>
      <c r="N185" s="137"/>
      <c r="O185" s="137"/>
      <c r="P185" s="137"/>
      <c r="Q185" s="137"/>
      <c r="R185" s="137"/>
      <c r="S185" s="137"/>
      <c r="T185" s="137"/>
      <c r="U185" s="99" t="str">
        <f>IF(B185="","",IF(IF(D185&lt;&gt;"",D185,IFERROR(INDEX('Dashboard Items'!$B$2:$B$495,MATCH(E185,'Dashboard Items'!$A$2:$A$495,0)),""))="Key Service",IF(O185="No","Key Service: shown, not counted","Counts in Key Service gauge"),IF(IF(D185&lt;&gt;"",D185,IFERROR(INDEX('Dashboard Items'!$B$2:$B$495,MATCH(E185,'Dashboard Items'!$A$2:$A$495,0)),""))="Program",IF(ISNUMBER(SEARCH("ks",G185)),IF(O185="No","Program, also at Key Service: not counted","Counts in Key Service gauge + sets Program chip"),IF(O185="No","Program: shown, no status chip","Sets Program status chip")),IF(IF(D185&lt;&gt;"",D185,IFERROR(INDEX('Dashboard Items'!$B$2:$B$495,MATCH(E185,'Dashboard Items'!$A$2:$A$495,0)),""))="Work System","Work System: shown, not counted","Check Level"))))</f>
        <v/>
      </c>
    </row>
    <row r="186" spans="2:21" ht="15" customHeight="1" x14ac:dyDescent="0.2">
      <c r="B186" s="137"/>
      <c r="C186" s="137"/>
      <c r="D186" s="137"/>
      <c r="E186" s="137"/>
      <c r="F186" s="138" t="str">
        <f>IF(E186="","",IFERROR(IF(INDEX('Dashboard Items'!$B$2:$B$495,MATCH(E186,'Dashboard Items'!$A$2:$A$495,0))="Objective","Objectives go in the next column",IF(OR(D186="",INDEX('Dashboard Items'!$B$2:$B$495,MATCH(E186,'Dashboard Items'!$A$2:$A$495,0))=D186),INDEX('Dashboard Items'!$C$2:$C$495,MATCH(E186,'Dashboard Items'!$A$2:$A$495,0)),"Level does not match ID")),"ID not found"))</f>
        <v/>
      </c>
      <c r="G186" s="139"/>
      <c r="H186" s="138" t="str">
        <f>IF(G186="","",IF(ISNUMBER(SEARCH(",",G186)),"Several items (the script lists them)",IFERROR(INDEX('Dashboard Items'!$B$2:$B$495,MATCH(G186,'Dashboard Items'!$A$2:$A$495,0))&amp;": "&amp;INDEX('Dashboard Items'!$C$2:$C$495,MATCH(G186,'Dashboard Items'!$A$2:$A$495,0)),"ID not found")))</f>
        <v/>
      </c>
      <c r="I186" s="137"/>
      <c r="J186" s="137"/>
      <c r="K186" s="137"/>
      <c r="L186" s="137"/>
      <c r="M186" s="137"/>
      <c r="N186" s="137"/>
      <c r="O186" s="137"/>
      <c r="P186" s="137"/>
      <c r="Q186" s="137"/>
      <c r="R186" s="137"/>
      <c r="S186" s="137"/>
      <c r="T186" s="137"/>
      <c r="U186" s="99" t="str">
        <f>IF(B186="","",IF(IF(D186&lt;&gt;"",D186,IFERROR(INDEX('Dashboard Items'!$B$2:$B$495,MATCH(E186,'Dashboard Items'!$A$2:$A$495,0)),""))="Key Service",IF(O186="No","Key Service: shown, not counted","Counts in Key Service gauge"),IF(IF(D186&lt;&gt;"",D186,IFERROR(INDEX('Dashboard Items'!$B$2:$B$495,MATCH(E186,'Dashboard Items'!$A$2:$A$495,0)),""))="Program",IF(ISNUMBER(SEARCH("ks",G186)),IF(O186="No","Program, also at Key Service: not counted","Counts in Key Service gauge + sets Program chip"),IF(O186="No","Program: shown, no status chip","Sets Program status chip")),IF(IF(D186&lt;&gt;"",D186,IFERROR(INDEX('Dashboard Items'!$B$2:$B$495,MATCH(E186,'Dashboard Items'!$A$2:$A$495,0)),""))="Work System","Work System: shown, not counted","Check Level"))))</f>
        <v/>
      </c>
    </row>
    <row r="187" spans="2:21" ht="15" customHeight="1" x14ac:dyDescent="0.2">
      <c r="B187" s="137"/>
      <c r="C187" s="137"/>
      <c r="D187" s="137"/>
      <c r="E187" s="137"/>
      <c r="F187" s="138" t="str">
        <f>IF(E187="","",IFERROR(IF(INDEX('Dashboard Items'!$B$2:$B$495,MATCH(E187,'Dashboard Items'!$A$2:$A$495,0))="Objective","Objectives go in the next column",IF(OR(D187="",INDEX('Dashboard Items'!$B$2:$B$495,MATCH(E187,'Dashboard Items'!$A$2:$A$495,0))=D187),INDEX('Dashboard Items'!$C$2:$C$495,MATCH(E187,'Dashboard Items'!$A$2:$A$495,0)),"Level does not match ID")),"ID not found"))</f>
        <v/>
      </c>
      <c r="G187" s="139"/>
      <c r="H187" s="138" t="str">
        <f>IF(G187="","",IF(ISNUMBER(SEARCH(",",G187)),"Several items (the script lists them)",IFERROR(INDEX('Dashboard Items'!$B$2:$B$495,MATCH(G187,'Dashboard Items'!$A$2:$A$495,0))&amp;": "&amp;INDEX('Dashboard Items'!$C$2:$C$495,MATCH(G187,'Dashboard Items'!$A$2:$A$495,0)),"ID not found")))</f>
        <v/>
      </c>
      <c r="I187" s="137"/>
      <c r="J187" s="137"/>
      <c r="K187" s="137"/>
      <c r="L187" s="137"/>
      <c r="M187" s="137"/>
      <c r="N187" s="137"/>
      <c r="O187" s="137"/>
      <c r="P187" s="137"/>
      <c r="Q187" s="137"/>
      <c r="R187" s="137"/>
      <c r="S187" s="137"/>
      <c r="T187" s="137"/>
      <c r="U187" s="99" t="str">
        <f>IF(B187="","",IF(IF(D187&lt;&gt;"",D187,IFERROR(INDEX('Dashboard Items'!$B$2:$B$495,MATCH(E187,'Dashboard Items'!$A$2:$A$495,0)),""))="Key Service",IF(O187="No","Key Service: shown, not counted","Counts in Key Service gauge"),IF(IF(D187&lt;&gt;"",D187,IFERROR(INDEX('Dashboard Items'!$B$2:$B$495,MATCH(E187,'Dashboard Items'!$A$2:$A$495,0)),""))="Program",IF(ISNUMBER(SEARCH("ks",G187)),IF(O187="No","Program, also at Key Service: not counted","Counts in Key Service gauge + sets Program chip"),IF(O187="No","Program: shown, no status chip","Sets Program status chip")),IF(IF(D187&lt;&gt;"",D187,IFERROR(INDEX('Dashboard Items'!$B$2:$B$495,MATCH(E187,'Dashboard Items'!$A$2:$A$495,0)),""))="Work System","Work System: shown, not counted","Check Level"))))</f>
        <v/>
      </c>
    </row>
    <row r="188" spans="2:21" ht="15" customHeight="1" x14ac:dyDescent="0.2">
      <c r="B188" s="137"/>
      <c r="C188" s="137"/>
      <c r="D188" s="137"/>
      <c r="E188" s="137"/>
      <c r="F188" s="138" t="str">
        <f>IF(E188="","",IFERROR(IF(INDEX('Dashboard Items'!$B$2:$B$495,MATCH(E188,'Dashboard Items'!$A$2:$A$495,0))="Objective","Objectives go in the next column",IF(OR(D188="",INDEX('Dashboard Items'!$B$2:$B$495,MATCH(E188,'Dashboard Items'!$A$2:$A$495,0))=D188),INDEX('Dashboard Items'!$C$2:$C$495,MATCH(E188,'Dashboard Items'!$A$2:$A$495,0)),"Level does not match ID")),"ID not found"))</f>
        <v/>
      </c>
      <c r="G188" s="139"/>
      <c r="H188" s="138" t="str">
        <f>IF(G188="","",IF(ISNUMBER(SEARCH(",",G188)),"Several items (the script lists them)",IFERROR(INDEX('Dashboard Items'!$B$2:$B$495,MATCH(G188,'Dashboard Items'!$A$2:$A$495,0))&amp;": "&amp;INDEX('Dashboard Items'!$C$2:$C$495,MATCH(G188,'Dashboard Items'!$A$2:$A$495,0)),"ID not found")))</f>
        <v/>
      </c>
      <c r="I188" s="137"/>
      <c r="J188" s="137"/>
      <c r="K188" s="137"/>
      <c r="L188" s="137"/>
      <c r="M188" s="137"/>
      <c r="N188" s="137"/>
      <c r="O188" s="137"/>
      <c r="P188" s="137"/>
      <c r="Q188" s="137"/>
      <c r="R188" s="137"/>
      <c r="S188" s="137"/>
      <c r="T188" s="137"/>
      <c r="U188" s="99" t="str">
        <f>IF(B188="","",IF(IF(D188&lt;&gt;"",D188,IFERROR(INDEX('Dashboard Items'!$B$2:$B$495,MATCH(E188,'Dashboard Items'!$A$2:$A$495,0)),""))="Key Service",IF(O188="No","Key Service: shown, not counted","Counts in Key Service gauge"),IF(IF(D188&lt;&gt;"",D188,IFERROR(INDEX('Dashboard Items'!$B$2:$B$495,MATCH(E188,'Dashboard Items'!$A$2:$A$495,0)),""))="Program",IF(ISNUMBER(SEARCH("ks",G188)),IF(O188="No","Program, also at Key Service: not counted","Counts in Key Service gauge + sets Program chip"),IF(O188="No","Program: shown, no status chip","Sets Program status chip")),IF(IF(D188&lt;&gt;"",D188,IFERROR(INDEX('Dashboard Items'!$B$2:$B$495,MATCH(E188,'Dashboard Items'!$A$2:$A$495,0)),""))="Work System","Work System: shown, not counted","Check Level"))))</f>
        <v/>
      </c>
    </row>
    <row r="189" spans="2:21" ht="15" customHeight="1" x14ac:dyDescent="0.2">
      <c r="B189" s="137"/>
      <c r="C189" s="137"/>
      <c r="D189" s="137"/>
      <c r="E189" s="137"/>
      <c r="F189" s="138" t="str">
        <f>IF(E189="","",IFERROR(IF(INDEX('Dashboard Items'!$B$2:$B$495,MATCH(E189,'Dashboard Items'!$A$2:$A$495,0))="Objective","Objectives go in the next column",IF(OR(D189="",INDEX('Dashboard Items'!$B$2:$B$495,MATCH(E189,'Dashboard Items'!$A$2:$A$495,0))=D189),INDEX('Dashboard Items'!$C$2:$C$495,MATCH(E189,'Dashboard Items'!$A$2:$A$495,0)),"Level does not match ID")),"ID not found"))</f>
        <v/>
      </c>
      <c r="G189" s="139"/>
      <c r="H189" s="138" t="str">
        <f>IF(G189="","",IF(ISNUMBER(SEARCH(",",G189)),"Several items (the script lists them)",IFERROR(INDEX('Dashboard Items'!$B$2:$B$495,MATCH(G189,'Dashboard Items'!$A$2:$A$495,0))&amp;": "&amp;INDEX('Dashboard Items'!$C$2:$C$495,MATCH(G189,'Dashboard Items'!$A$2:$A$495,0)),"ID not found")))</f>
        <v/>
      </c>
      <c r="I189" s="137"/>
      <c r="J189" s="137"/>
      <c r="K189" s="137"/>
      <c r="L189" s="137"/>
      <c r="M189" s="137"/>
      <c r="N189" s="137"/>
      <c r="O189" s="137"/>
      <c r="P189" s="137"/>
      <c r="Q189" s="137"/>
      <c r="R189" s="137"/>
      <c r="S189" s="137"/>
      <c r="T189" s="137"/>
      <c r="U189" s="99" t="str">
        <f>IF(B189="","",IF(IF(D189&lt;&gt;"",D189,IFERROR(INDEX('Dashboard Items'!$B$2:$B$495,MATCH(E189,'Dashboard Items'!$A$2:$A$495,0)),""))="Key Service",IF(O189="No","Key Service: shown, not counted","Counts in Key Service gauge"),IF(IF(D189&lt;&gt;"",D189,IFERROR(INDEX('Dashboard Items'!$B$2:$B$495,MATCH(E189,'Dashboard Items'!$A$2:$A$495,0)),""))="Program",IF(ISNUMBER(SEARCH("ks",G189)),IF(O189="No","Program, also at Key Service: not counted","Counts in Key Service gauge + sets Program chip"),IF(O189="No","Program: shown, no status chip","Sets Program status chip")),IF(IF(D189&lt;&gt;"",D189,IFERROR(INDEX('Dashboard Items'!$B$2:$B$495,MATCH(E189,'Dashboard Items'!$A$2:$A$495,0)),""))="Work System","Work System: shown, not counted","Check Level"))))</f>
        <v/>
      </c>
    </row>
    <row r="190" spans="2:21" ht="15" customHeight="1" x14ac:dyDescent="0.2">
      <c r="B190" s="137"/>
      <c r="C190" s="137"/>
      <c r="D190" s="137"/>
      <c r="E190" s="137"/>
      <c r="F190" s="138" t="str">
        <f>IF(E190="","",IFERROR(IF(INDEX('Dashboard Items'!$B$2:$B$495,MATCH(E190,'Dashboard Items'!$A$2:$A$495,0))="Objective","Objectives go in the next column",IF(OR(D190="",INDEX('Dashboard Items'!$B$2:$B$495,MATCH(E190,'Dashboard Items'!$A$2:$A$495,0))=D190),INDEX('Dashboard Items'!$C$2:$C$495,MATCH(E190,'Dashboard Items'!$A$2:$A$495,0)),"Level does not match ID")),"ID not found"))</f>
        <v/>
      </c>
      <c r="G190" s="139"/>
      <c r="H190" s="138" t="str">
        <f>IF(G190="","",IF(ISNUMBER(SEARCH(",",G190)),"Several items (the script lists them)",IFERROR(INDEX('Dashboard Items'!$B$2:$B$495,MATCH(G190,'Dashboard Items'!$A$2:$A$495,0))&amp;": "&amp;INDEX('Dashboard Items'!$C$2:$C$495,MATCH(G190,'Dashboard Items'!$A$2:$A$495,0)),"ID not found")))</f>
        <v/>
      </c>
      <c r="I190" s="137"/>
      <c r="J190" s="137"/>
      <c r="K190" s="137"/>
      <c r="L190" s="137"/>
      <c r="M190" s="137"/>
      <c r="N190" s="137"/>
      <c r="O190" s="137"/>
      <c r="P190" s="137"/>
      <c r="Q190" s="137"/>
      <c r="R190" s="137"/>
      <c r="S190" s="137"/>
      <c r="T190" s="137"/>
      <c r="U190" s="99" t="str">
        <f>IF(B190="","",IF(IF(D190&lt;&gt;"",D190,IFERROR(INDEX('Dashboard Items'!$B$2:$B$495,MATCH(E190,'Dashboard Items'!$A$2:$A$495,0)),""))="Key Service",IF(O190="No","Key Service: shown, not counted","Counts in Key Service gauge"),IF(IF(D190&lt;&gt;"",D190,IFERROR(INDEX('Dashboard Items'!$B$2:$B$495,MATCH(E190,'Dashboard Items'!$A$2:$A$495,0)),""))="Program",IF(ISNUMBER(SEARCH("ks",G190)),IF(O190="No","Program, also at Key Service: not counted","Counts in Key Service gauge + sets Program chip"),IF(O190="No","Program: shown, no status chip","Sets Program status chip")),IF(IF(D190&lt;&gt;"",D190,IFERROR(INDEX('Dashboard Items'!$B$2:$B$495,MATCH(E190,'Dashboard Items'!$A$2:$A$495,0)),""))="Work System","Work System: shown, not counted","Check Level"))))</f>
        <v/>
      </c>
    </row>
    <row r="191" spans="2:21" ht="15" customHeight="1" x14ac:dyDescent="0.2">
      <c r="B191" s="137"/>
      <c r="C191" s="137"/>
      <c r="D191" s="137"/>
      <c r="E191" s="137"/>
      <c r="F191" s="138" t="str">
        <f>IF(E191="","",IFERROR(IF(INDEX('Dashboard Items'!$B$2:$B$495,MATCH(E191,'Dashboard Items'!$A$2:$A$495,0))="Objective","Objectives go in the next column",IF(OR(D191="",INDEX('Dashboard Items'!$B$2:$B$495,MATCH(E191,'Dashboard Items'!$A$2:$A$495,0))=D191),INDEX('Dashboard Items'!$C$2:$C$495,MATCH(E191,'Dashboard Items'!$A$2:$A$495,0)),"Level does not match ID")),"ID not found"))</f>
        <v/>
      </c>
      <c r="G191" s="139"/>
      <c r="H191" s="138" t="str">
        <f>IF(G191="","",IF(ISNUMBER(SEARCH(",",G191)),"Several items (the script lists them)",IFERROR(INDEX('Dashboard Items'!$B$2:$B$495,MATCH(G191,'Dashboard Items'!$A$2:$A$495,0))&amp;": "&amp;INDEX('Dashboard Items'!$C$2:$C$495,MATCH(G191,'Dashboard Items'!$A$2:$A$495,0)),"ID not found")))</f>
        <v/>
      </c>
      <c r="I191" s="137"/>
      <c r="J191" s="137"/>
      <c r="K191" s="137"/>
      <c r="L191" s="137"/>
      <c r="M191" s="137"/>
      <c r="N191" s="137"/>
      <c r="O191" s="137"/>
      <c r="P191" s="137"/>
      <c r="Q191" s="137"/>
      <c r="R191" s="137"/>
      <c r="S191" s="137"/>
      <c r="T191" s="137"/>
      <c r="U191" s="99" t="str">
        <f>IF(B191="","",IF(IF(D191&lt;&gt;"",D191,IFERROR(INDEX('Dashboard Items'!$B$2:$B$495,MATCH(E191,'Dashboard Items'!$A$2:$A$495,0)),""))="Key Service",IF(O191="No","Key Service: shown, not counted","Counts in Key Service gauge"),IF(IF(D191&lt;&gt;"",D191,IFERROR(INDEX('Dashboard Items'!$B$2:$B$495,MATCH(E191,'Dashboard Items'!$A$2:$A$495,0)),""))="Program",IF(ISNUMBER(SEARCH("ks",G191)),IF(O191="No","Program, also at Key Service: not counted","Counts in Key Service gauge + sets Program chip"),IF(O191="No","Program: shown, no status chip","Sets Program status chip")),IF(IF(D191&lt;&gt;"",D191,IFERROR(INDEX('Dashboard Items'!$B$2:$B$495,MATCH(E191,'Dashboard Items'!$A$2:$A$495,0)),""))="Work System","Work System: shown, not counted","Check Level"))))</f>
        <v/>
      </c>
    </row>
    <row r="192" spans="2:21" ht="15" customHeight="1" x14ac:dyDescent="0.2">
      <c r="B192" s="137"/>
      <c r="C192" s="137"/>
      <c r="D192" s="137"/>
      <c r="E192" s="137"/>
      <c r="F192" s="138" t="str">
        <f>IF(E192="","",IFERROR(IF(INDEX('Dashboard Items'!$B$2:$B$495,MATCH(E192,'Dashboard Items'!$A$2:$A$495,0))="Objective","Objectives go in the next column",IF(OR(D192="",INDEX('Dashboard Items'!$B$2:$B$495,MATCH(E192,'Dashboard Items'!$A$2:$A$495,0))=D192),INDEX('Dashboard Items'!$C$2:$C$495,MATCH(E192,'Dashboard Items'!$A$2:$A$495,0)),"Level does not match ID")),"ID not found"))</f>
        <v/>
      </c>
      <c r="G192" s="139"/>
      <c r="H192" s="138" t="str">
        <f>IF(G192="","",IF(ISNUMBER(SEARCH(",",G192)),"Several items (the script lists them)",IFERROR(INDEX('Dashboard Items'!$B$2:$B$495,MATCH(G192,'Dashboard Items'!$A$2:$A$495,0))&amp;": "&amp;INDEX('Dashboard Items'!$C$2:$C$495,MATCH(G192,'Dashboard Items'!$A$2:$A$495,0)),"ID not found")))</f>
        <v/>
      </c>
      <c r="I192" s="137"/>
      <c r="J192" s="137"/>
      <c r="K192" s="137"/>
      <c r="L192" s="137"/>
      <c r="M192" s="137"/>
      <c r="N192" s="137"/>
      <c r="O192" s="137"/>
      <c r="P192" s="137"/>
      <c r="Q192" s="137"/>
      <c r="R192" s="137"/>
      <c r="S192" s="137"/>
      <c r="T192" s="137"/>
      <c r="U192" s="99" t="str">
        <f>IF(B192="","",IF(IF(D192&lt;&gt;"",D192,IFERROR(INDEX('Dashboard Items'!$B$2:$B$495,MATCH(E192,'Dashboard Items'!$A$2:$A$495,0)),""))="Key Service",IF(O192="No","Key Service: shown, not counted","Counts in Key Service gauge"),IF(IF(D192&lt;&gt;"",D192,IFERROR(INDEX('Dashboard Items'!$B$2:$B$495,MATCH(E192,'Dashboard Items'!$A$2:$A$495,0)),""))="Program",IF(ISNUMBER(SEARCH("ks",G192)),IF(O192="No","Program, also at Key Service: not counted","Counts in Key Service gauge + sets Program chip"),IF(O192="No","Program: shown, no status chip","Sets Program status chip")),IF(IF(D192&lt;&gt;"",D192,IFERROR(INDEX('Dashboard Items'!$B$2:$B$495,MATCH(E192,'Dashboard Items'!$A$2:$A$495,0)),""))="Work System","Work System: shown, not counted","Check Level"))))</f>
        <v/>
      </c>
    </row>
    <row r="193" spans="2:21" ht="15" customHeight="1" x14ac:dyDescent="0.2">
      <c r="B193" s="137"/>
      <c r="C193" s="137"/>
      <c r="D193" s="137"/>
      <c r="E193" s="137"/>
      <c r="F193" s="138" t="str">
        <f>IF(E193="","",IFERROR(IF(INDEX('Dashboard Items'!$B$2:$B$495,MATCH(E193,'Dashboard Items'!$A$2:$A$495,0))="Objective","Objectives go in the next column",IF(OR(D193="",INDEX('Dashboard Items'!$B$2:$B$495,MATCH(E193,'Dashboard Items'!$A$2:$A$495,0))=D193),INDEX('Dashboard Items'!$C$2:$C$495,MATCH(E193,'Dashboard Items'!$A$2:$A$495,0)),"Level does not match ID")),"ID not found"))</f>
        <v/>
      </c>
      <c r="G193" s="139"/>
      <c r="H193" s="138" t="str">
        <f>IF(G193="","",IF(ISNUMBER(SEARCH(",",G193)),"Several items (the script lists them)",IFERROR(INDEX('Dashboard Items'!$B$2:$B$495,MATCH(G193,'Dashboard Items'!$A$2:$A$495,0))&amp;": "&amp;INDEX('Dashboard Items'!$C$2:$C$495,MATCH(G193,'Dashboard Items'!$A$2:$A$495,0)),"ID not found")))</f>
        <v/>
      </c>
      <c r="I193" s="137"/>
      <c r="J193" s="137"/>
      <c r="K193" s="137"/>
      <c r="L193" s="137"/>
      <c r="M193" s="137"/>
      <c r="N193" s="137"/>
      <c r="O193" s="137"/>
      <c r="P193" s="137"/>
      <c r="Q193" s="137"/>
      <c r="R193" s="137"/>
      <c r="S193" s="137"/>
      <c r="T193" s="137"/>
      <c r="U193" s="99" t="str">
        <f>IF(B193="","",IF(IF(D193&lt;&gt;"",D193,IFERROR(INDEX('Dashboard Items'!$B$2:$B$495,MATCH(E193,'Dashboard Items'!$A$2:$A$495,0)),""))="Key Service",IF(O193="No","Key Service: shown, not counted","Counts in Key Service gauge"),IF(IF(D193&lt;&gt;"",D193,IFERROR(INDEX('Dashboard Items'!$B$2:$B$495,MATCH(E193,'Dashboard Items'!$A$2:$A$495,0)),""))="Program",IF(ISNUMBER(SEARCH("ks",G193)),IF(O193="No","Program, also at Key Service: not counted","Counts in Key Service gauge + sets Program chip"),IF(O193="No","Program: shown, no status chip","Sets Program status chip")),IF(IF(D193&lt;&gt;"",D193,IFERROR(INDEX('Dashboard Items'!$B$2:$B$495,MATCH(E193,'Dashboard Items'!$A$2:$A$495,0)),""))="Work System","Work System: shown, not counted","Check Level"))))</f>
        <v/>
      </c>
    </row>
    <row r="194" spans="2:21" ht="15" customHeight="1" x14ac:dyDescent="0.2">
      <c r="B194" s="137"/>
      <c r="C194" s="137"/>
      <c r="D194" s="137"/>
      <c r="E194" s="137"/>
      <c r="F194" s="138" t="str">
        <f>IF(E194="","",IFERROR(IF(INDEX('Dashboard Items'!$B$2:$B$495,MATCH(E194,'Dashboard Items'!$A$2:$A$495,0))="Objective","Objectives go in the next column",IF(OR(D194="",INDEX('Dashboard Items'!$B$2:$B$495,MATCH(E194,'Dashboard Items'!$A$2:$A$495,0))=D194),INDEX('Dashboard Items'!$C$2:$C$495,MATCH(E194,'Dashboard Items'!$A$2:$A$495,0)),"Level does not match ID")),"ID not found"))</f>
        <v/>
      </c>
      <c r="G194" s="139"/>
      <c r="H194" s="138" t="str">
        <f>IF(G194="","",IF(ISNUMBER(SEARCH(",",G194)),"Several items (the script lists them)",IFERROR(INDEX('Dashboard Items'!$B$2:$B$495,MATCH(G194,'Dashboard Items'!$A$2:$A$495,0))&amp;": "&amp;INDEX('Dashboard Items'!$C$2:$C$495,MATCH(G194,'Dashboard Items'!$A$2:$A$495,0)),"ID not found")))</f>
        <v/>
      </c>
      <c r="I194" s="137"/>
      <c r="J194" s="137"/>
      <c r="K194" s="137"/>
      <c r="L194" s="137"/>
      <c r="M194" s="137"/>
      <c r="N194" s="137"/>
      <c r="O194" s="137"/>
      <c r="P194" s="137"/>
      <c r="Q194" s="137"/>
      <c r="R194" s="137"/>
      <c r="S194" s="137"/>
      <c r="T194" s="137"/>
      <c r="U194" s="99" t="str">
        <f>IF(B194="","",IF(IF(D194&lt;&gt;"",D194,IFERROR(INDEX('Dashboard Items'!$B$2:$B$495,MATCH(E194,'Dashboard Items'!$A$2:$A$495,0)),""))="Key Service",IF(O194="No","Key Service: shown, not counted","Counts in Key Service gauge"),IF(IF(D194&lt;&gt;"",D194,IFERROR(INDEX('Dashboard Items'!$B$2:$B$495,MATCH(E194,'Dashboard Items'!$A$2:$A$495,0)),""))="Program",IF(ISNUMBER(SEARCH("ks",G194)),IF(O194="No","Program, also at Key Service: not counted","Counts in Key Service gauge + sets Program chip"),IF(O194="No","Program: shown, no status chip","Sets Program status chip")),IF(IF(D194&lt;&gt;"",D194,IFERROR(INDEX('Dashboard Items'!$B$2:$B$495,MATCH(E194,'Dashboard Items'!$A$2:$A$495,0)),""))="Work System","Work System: shown, not counted","Check Level"))))</f>
        <v/>
      </c>
    </row>
    <row r="195" spans="2:21" ht="15" customHeight="1" x14ac:dyDescent="0.2">
      <c r="B195" s="137"/>
      <c r="C195" s="137"/>
      <c r="D195" s="137"/>
      <c r="E195" s="137"/>
      <c r="F195" s="138" t="str">
        <f>IF(E195="","",IFERROR(IF(INDEX('Dashboard Items'!$B$2:$B$495,MATCH(E195,'Dashboard Items'!$A$2:$A$495,0))="Objective","Objectives go in the next column",IF(OR(D195="",INDEX('Dashboard Items'!$B$2:$B$495,MATCH(E195,'Dashboard Items'!$A$2:$A$495,0))=D195),INDEX('Dashboard Items'!$C$2:$C$495,MATCH(E195,'Dashboard Items'!$A$2:$A$495,0)),"Level does not match ID")),"ID not found"))</f>
        <v/>
      </c>
      <c r="G195" s="139"/>
      <c r="H195" s="138" t="str">
        <f>IF(G195="","",IF(ISNUMBER(SEARCH(",",G195)),"Several items (the script lists them)",IFERROR(INDEX('Dashboard Items'!$B$2:$B$495,MATCH(G195,'Dashboard Items'!$A$2:$A$495,0))&amp;": "&amp;INDEX('Dashboard Items'!$C$2:$C$495,MATCH(G195,'Dashboard Items'!$A$2:$A$495,0)),"ID not found")))</f>
        <v/>
      </c>
      <c r="I195" s="137"/>
      <c r="J195" s="137"/>
      <c r="K195" s="137"/>
      <c r="L195" s="137"/>
      <c r="M195" s="137"/>
      <c r="N195" s="137"/>
      <c r="O195" s="137"/>
      <c r="P195" s="137"/>
      <c r="Q195" s="137"/>
      <c r="R195" s="137"/>
      <c r="S195" s="137"/>
      <c r="T195" s="137"/>
      <c r="U195" s="99" t="str">
        <f>IF(B195="","",IF(IF(D195&lt;&gt;"",D195,IFERROR(INDEX('Dashboard Items'!$B$2:$B$495,MATCH(E195,'Dashboard Items'!$A$2:$A$495,0)),""))="Key Service",IF(O195="No","Key Service: shown, not counted","Counts in Key Service gauge"),IF(IF(D195&lt;&gt;"",D195,IFERROR(INDEX('Dashboard Items'!$B$2:$B$495,MATCH(E195,'Dashboard Items'!$A$2:$A$495,0)),""))="Program",IF(ISNUMBER(SEARCH("ks",G195)),IF(O195="No","Program, also at Key Service: not counted","Counts in Key Service gauge + sets Program chip"),IF(O195="No","Program: shown, no status chip","Sets Program status chip")),IF(IF(D195&lt;&gt;"",D195,IFERROR(INDEX('Dashboard Items'!$B$2:$B$495,MATCH(E195,'Dashboard Items'!$A$2:$A$495,0)),""))="Work System","Work System: shown, not counted","Check Level"))))</f>
        <v/>
      </c>
    </row>
    <row r="196" spans="2:21" ht="15" customHeight="1" x14ac:dyDescent="0.2">
      <c r="B196" s="137"/>
      <c r="C196" s="137"/>
      <c r="D196" s="137"/>
      <c r="E196" s="137"/>
      <c r="F196" s="138" t="str">
        <f>IF(E196="","",IFERROR(IF(INDEX('Dashboard Items'!$B$2:$B$495,MATCH(E196,'Dashboard Items'!$A$2:$A$495,0))="Objective","Objectives go in the next column",IF(OR(D196="",INDEX('Dashboard Items'!$B$2:$B$495,MATCH(E196,'Dashboard Items'!$A$2:$A$495,0))=D196),INDEX('Dashboard Items'!$C$2:$C$495,MATCH(E196,'Dashboard Items'!$A$2:$A$495,0)),"Level does not match ID")),"ID not found"))</f>
        <v/>
      </c>
      <c r="G196" s="139"/>
      <c r="H196" s="138" t="str">
        <f>IF(G196="","",IF(ISNUMBER(SEARCH(",",G196)),"Several items (the script lists them)",IFERROR(INDEX('Dashboard Items'!$B$2:$B$495,MATCH(G196,'Dashboard Items'!$A$2:$A$495,0))&amp;": "&amp;INDEX('Dashboard Items'!$C$2:$C$495,MATCH(G196,'Dashboard Items'!$A$2:$A$495,0)),"ID not found")))</f>
        <v/>
      </c>
      <c r="I196" s="137"/>
      <c r="J196" s="137"/>
      <c r="K196" s="137"/>
      <c r="L196" s="137"/>
      <c r="M196" s="137"/>
      <c r="N196" s="137"/>
      <c r="O196" s="137"/>
      <c r="P196" s="137"/>
      <c r="Q196" s="137"/>
      <c r="R196" s="137"/>
      <c r="S196" s="137"/>
      <c r="T196" s="137"/>
      <c r="U196" s="99" t="str">
        <f>IF(B196="","",IF(IF(D196&lt;&gt;"",D196,IFERROR(INDEX('Dashboard Items'!$B$2:$B$495,MATCH(E196,'Dashboard Items'!$A$2:$A$495,0)),""))="Key Service",IF(O196="No","Key Service: shown, not counted","Counts in Key Service gauge"),IF(IF(D196&lt;&gt;"",D196,IFERROR(INDEX('Dashboard Items'!$B$2:$B$495,MATCH(E196,'Dashboard Items'!$A$2:$A$495,0)),""))="Program",IF(ISNUMBER(SEARCH("ks",G196)),IF(O196="No","Program, also at Key Service: not counted","Counts in Key Service gauge + sets Program chip"),IF(O196="No","Program: shown, no status chip","Sets Program status chip")),IF(IF(D196&lt;&gt;"",D196,IFERROR(INDEX('Dashboard Items'!$B$2:$B$495,MATCH(E196,'Dashboard Items'!$A$2:$A$495,0)),""))="Work System","Work System: shown, not counted","Check Level"))))</f>
        <v/>
      </c>
    </row>
    <row r="197" spans="2:21" ht="15" customHeight="1" x14ac:dyDescent="0.2">
      <c r="B197" s="137"/>
      <c r="C197" s="137"/>
      <c r="D197" s="137"/>
      <c r="E197" s="137"/>
      <c r="F197" s="138" t="str">
        <f>IF(E197="","",IFERROR(IF(INDEX('Dashboard Items'!$B$2:$B$495,MATCH(E197,'Dashboard Items'!$A$2:$A$495,0))="Objective","Objectives go in the next column",IF(OR(D197="",INDEX('Dashboard Items'!$B$2:$B$495,MATCH(E197,'Dashboard Items'!$A$2:$A$495,0))=D197),INDEX('Dashboard Items'!$C$2:$C$495,MATCH(E197,'Dashboard Items'!$A$2:$A$495,0)),"Level does not match ID")),"ID not found"))</f>
        <v/>
      </c>
      <c r="G197" s="139"/>
      <c r="H197" s="138" t="str">
        <f>IF(G197="","",IF(ISNUMBER(SEARCH(",",G197)),"Several items (the script lists them)",IFERROR(INDEX('Dashboard Items'!$B$2:$B$495,MATCH(G197,'Dashboard Items'!$A$2:$A$495,0))&amp;": "&amp;INDEX('Dashboard Items'!$C$2:$C$495,MATCH(G197,'Dashboard Items'!$A$2:$A$495,0)),"ID not found")))</f>
        <v/>
      </c>
      <c r="I197" s="137"/>
      <c r="J197" s="137"/>
      <c r="K197" s="137"/>
      <c r="L197" s="137"/>
      <c r="M197" s="137"/>
      <c r="N197" s="137"/>
      <c r="O197" s="137"/>
      <c r="P197" s="137"/>
      <c r="Q197" s="137"/>
      <c r="R197" s="137"/>
      <c r="S197" s="137"/>
      <c r="T197" s="137"/>
      <c r="U197" s="99" t="str">
        <f>IF(B197="","",IF(IF(D197&lt;&gt;"",D197,IFERROR(INDEX('Dashboard Items'!$B$2:$B$495,MATCH(E197,'Dashboard Items'!$A$2:$A$495,0)),""))="Key Service",IF(O197="No","Key Service: shown, not counted","Counts in Key Service gauge"),IF(IF(D197&lt;&gt;"",D197,IFERROR(INDEX('Dashboard Items'!$B$2:$B$495,MATCH(E197,'Dashboard Items'!$A$2:$A$495,0)),""))="Program",IF(ISNUMBER(SEARCH("ks",G197)),IF(O197="No","Program, also at Key Service: not counted","Counts in Key Service gauge + sets Program chip"),IF(O197="No","Program: shown, no status chip","Sets Program status chip")),IF(IF(D197&lt;&gt;"",D197,IFERROR(INDEX('Dashboard Items'!$B$2:$B$495,MATCH(E197,'Dashboard Items'!$A$2:$A$495,0)),""))="Work System","Work System: shown, not counted","Check Level"))))</f>
        <v/>
      </c>
    </row>
    <row r="198" spans="2:21" ht="15" customHeight="1" x14ac:dyDescent="0.2">
      <c r="B198" s="137"/>
      <c r="C198" s="137"/>
      <c r="D198" s="137"/>
      <c r="E198" s="137"/>
      <c r="F198" s="138" t="str">
        <f>IF(E198="","",IFERROR(IF(INDEX('Dashboard Items'!$B$2:$B$495,MATCH(E198,'Dashboard Items'!$A$2:$A$495,0))="Objective","Objectives go in the next column",IF(OR(D198="",INDEX('Dashboard Items'!$B$2:$B$495,MATCH(E198,'Dashboard Items'!$A$2:$A$495,0))=D198),INDEX('Dashboard Items'!$C$2:$C$495,MATCH(E198,'Dashboard Items'!$A$2:$A$495,0)),"Level does not match ID")),"ID not found"))</f>
        <v/>
      </c>
      <c r="G198" s="139"/>
      <c r="H198" s="138" t="str">
        <f>IF(G198="","",IF(ISNUMBER(SEARCH(",",G198)),"Several items (the script lists them)",IFERROR(INDEX('Dashboard Items'!$B$2:$B$495,MATCH(G198,'Dashboard Items'!$A$2:$A$495,0))&amp;": "&amp;INDEX('Dashboard Items'!$C$2:$C$495,MATCH(G198,'Dashboard Items'!$A$2:$A$495,0)),"ID not found")))</f>
        <v/>
      </c>
      <c r="I198" s="137"/>
      <c r="J198" s="137"/>
      <c r="K198" s="137"/>
      <c r="L198" s="137"/>
      <c r="M198" s="137"/>
      <c r="N198" s="137"/>
      <c r="O198" s="137"/>
      <c r="P198" s="137"/>
      <c r="Q198" s="137"/>
      <c r="R198" s="137"/>
      <c r="S198" s="137"/>
      <c r="T198" s="137"/>
      <c r="U198" s="99" t="str">
        <f>IF(B198="","",IF(IF(D198&lt;&gt;"",D198,IFERROR(INDEX('Dashboard Items'!$B$2:$B$495,MATCH(E198,'Dashboard Items'!$A$2:$A$495,0)),""))="Key Service",IF(O198="No","Key Service: shown, not counted","Counts in Key Service gauge"),IF(IF(D198&lt;&gt;"",D198,IFERROR(INDEX('Dashboard Items'!$B$2:$B$495,MATCH(E198,'Dashboard Items'!$A$2:$A$495,0)),""))="Program",IF(ISNUMBER(SEARCH("ks",G198)),IF(O198="No","Program, also at Key Service: not counted","Counts in Key Service gauge + sets Program chip"),IF(O198="No","Program: shown, no status chip","Sets Program status chip")),IF(IF(D198&lt;&gt;"",D198,IFERROR(INDEX('Dashboard Items'!$B$2:$B$495,MATCH(E198,'Dashboard Items'!$A$2:$A$495,0)),""))="Work System","Work System: shown, not counted","Check Level"))))</f>
        <v/>
      </c>
    </row>
    <row r="199" spans="2:21" ht="15" customHeight="1" x14ac:dyDescent="0.2">
      <c r="B199" s="137"/>
      <c r="C199" s="137"/>
      <c r="D199" s="137"/>
      <c r="E199" s="137"/>
      <c r="F199" s="138" t="str">
        <f>IF(E199="","",IFERROR(IF(INDEX('Dashboard Items'!$B$2:$B$495,MATCH(E199,'Dashboard Items'!$A$2:$A$495,0))="Objective","Objectives go in the next column",IF(OR(D199="",INDEX('Dashboard Items'!$B$2:$B$495,MATCH(E199,'Dashboard Items'!$A$2:$A$495,0))=D199),INDEX('Dashboard Items'!$C$2:$C$495,MATCH(E199,'Dashboard Items'!$A$2:$A$495,0)),"Level does not match ID")),"ID not found"))</f>
        <v/>
      </c>
      <c r="G199" s="139"/>
      <c r="H199" s="138" t="str">
        <f>IF(G199="","",IF(ISNUMBER(SEARCH(",",G199)),"Several items (the script lists them)",IFERROR(INDEX('Dashboard Items'!$B$2:$B$495,MATCH(G199,'Dashboard Items'!$A$2:$A$495,0))&amp;": "&amp;INDEX('Dashboard Items'!$C$2:$C$495,MATCH(G199,'Dashboard Items'!$A$2:$A$495,0)),"ID not found")))</f>
        <v/>
      </c>
      <c r="I199" s="137"/>
      <c r="J199" s="137"/>
      <c r="K199" s="137"/>
      <c r="L199" s="137"/>
      <c r="M199" s="137"/>
      <c r="N199" s="137"/>
      <c r="O199" s="137"/>
      <c r="P199" s="137"/>
      <c r="Q199" s="137"/>
      <c r="R199" s="137"/>
      <c r="S199" s="137"/>
      <c r="T199" s="137"/>
      <c r="U199" s="99" t="str">
        <f>IF(B199="","",IF(IF(D199&lt;&gt;"",D199,IFERROR(INDEX('Dashboard Items'!$B$2:$B$495,MATCH(E199,'Dashboard Items'!$A$2:$A$495,0)),""))="Key Service",IF(O199="No","Key Service: shown, not counted","Counts in Key Service gauge"),IF(IF(D199&lt;&gt;"",D199,IFERROR(INDEX('Dashboard Items'!$B$2:$B$495,MATCH(E199,'Dashboard Items'!$A$2:$A$495,0)),""))="Program",IF(ISNUMBER(SEARCH("ks",G199)),IF(O199="No","Program, also at Key Service: not counted","Counts in Key Service gauge + sets Program chip"),IF(O199="No","Program: shown, no status chip","Sets Program status chip")),IF(IF(D199&lt;&gt;"",D199,IFERROR(INDEX('Dashboard Items'!$B$2:$B$495,MATCH(E199,'Dashboard Items'!$A$2:$A$495,0)),""))="Work System","Work System: shown, not counted","Check Level"))))</f>
        <v/>
      </c>
    </row>
    <row r="200" spans="2:21" ht="15" customHeight="1" x14ac:dyDescent="0.2">
      <c r="B200" s="137"/>
      <c r="C200" s="137"/>
      <c r="D200" s="137"/>
      <c r="E200" s="137"/>
      <c r="F200" s="138" t="str">
        <f>IF(E200="","",IFERROR(IF(INDEX('Dashboard Items'!$B$2:$B$495,MATCH(E200,'Dashboard Items'!$A$2:$A$495,0))="Objective","Objectives go in the next column",IF(OR(D200="",INDEX('Dashboard Items'!$B$2:$B$495,MATCH(E200,'Dashboard Items'!$A$2:$A$495,0))=D200),INDEX('Dashboard Items'!$C$2:$C$495,MATCH(E200,'Dashboard Items'!$A$2:$A$495,0)),"Level does not match ID")),"ID not found"))</f>
        <v/>
      </c>
      <c r="G200" s="139"/>
      <c r="H200" s="138" t="str">
        <f>IF(G200="","",IF(ISNUMBER(SEARCH(",",G200)),"Several items (the script lists them)",IFERROR(INDEX('Dashboard Items'!$B$2:$B$495,MATCH(G200,'Dashboard Items'!$A$2:$A$495,0))&amp;": "&amp;INDEX('Dashboard Items'!$C$2:$C$495,MATCH(G200,'Dashboard Items'!$A$2:$A$495,0)),"ID not found")))</f>
        <v/>
      </c>
      <c r="I200" s="137"/>
      <c r="J200" s="137"/>
      <c r="K200" s="137"/>
      <c r="L200" s="137"/>
      <c r="M200" s="137"/>
      <c r="N200" s="137"/>
      <c r="O200" s="137"/>
      <c r="P200" s="137"/>
      <c r="Q200" s="137"/>
      <c r="R200" s="137"/>
      <c r="S200" s="137"/>
      <c r="T200" s="137"/>
      <c r="U200" s="99" t="str">
        <f>IF(B200="","",IF(IF(D200&lt;&gt;"",D200,IFERROR(INDEX('Dashboard Items'!$B$2:$B$495,MATCH(E200,'Dashboard Items'!$A$2:$A$495,0)),""))="Key Service",IF(O200="No","Key Service: shown, not counted","Counts in Key Service gauge"),IF(IF(D200&lt;&gt;"",D200,IFERROR(INDEX('Dashboard Items'!$B$2:$B$495,MATCH(E200,'Dashboard Items'!$A$2:$A$495,0)),""))="Program",IF(ISNUMBER(SEARCH("ks",G200)),IF(O200="No","Program, also at Key Service: not counted","Counts in Key Service gauge + sets Program chip"),IF(O200="No","Program: shown, no status chip","Sets Program status chip")),IF(IF(D200&lt;&gt;"",D200,IFERROR(INDEX('Dashboard Items'!$B$2:$B$495,MATCH(E200,'Dashboard Items'!$A$2:$A$495,0)),""))="Work System","Work System: shown, not counted","Check Level"))))</f>
        <v/>
      </c>
    </row>
    <row r="201" spans="2:21" ht="15" customHeight="1" x14ac:dyDescent="0.2">
      <c r="B201" s="137"/>
      <c r="C201" s="137"/>
      <c r="D201" s="137"/>
      <c r="E201" s="137"/>
      <c r="F201" s="138" t="str">
        <f>IF(E201="","",IFERROR(IF(INDEX('Dashboard Items'!$B$2:$B$495,MATCH(E201,'Dashboard Items'!$A$2:$A$495,0))="Objective","Objectives go in the next column",IF(OR(D201="",INDEX('Dashboard Items'!$B$2:$B$495,MATCH(E201,'Dashboard Items'!$A$2:$A$495,0))=D201),INDEX('Dashboard Items'!$C$2:$C$495,MATCH(E201,'Dashboard Items'!$A$2:$A$495,0)),"Level does not match ID")),"ID not found"))</f>
        <v/>
      </c>
      <c r="G201" s="139"/>
      <c r="H201" s="138" t="str">
        <f>IF(G201="","",IF(ISNUMBER(SEARCH(",",G201)),"Several items (the script lists them)",IFERROR(INDEX('Dashboard Items'!$B$2:$B$495,MATCH(G201,'Dashboard Items'!$A$2:$A$495,0))&amp;": "&amp;INDEX('Dashboard Items'!$C$2:$C$495,MATCH(G201,'Dashboard Items'!$A$2:$A$495,0)),"ID not found")))</f>
        <v/>
      </c>
      <c r="I201" s="137"/>
      <c r="J201" s="137"/>
      <c r="K201" s="137"/>
      <c r="L201" s="137"/>
      <c r="M201" s="137"/>
      <c r="N201" s="137"/>
      <c r="O201" s="137"/>
      <c r="P201" s="137"/>
      <c r="Q201" s="137"/>
      <c r="R201" s="137"/>
      <c r="S201" s="137"/>
      <c r="T201" s="137"/>
      <c r="U201" s="99" t="str">
        <f>IF(B201="","",IF(IF(D201&lt;&gt;"",D201,IFERROR(INDEX('Dashboard Items'!$B$2:$B$495,MATCH(E201,'Dashboard Items'!$A$2:$A$495,0)),""))="Key Service",IF(O201="No","Key Service: shown, not counted","Counts in Key Service gauge"),IF(IF(D201&lt;&gt;"",D201,IFERROR(INDEX('Dashboard Items'!$B$2:$B$495,MATCH(E201,'Dashboard Items'!$A$2:$A$495,0)),""))="Program",IF(ISNUMBER(SEARCH("ks",G201)),IF(O201="No","Program, also at Key Service: not counted","Counts in Key Service gauge + sets Program chip"),IF(O201="No","Program: shown, no status chip","Sets Program status chip")),IF(IF(D201&lt;&gt;"",D201,IFERROR(INDEX('Dashboard Items'!$B$2:$B$495,MATCH(E201,'Dashboard Items'!$A$2:$A$495,0)),""))="Work System","Work System: shown, not counted","Check Level"))))</f>
        <v/>
      </c>
    </row>
    <row r="202" spans="2:21" ht="15" customHeight="1" x14ac:dyDescent="0.2">
      <c r="B202" s="137"/>
      <c r="C202" s="137"/>
      <c r="D202" s="137"/>
      <c r="E202" s="137"/>
      <c r="F202" s="138" t="str">
        <f>IF(E202="","",IFERROR(IF(INDEX('Dashboard Items'!$B$2:$B$495,MATCH(E202,'Dashboard Items'!$A$2:$A$495,0))="Objective","Objectives go in the next column",IF(OR(D202="",INDEX('Dashboard Items'!$B$2:$B$495,MATCH(E202,'Dashboard Items'!$A$2:$A$495,0))=D202),INDEX('Dashboard Items'!$C$2:$C$495,MATCH(E202,'Dashboard Items'!$A$2:$A$495,0)),"Level does not match ID")),"ID not found"))</f>
        <v/>
      </c>
      <c r="G202" s="139"/>
      <c r="H202" s="138" t="str">
        <f>IF(G202="","",IF(ISNUMBER(SEARCH(",",G202)),"Several items (the script lists them)",IFERROR(INDEX('Dashboard Items'!$B$2:$B$495,MATCH(G202,'Dashboard Items'!$A$2:$A$495,0))&amp;": "&amp;INDEX('Dashboard Items'!$C$2:$C$495,MATCH(G202,'Dashboard Items'!$A$2:$A$495,0)),"ID not found")))</f>
        <v/>
      </c>
      <c r="I202" s="137"/>
      <c r="J202" s="137"/>
      <c r="K202" s="137"/>
      <c r="L202" s="137"/>
      <c r="M202" s="137"/>
      <c r="N202" s="137"/>
      <c r="O202" s="137"/>
      <c r="P202" s="137"/>
      <c r="Q202" s="137"/>
      <c r="R202" s="137"/>
      <c r="S202" s="137"/>
      <c r="T202" s="137"/>
      <c r="U202" s="99" t="str">
        <f>IF(B202="","",IF(IF(D202&lt;&gt;"",D202,IFERROR(INDEX('Dashboard Items'!$B$2:$B$495,MATCH(E202,'Dashboard Items'!$A$2:$A$495,0)),""))="Key Service",IF(O202="No","Key Service: shown, not counted","Counts in Key Service gauge"),IF(IF(D202&lt;&gt;"",D202,IFERROR(INDEX('Dashboard Items'!$B$2:$B$495,MATCH(E202,'Dashboard Items'!$A$2:$A$495,0)),""))="Program",IF(ISNUMBER(SEARCH("ks",G202)),IF(O202="No","Program, also at Key Service: not counted","Counts in Key Service gauge + sets Program chip"),IF(O202="No","Program: shown, no status chip","Sets Program status chip")),IF(IF(D202&lt;&gt;"",D202,IFERROR(INDEX('Dashboard Items'!$B$2:$B$495,MATCH(E202,'Dashboard Items'!$A$2:$A$495,0)),""))="Work System","Work System: shown, not counted","Check Level"))))</f>
        <v/>
      </c>
    </row>
    <row r="203" spans="2:21" ht="15" customHeight="1" x14ac:dyDescent="0.2">
      <c r="B203" s="137"/>
      <c r="C203" s="137"/>
      <c r="D203" s="137"/>
      <c r="E203" s="137"/>
      <c r="F203" s="138" t="str">
        <f>IF(E203="","",IFERROR(IF(INDEX('Dashboard Items'!$B$2:$B$495,MATCH(E203,'Dashboard Items'!$A$2:$A$495,0))="Objective","Objectives go in the next column",IF(OR(D203="",INDEX('Dashboard Items'!$B$2:$B$495,MATCH(E203,'Dashboard Items'!$A$2:$A$495,0))=D203),INDEX('Dashboard Items'!$C$2:$C$495,MATCH(E203,'Dashboard Items'!$A$2:$A$495,0)),"Level does not match ID")),"ID not found"))</f>
        <v/>
      </c>
      <c r="G203" s="139"/>
      <c r="H203" s="138" t="str">
        <f>IF(G203="","",IF(ISNUMBER(SEARCH(",",G203)),"Several items (the script lists them)",IFERROR(INDEX('Dashboard Items'!$B$2:$B$495,MATCH(G203,'Dashboard Items'!$A$2:$A$495,0))&amp;": "&amp;INDEX('Dashboard Items'!$C$2:$C$495,MATCH(G203,'Dashboard Items'!$A$2:$A$495,0)),"ID not found")))</f>
        <v/>
      </c>
      <c r="I203" s="137"/>
      <c r="J203" s="137"/>
      <c r="K203" s="137"/>
      <c r="L203" s="137"/>
      <c r="M203" s="137"/>
      <c r="N203" s="137"/>
      <c r="O203" s="137"/>
      <c r="P203" s="137"/>
      <c r="Q203" s="137"/>
      <c r="R203" s="137"/>
      <c r="S203" s="137"/>
      <c r="T203" s="137"/>
      <c r="U203" s="99" t="str">
        <f>IF(B203="","",IF(IF(D203&lt;&gt;"",D203,IFERROR(INDEX('Dashboard Items'!$B$2:$B$495,MATCH(E203,'Dashboard Items'!$A$2:$A$495,0)),""))="Key Service",IF(O203="No","Key Service: shown, not counted","Counts in Key Service gauge"),IF(IF(D203&lt;&gt;"",D203,IFERROR(INDEX('Dashboard Items'!$B$2:$B$495,MATCH(E203,'Dashboard Items'!$A$2:$A$495,0)),""))="Program",IF(ISNUMBER(SEARCH("ks",G203)),IF(O203="No","Program, also at Key Service: not counted","Counts in Key Service gauge + sets Program chip"),IF(O203="No","Program: shown, no status chip","Sets Program status chip")),IF(IF(D203&lt;&gt;"",D203,IFERROR(INDEX('Dashboard Items'!$B$2:$B$495,MATCH(E203,'Dashboard Items'!$A$2:$A$495,0)),""))="Work System","Work System: shown, not counted","Check Level"))))</f>
        <v/>
      </c>
    </row>
    <row r="204" spans="2:21" ht="15" customHeight="1" x14ac:dyDescent="0.2">
      <c r="B204" s="137"/>
      <c r="C204" s="137"/>
      <c r="D204" s="137"/>
      <c r="E204" s="137"/>
      <c r="F204" s="138" t="str">
        <f>IF(E204="","",IFERROR(IF(INDEX('Dashboard Items'!$B$2:$B$495,MATCH(E204,'Dashboard Items'!$A$2:$A$495,0))="Objective","Objectives go in the next column",IF(OR(D204="",INDEX('Dashboard Items'!$B$2:$B$495,MATCH(E204,'Dashboard Items'!$A$2:$A$495,0))=D204),INDEX('Dashboard Items'!$C$2:$C$495,MATCH(E204,'Dashboard Items'!$A$2:$A$495,0)),"Level does not match ID")),"ID not found"))</f>
        <v/>
      </c>
      <c r="G204" s="139"/>
      <c r="H204" s="138" t="str">
        <f>IF(G204="","",IF(ISNUMBER(SEARCH(",",G204)),"Several items (the script lists them)",IFERROR(INDEX('Dashboard Items'!$B$2:$B$495,MATCH(G204,'Dashboard Items'!$A$2:$A$495,0))&amp;": "&amp;INDEX('Dashboard Items'!$C$2:$C$495,MATCH(G204,'Dashboard Items'!$A$2:$A$495,0)),"ID not found")))</f>
        <v/>
      </c>
      <c r="I204" s="137"/>
      <c r="J204" s="137"/>
      <c r="K204" s="137"/>
      <c r="L204" s="137"/>
      <c r="M204" s="137"/>
      <c r="N204" s="137"/>
      <c r="O204" s="137"/>
      <c r="P204" s="137"/>
      <c r="Q204" s="137"/>
      <c r="R204" s="137"/>
      <c r="S204" s="137"/>
      <c r="T204" s="137"/>
      <c r="U204" s="99" t="str">
        <f>IF(B204="","",IF(IF(D204&lt;&gt;"",D204,IFERROR(INDEX('Dashboard Items'!$B$2:$B$495,MATCH(E204,'Dashboard Items'!$A$2:$A$495,0)),""))="Key Service",IF(O204="No","Key Service: shown, not counted","Counts in Key Service gauge"),IF(IF(D204&lt;&gt;"",D204,IFERROR(INDEX('Dashboard Items'!$B$2:$B$495,MATCH(E204,'Dashboard Items'!$A$2:$A$495,0)),""))="Program",IF(ISNUMBER(SEARCH("ks",G204)),IF(O204="No","Program, also at Key Service: not counted","Counts in Key Service gauge + sets Program chip"),IF(O204="No","Program: shown, no status chip","Sets Program status chip")),IF(IF(D204&lt;&gt;"",D204,IFERROR(INDEX('Dashboard Items'!$B$2:$B$495,MATCH(E204,'Dashboard Items'!$A$2:$A$495,0)),""))="Work System","Work System: shown, not counted","Check Level"))))</f>
        <v/>
      </c>
    </row>
    <row r="205" spans="2:21" ht="15" customHeight="1" x14ac:dyDescent="0.2">
      <c r="B205" s="137"/>
      <c r="C205" s="137"/>
      <c r="D205" s="137"/>
      <c r="E205" s="137"/>
      <c r="F205" s="138" t="str">
        <f>IF(E205="","",IFERROR(IF(INDEX('Dashboard Items'!$B$2:$B$495,MATCH(E205,'Dashboard Items'!$A$2:$A$495,0))="Objective","Objectives go in the next column",IF(OR(D205="",INDEX('Dashboard Items'!$B$2:$B$495,MATCH(E205,'Dashboard Items'!$A$2:$A$495,0))=D205),INDEX('Dashboard Items'!$C$2:$C$495,MATCH(E205,'Dashboard Items'!$A$2:$A$495,0)),"Level does not match ID")),"ID not found"))</f>
        <v/>
      </c>
      <c r="G205" s="139"/>
      <c r="H205" s="138" t="str">
        <f>IF(G205="","",IF(ISNUMBER(SEARCH(",",G205)),"Several items (the script lists them)",IFERROR(INDEX('Dashboard Items'!$B$2:$B$495,MATCH(G205,'Dashboard Items'!$A$2:$A$495,0))&amp;": "&amp;INDEX('Dashboard Items'!$C$2:$C$495,MATCH(G205,'Dashboard Items'!$A$2:$A$495,0)),"ID not found")))</f>
        <v/>
      </c>
      <c r="I205" s="137"/>
      <c r="J205" s="137"/>
      <c r="K205" s="137"/>
      <c r="L205" s="137"/>
      <c r="M205" s="137"/>
      <c r="N205" s="137"/>
      <c r="O205" s="137"/>
      <c r="P205" s="137"/>
      <c r="Q205" s="137"/>
      <c r="R205" s="137"/>
      <c r="S205" s="137"/>
      <c r="T205" s="137"/>
      <c r="U205" s="99" t="str">
        <f>IF(B205="","",IF(IF(D205&lt;&gt;"",D205,IFERROR(INDEX('Dashboard Items'!$B$2:$B$495,MATCH(E205,'Dashboard Items'!$A$2:$A$495,0)),""))="Key Service",IF(O205="No","Key Service: shown, not counted","Counts in Key Service gauge"),IF(IF(D205&lt;&gt;"",D205,IFERROR(INDEX('Dashboard Items'!$B$2:$B$495,MATCH(E205,'Dashboard Items'!$A$2:$A$495,0)),""))="Program",IF(ISNUMBER(SEARCH("ks",G205)),IF(O205="No","Program, also at Key Service: not counted","Counts in Key Service gauge + sets Program chip"),IF(O205="No","Program: shown, no status chip","Sets Program status chip")),IF(IF(D205&lt;&gt;"",D205,IFERROR(INDEX('Dashboard Items'!$B$2:$B$495,MATCH(E205,'Dashboard Items'!$A$2:$A$495,0)),""))="Work System","Work System: shown, not counted","Check Level"))))</f>
        <v/>
      </c>
    </row>
    <row r="206" spans="2:21" ht="15" customHeight="1" x14ac:dyDescent="0.2">
      <c r="B206" s="137"/>
      <c r="C206" s="137"/>
      <c r="D206" s="137"/>
      <c r="E206" s="137"/>
      <c r="F206" s="138" t="str">
        <f>IF(E206="","",IFERROR(IF(INDEX('Dashboard Items'!$B$2:$B$495,MATCH(E206,'Dashboard Items'!$A$2:$A$495,0))="Objective","Objectives go in the next column",IF(OR(D206="",INDEX('Dashboard Items'!$B$2:$B$495,MATCH(E206,'Dashboard Items'!$A$2:$A$495,0))=D206),INDEX('Dashboard Items'!$C$2:$C$495,MATCH(E206,'Dashboard Items'!$A$2:$A$495,0)),"Level does not match ID")),"ID not found"))</f>
        <v/>
      </c>
      <c r="G206" s="139"/>
      <c r="H206" s="138" t="str">
        <f>IF(G206="","",IF(ISNUMBER(SEARCH(",",G206)),"Several items (the script lists them)",IFERROR(INDEX('Dashboard Items'!$B$2:$B$495,MATCH(G206,'Dashboard Items'!$A$2:$A$495,0))&amp;": "&amp;INDEX('Dashboard Items'!$C$2:$C$495,MATCH(G206,'Dashboard Items'!$A$2:$A$495,0)),"ID not found")))</f>
        <v/>
      </c>
      <c r="I206" s="137"/>
      <c r="J206" s="137"/>
      <c r="K206" s="137"/>
      <c r="L206" s="137"/>
      <c r="M206" s="137"/>
      <c r="N206" s="137"/>
      <c r="O206" s="137"/>
      <c r="P206" s="137"/>
      <c r="Q206" s="137"/>
      <c r="R206" s="137"/>
      <c r="S206" s="137"/>
      <c r="T206" s="137"/>
      <c r="U206" s="99" t="str">
        <f>IF(B206="","",IF(IF(D206&lt;&gt;"",D206,IFERROR(INDEX('Dashboard Items'!$B$2:$B$495,MATCH(E206,'Dashboard Items'!$A$2:$A$495,0)),""))="Key Service",IF(O206="No","Key Service: shown, not counted","Counts in Key Service gauge"),IF(IF(D206&lt;&gt;"",D206,IFERROR(INDEX('Dashboard Items'!$B$2:$B$495,MATCH(E206,'Dashboard Items'!$A$2:$A$495,0)),""))="Program",IF(ISNUMBER(SEARCH("ks",G206)),IF(O206="No","Program, also at Key Service: not counted","Counts in Key Service gauge + sets Program chip"),IF(O206="No","Program: shown, no status chip","Sets Program status chip")),IF(IF(D206&lt;&gt;"",D206,IFERROR(INDEX('Dashboard Items'!$B$2:$B$495,MATCH(E206,'Dashboard Items'!$A$2:$A$495,0)),""))="Work System","Work System: shown, not counted","Check Level"))))</f>
        <v/>
      </c>
    </row>
    <row r="207" spans="2:21" ht="15" customHeight="1" x14ac:dyDescent="0.2">
      <c r="B207" s="137"/>
      <c r="C207" s="137"/>
      <c r="D207" s="137"/>
      <c r="E207" s="137"/>
      <c r="F207" s="138" t="str">
        <f>IF(E207="","",IFERROR(IF(INDEX('Dashboard Items'!$B$2:$B$495,MATCH(E207,'Dashboard Items'!$A$2:$A$495,0))="Objective","Objectives go in the next column",IF(OR(D207="",INDEX('Dashboard Items'!$B$2:$B$495,MATCH(E207,'Dashboard Items'!$A$2:$A$495,0))=D207),INDEX('Dashboard Items'!$C$2:$C$495,MATCH(E207,'Dashboard Items'!$A$2:$A$495,0)),"Level does not match ID")),"ID not found"))</f>
        <v/>
      </c>
      <c r="G207" s="139"/>
      <c r="H207" s="138" t="str">
        <f>IF(G207="","",IF(ISNUMBER(SEARCH(",",G207)),"Several items (the script lists them)",IFERROR(INDEX('Dashboard Items'!$B$2:$B$495,MATCH(G207,'Dashboard Items'!$A$2:$A$495,0))&amp;": "&amp;INDEX('Dashboard Items'!$C$2:$C$495,MATCH(G207,'Dashboard Items'!$A$2:$A$495,0)),"ID not found")))</f>
        <v/>
      </c>
      <c r="I207" s="137"/>
      <c r="J207" s="137"/>
      <c r="K207" s="137"/>
      <c r="L207" s="137"/>
      <c r="M207" s="137"/>
      <c r="N207" s="137"/>
      <c r="O207" s="137"/>
      <c r="P207" s="137"/>
      <c r="Q207" s="137"/>
      <c r="R207" s="137"/>
      <c r="S207" s="137"/>
      <c r="T207" s="137"/>
      <c r="U207" s="99" t="str">
        <f>IF(B207="","",IF(IF(D207&lt;&gt;"",D207,IFERROR(INDEX('Dashboard Items'!$B$2:$B$495,MATCH(E207,'Dashboard Items'!$A$2:$A$495,0)),""))="Key Service",IF(O207="No","Key Service: shown, not counted","Counts in Key Service gauge"),IF(IF(D207&lt;&gt;"",D207,IFERROR(INDEX('Dashboard Items'!$B$2:$B$495,MATCH(E207,'Dashboard Items'!$A$2:$A$495,0)),""))="Program",IF(ISNUMBER(SEARCH("ks",G207)),IF(O207="No","Program, also at Key Service: not counted","Counts in Key Service gauge + sets Program chip"),IF(O207="No","Program: shown, no status chip","Sets Program status chip")),IF(IF(D207&lt;&gt;"",D207,IFERROR(INDEX('Dashboard Items'!$B$2:$B$495,MATCH(E207,'Dashboard Items'!$A$2:$A$495,0)),""))="Work System","Work System: shown, not counted","Check Level"))))</f>
        <v/>
      </c>
    </row>
    <row r="208" spans="2:21" ht="15" customHeight="1" x14ac:dyDescent="0.2">
      <c r="B208" s="137"/>
      <c r="C208" s="137"/>
      <c r="D208" s="137"/>
      <c r="E208" s="137"/>
      <c r="F208" s="138" t="str">
        <f>IF(E208="","",IFERROR(IF(INDEX('Dashboard Items'!$B$2:$B$495,MATCH(E208,'Dashboard Items'!$A$2:$A$495,0))="Objective","Objectives go in the next column",IF(OR(D208="",INDEX('Dashboard Items'!$B$2:$B$495,MATCH(E208,'Dashboard Items'!$A$2:$A$495,0))=D208),INDEX('Dashboard Items'!$C$2:$C$495,MATCH(E208,'Dashboard Items'!$A$2:$A$495,0)),"Level does not match ID")),"ID not found"))</f>
        <v/>
      </c>
      <c r="G208" s="139"/>
      <c r="H208" s="138" t="str">
        <f>IF(G208="","",IF(ISNUMBER(SEARCH(",",G208)),"Several items (the script lists them)",IFERROR(INDEX('Dashboard Items'!$B$2:$B$495,MATCH(G208,'Dashboard Items'!$A$2:$A$495,0))&amp;": "&amp;INDEX('Dashboard Items'!$C$2:$C$495,MATCH(G208,'Dashboard Items'!$A$2:$A$495,0)),"ID not found")))</f>
        <v/>
      </c>
      <c r="I208" s="137"/>
      <c r="J208" s="137"/>
      <c r="K208" s="137"/>
      <c r="L208" s="137"/>
      <c r="M208" s="137"/>
      <c r="N208" s="137"/>
      <c r="O208" s="137"/>
      <c r="P208" s="137"/>
      <c r="Q208" s="137"/>
      <c r="R208" s="137"/>
      <c r="S208" s="137"/>
      <c r="T208" s="137"/>
      <c r="U208" s="99" t="str">
        <f>IF(B208="","",IF(IF(D208&lt;&gt;"",D208,IFERROR(INDEX('Dashboard Items'!$B$2:$B$495,MATCH(E208,'Dashboard Items'!$A$2:$A$495,0)),""))="Key Service",IF(O208="No","Key Service: shown, not counted","Counts in Key Service gauge"),IF(IF(D208&lt;&gt;"",D208,IFERROR(INDEX('Dashboard Items'!$B$2:$B$495,MATCH(E208,'Dashboard Items'!$A$2:$A$495,0)),""))="Program",IF(ISNUMBER(SEARCH("ks",G208)),IF(O208="No","Program, also at Key Service: not counted","Counts in Key Service gauge + sets Program chip"),IF(O208="No","Program: shown, no status chip","Sets Program status chip")),IF(IF(D208&lt;&gt;"",D208,IFERROR(INDEX('Dashboard Items'!$B$2:$B$495,MATCH(E208,'Dashboard Items'!$A$2:$A$495,0)),""))="Work System","Work System: shown, not counted","Check Level"))))</f>
        <v/>
      </c>
    </row>
    <row r="209" spans="2:21" ht="15" customHeight="1" x14ac:dyDescent="0.2">
      <c r="B209" s="137"/>
      <c r="C209" s="137"/>
      <c r="D209" s="137"/>
      <c r="E209" s="137"/>
      <c r="F209" s="138" t="str">
        <f>IF(E209="","",IFERROR(IF(INDEX('Dashboard Items'!$B$2:$B$495,MATCH(E209,'Dashboard Items'!$A$2:$A$495,0))="Objective","Objectives go in the next column",IF(OR(D209="",INDEX('Dashboard Items'!$B$2:$B$495,MATCH(E209,'Dashboard Items'!$A$2:$A$495,0))=D209),INDEX('Dashboard Items'!$C$2:$C$495,MATCH(E209,'Dashboard Items'!$A$2:$A$495,0)),"Level does not match ID")),"ID not found"))</f>
        <v/>
      </c>
      <c r="G209" s="139"/>
      <c r="H209" s="138" t="str">
        <f>IF(G209="","",IF(ISNUMBER(SEARCH(",",G209)),"Several items (the script lists them)",IFERROR(INDEX('Dashboard Items'!$B$2:$B$495,MATCH(G209,'Dashboard Items'!$A$2:$A$495,0))&amp;": "&amp;INDEX('Dashboard Items'!$C$2:$C$495,MATCH(G209,'Dashboard Items'!$A$2:$A$495,0)),"ID not found")))</f>
        <v/>
      </c>
      <c r="I209" s="137"/>
      <c r="J209" s="137"/>
      <c r="K209" s="137"/>
      <c r="L209" s="137"/>
      <c r="M209" s="137"/>
      <c r="N209" s="137"/>
      <c r="O209" s="137"/>
      <c r="P209" s="137"/>
      <c r="Q209" s="137"/>
      <c r="R209" s="137"/>
      <c r="S209" s="137"/>
      <c r="T209" s="137"/>
      <c r="U209" s="99" t="str">
        <f>IF(B209="","",IF(IF(D209&lt;&gt;"",D209,IFERROR(INDEX('Dashboard Items'!$B$2:$B$495,MATCH(E209,'Dashboard Items'!$A$2:$A$495,0)),""))="Key Service",IF(O209="No","Key Service: shown, not counted","Counts in Key Service gauge"),IF(IF(D209&lt;&gt;"",D209,IFERROR(INDEX('Dashboard Items'!$B$2:$B$495,MATCH(E209,'Dashboard Items'!$A$2:$A$495,0)),""))="Program",IF(ISNUMBER(SEARCH("ks",G209)),IF(O209="No","Program, also at Key Service: not counted","Counts in Key Service gauge + sets Program chip"),IF(O209="No","Program: shown, no status chip","Sets Program status chip")),IF(IF(D209&lt;&gt;"",D209,IFERROR(INDEX('Dashboard Items'!$B$2:$B$495,MATCH(E209,'Dashboard Items'!$A$2:$A$495,0)),""))="Work System","Work System: shown, not counted","Check Level"))))</f>
        <v/>
      </c>
    </row>
    <row r="210" spans="2:21" ht="15" customHeight="1" x14ac:dyDescent="0.2">
      <c r="B210" s="137"/>
      <c r="C210" s="137"/>
      <c r="D210" s="137"/>
      <c r="E210" s="137"/>
      <c r="F210" s="138" t="str">
        <f>IF(E210="","",IFERROR(IF(INDEX('Dashboard Items'!$B$2:$B$495,MATCH(E210,'Dashboard Items'!$A$2:$A$495,0))="Objective","Objectives go in the next column",IF(OR(D210="",INDEX('Dashboard Items'!$B$2:$B$495,MATCH(E210,'Dashboard Items'!$A$2:$A$495,0))=D210),INDEX('Dashboard Items'!$C$2:$C$495,MATCH(E210,'Dashboard Items'!$A$2:$A$495,0)),"Level does not match ID")),"ID not found"))</f>
        <v/>
      </c>
      <c r="G210" s="139"/>
      <c r="H210" s="138" t="str">
        <f>IF(G210="","",IF(ISNUMBER(SEARCH(",",G210)),"Several items (the script lists them)",IFERROR(INDEX('Dashboard Items'!$B$2:$B$495,MATCH(G210,'Dashboard Items'!$A$2:$A$495,0))&amp;": "&amp;INDEX('Dashboard Items'!$C$2:$C$495,MATCH(G210,'Dashboard Items'!$A$2:$A$495,0)),"ID not found")))</f>
        <v/>
      </c>
      <c r="I210" s="137"/>
      <c r="J210" s="137"/>
      <c r="K210" s="137"/>
      <c r="L210" s="137"/>
      <c r="M210" s="137"/>
      <c r="N210" s="137"/>
      <c r="O210" s="137"/>
      <c r="P210" s="137"/>
      <c r="Q210" s="137"/>
      <c r="R210" s="137"/>
      <c r="S210" s="137"/>
      <c r="T210" s="137"/>
      <c r="U210" s="99" t="str">
        <f>IF(B210="","",IF(IF(D210&lt;&gt;"",D210,IFERROR(INDEX('Dashboard Items'!$B$2:$B$495,MATCH(E210,'Dashboard Items'!$A$2:$A$495,0)),""))="Key Service",IF(O210="No","Key Service: shown, not counted","Counts in Key Service gauge"),IF(IF(D210&lt;&gt;"",D210,IFERROR(INDEX('Dashboard Items'!$B$2:$B$495,MATCH(E210,'Dashboard Items'!$A$2:$A$495,0)),""))="Program",IF(ISNUMBER(SEARCH("ks",G210)),IF(O210="No","Program, also at Key Service: not counted","Counts in Key Service gauge + sets Program chip"),IF(O210="No","Program: shown, no status chip","Sets Program status chip")),IF(IF(D210&lt;&gt;"",D210,IFERROR(INDEX('Dashboard Items'!$B$2:$B$495,MATCH(E210,'Dashboard Items'!$A$2:$A$495,0)),""))="Work System","Work System: shown, not counted","Check Level"))))</f>
        <v/>
      </c>
    </row>
    <row r="211" spans="2:21" ht="15" customHeight="1" x14ac:dyDescent="0.2">
      <c r="B211" s="137"/>
      <c r="C211" s="137"/>
      <c r="D211" s="137"/>
      <c r="E211" s="137"/>
      <c r="F211" s="138" t="str">
        <f>IF(E211="","",IFERROR(IF(INDEX('Dashboard Items'!$B$2:$B$495,MATCH(E211,'Dashboard Items'!$A$2:$A$495,0))="Objective","Objectives go in the next column",IF(OR(D211="",INDEX('Dashboard Items'!$B$2:$B$495,MATCH(E211,'Dashboard Items'!$A$2:$A$495,0))=D211),INDEX('Dashboard Items'!$C$2:$C$495,MATCH(E211,'Dashboard Items'!$A$2:$A$495,0)),"Level does not match ID")),"ID not found"))</f>
        <v/>
      </c>
      <c r="G211" s="139"/>
      <c r="H211" s="138" t="str">
        <f>IF(G211="","",IF(ISNUMBER(SEARCH(",",G211)),"Several items (the script lists them)",IFERROR(INDEX('Dashboard Items'!$B$2:$B$495,MATCH(G211,'Dashboard Items'!$A$2:$A$495,0))&amp;": "&amp;INDEX('Dashboard Items'!$C$2:$C$495,MATCH(G211,'Dashboard Items'!$A$2:$A$495,0)),"ID not found")))</f>
        <v/>
      </c>
      <c r="I211" s="137"/>
      <c r="J211" s="137"/>
      <c r="K211" s="137"/>
      <c r="L211" s="137"/>
      <c r="M211" s="137"/>
      <c r="N211" s="137"/>
      <c r="O211" s="137"/>
      <c r="P211" s="137"/>
      <c r="Q211" s="137"/>
      <c r="R211" s="137"/>
      <c r="S211" s="137"/>
      <c r="T211" s="137"/>
      <c r="U211" s="99" t="str">
        <f>IF(B211="","",IF(IF(D211&lt;&gt;"",D211,IFERROR(INDEX('Dashboard Items'!$B$2:$B$495,MATCH(E211,'Dashboard Items'!$A$2:$A$495,0)),""))="Key Service",IF(O211="No","Key Service: shown, not counted","Counts in Key Service gauge"),IF(IF(D211&lt;&gt;"",D211,IFERROR(INDEX('Dashboard Items'!$B$2:$B$495,MATCH(E211,'Dashboard Items'!$A$2:$A$495,0)),""))="Program",IF(ISNUMBER(SEARCH("ks",G211)),IF(O211="No","Program, also at Key Service: not counted","Counts in Key Service gauge + sets Program chip"),IF(O211="No","Program: shown, no status chip","Sets Program status chip")),IF(IF(D211&lt;&gt;"",D211,IFERROR(INDEX('Dashboard Items'!$B$2:$B$495,MATCH(E211,'Dashboard Items'!$A$2:$A$495,0)),""))="Work System","Work System: shown, not counted","Check Level"))))</f>
        <v/>
      </c>
    </row>
    <row r="212" spans="2:21" ht="15" customHeight="1" x14ac:dyDescent="0.2">
      <c r="B212" s="137"/>
      <c r="C212" s="137"/>
      <c r="D212" s="137"/>
      <c r="E212" s="137"/>
      <c r="F212" s="138" t="str">
        <f>IF(E212="","",IFERROR(IF(INDEX('Dashboard Items'!$B$2:$B$495,MATCH(E212,'Dashboard Items'!$A$2:$A$495,0))="Objective","Objectives go in the next column",IF(OR(D212="",INDEX('Dashboard Items'!$B$2:$B$495,MATCH(E212,'Dashboard Items'!$A$2:$A$495,0))=D212),INDEX('Dashboard Items'!$C$2:$C$495,MATCH(E212,'Dashboard Items'!$A$2:$A$495,0)),"Level does not match ID")),"ID not found"))</f>
        <v/>
      </c>
      <c r="G212" s="139"/>
      <c r="H212" s="138" t="str">
        <f>IF(G212="","",IF(ISNUMBER(SEARCH(",",G212)),"Several items (the script lists them)",IFERROR(INDEX('Dashboard Items'!$B$2:$B$495,MATCH(G212,'Dashboard Items'!$A$2:$A$495,0))&amp;": "&amp;INDEX('Dashboard Items'!$C$2:$C$495,MATCH(G212,'Dashboard Items'!$A$2:$A$495,0)),"ID not found")))</f>
        <v/>
      </c>
      <c r="I212" s="137"/>
      <c r="J212" s="137"/>
      <c r="K212" s="137"/>
      <c r="L212" s="137"/>
      <c r="M212" s="137"/>
      <c r="N212" s="137"/>
      <c r="O212" s="137"/>
      <c r="P212" s="137"/>
      <c r="Q212" s="137"/>
      <c r="R212" s="137"/>
      <c r="S212" s="137"/>
      <c r="T212" s="137"/>
      <c r="U212" s="99" t="str">
        <f>IF(B212="","",IF(IF(D212&lt;&gt;"",D212,IFERROR(INDEX('Dashboard Items'!$B$2:$B$495,MATCH(E212,'Dashboard Items'!$A$2:$A$495,0)),""))="Key Service",IF(O212="No","Key Service: shown, not counted","Counts in Key Service gauge"),IF(IF(D212&lt;&gt;"",D212,IFERROR(INDEX('Dashboard Items'!$B$2:$B$495,MATCH(E212,'Dashboard Items'!$A$2:$A$495,0)),""))="Program",IF(ISNUMBER(SEARCH("ks",G212)),IF(O212="No","Program, also at Key Service: not counted","Counts in Key Service gauge + sets Program chip"),IF(O212="No","Program: shown, no status chip","Sets Program status chip")),IF(IF(D212&lt;&gt;"",D212,IFERROR(INDEX('Dashboard Items'!$B$2:$B$495,MATCH(E212,'Dashboard Items'!$A$2:$A$495,0)),""))="Work System","Work System: shown, not counted","Check Level"))))</f>
        <v/>
      </c>
    </row>
    <row r="213" spans="2:21" ht="15" customHeight="1" x14ac:dyDescent="0.2">
      <c r="B213" s="137"/>
      <c r="C213" s="137"/>
      <c r="D213" s="137"/>
      <c r="E213" s="137"/>
      <c r="F213" s="138" t="str">
        <f>IF(E213="","",IFERROR(IF(INDEX('Dashboard Items'!$B$2:$B$495,MATCH(E213,'Dashboard Items'!$A$2:$A$495,0))="Objective","Objectives go in the next column",IF(OR(D213="",INDEX('Dashboard Items'!$B$2:$B$495,MATCH(E213,'Dashboard Items'!$A$2:$A$495,0))=D213),INDEX('Dashboard Items'!$C$2:$C$495,MATCH(E213,'Dashboard Items'!$A$2:$A$495,0)),"Level does not match ID")),"ID not found"))</f>
        <v/>
      </c>
      <c r="G213" s="139"/>
      <c r="H213" s="138" t="str">
        <f>IF(G213="","",IF(ISNUMBER(SEARCH(",",G213)),"Several items (the script lists them)",IFERROR(INDEX('Dashboard Items'!$B$2:$B$495,MATCH(G213,'Dashboard Items'!$A$2:$A$495,0))&amp;": "&amp;INDEX('Dashboard Items'!$C$2:$C$495,MATCH(G213,'Dashboard Items'!$A$2:$A$495,0)),"ID not found")))</f>
        <v/>
      </c>
      <c r="I213" s="137"/>
      <c r="J213" s="137"/>
      <c r="K213" s="137"/>
      <c r="L213" s="137"/>
      <c r="M213" s="137"/>
      <c r="N213" s="137"/>
      <c r="O213" s="137"/>
      <c r="P213" s="137"/>
      <c r="Q213" s="137"/>
      <c r="R213" s="137"/>
      <c r="S213" s="137"/>
      <c r="T213" s="137"/>
      <c r="U213" s="99" t="str">
        <f>IF(B213="","",IF(IF(D213&lt;&gt;"",D213,IFERROR(INDEX('Dashboard Items'!$B$2:$B$495,MATCH(E213,'Dashboard Items'!$A$2:$A$495,0)),""))="Key Service",IF(O213="No","Key Service: shown, not counted","Counts in Key Service gauge"),IF(IF(D213&lt;&gt;"",D213,IFERROR(INDEX('Dashboard Items'!$B$2:$B$495,MATCH(E213,'Dashboard Items'!$A$2:$A$495,0)),""))="Program",IF(ISNUMBER(SEARCH("ks",G213)),IF(O213="No","Program, also at Key Service: not counted","Counts in Key Service gauge + sets Program chip"),IF(O213="No","Program: shown, no status chip","Sets Program status chip")),IF(IF(D213&lt;&gt;"",D213,IFERROR(INDEX('Dashboard Items'!$B$2:$B$495,MATCH(E213,'Dashboard Items'!$A$2:$A$495,0)),""))="Work System","Work System: shown, not counted","Check Level"))))</f>
        <v/>
      </c>
    </row>
    <row r="214" spans="2:21" ht="15" customHeight="1" x14ac:dyDescent="0.2">
      <c r="B214" s="137"/>
      <c r="C214" s="137"/>
      <c r="D214" s="137"/>
      <c r="E214" s="137"/>
      <c r="F214" s="138" t="str">
        <f>IF(E214="","",IFERROR(IF(INDEX('Dashboard Items'!$B$2:$B$495,MATCH(E214,'Dashboard Items'!$A$2:$A$495,0))="Objective","Objectives go in the next column",IF(OR(D214="",INDEX('Dashboard Items'!$B$2:$B$495,MATCH(E214,'Dashboard Items'!$A$2:$A$495,0))=D214),INDEX('Dashboard Items'!$C$2:$C$495,MATCH(E214,'Dashboard Items'!$A$2:$A$495,0)),"Level does not match ID")),"ID not found"))</f>
        <v/>
      </c>
      <c r="G214" s="139"/>
      <c r="H214" s="138" t="str">
        <f>IF(G214="","",IF(ISNUMBER(SEARCH(",",G214)),"Several items (the script lists them)",IFERROR(INDEX('Dashboard Items'!$B$2:$B$495,MATCH(G214,'Dashboard Items'!$A$2:$A$495,0))&amp;": "&amp;INDEX('Dashboard Items'!$C$2:$C$495,MATCH(G214,'Dashboard Items'!$A$2:$A$495,0)),"ID not found")))</f>
        <v/>
      </c>
      <c r="I214" s="137"/>
      <c r="J214" s="137"/>
      <c r="K214" s="137"/>
      <c r="L214" s="137"/>
      <c r="M214" s="137"/>
      <c r="N214" s="137"/>
      <c r="O214" s="137"/>
      <c r="P214" s="137"/>
      <c r="Q214" s="137"/>
      <c r="R214" s="137"/>
      <c r="S214" s="137"/>
      <c r="T214" s="137"/>
      <c r="U214" s="99" t="str">
        <f>IF(B214="","",IF(IF(D214&lt;&gt;"",D214,IFERROR(INDEX('Dashboard Items'!$B$2:$B$495,MATCH(E214,'Dashboard Items'!$A$2:$A$495,0)),""))="Key Service",IF(O214="No","Key Service: shown, not counted","Counts in Key Service gauge"),IF(IF(D214&lt;&gt;"",D214,IFERROR(INDEX('Dashboard Items'!$B$2:$B$495,MATCH(E214,'Dashboard Items'!$A$2:$A$495,0)),""))="Program",IF(ISNUMBER(SEARCH("ks",G214)),IF(O214="No","Program, also at Key Service: not counted","Counts in Key Service gauge + sets Program chip"),IF(O214="No","Program: shown, no status chip","Sets Program status chip")),IF(IF(D214&lt;&gt;"",D214,IFERROR(INDEX('Dashboard Items'!$B$2:$B$495,MATCH(E214,'Dashboard Items'!$A$2:$A$495,0)),""))="Work System","Work System: shown, not counted","Check Level"))))</f>
        <v/>
      </c>
    </row>
    <row r="215" spans="2:21" ht="15" customHeight="1" x14ac:dyDescent="0.2">
      <c r="B215" s="137"/>
      <c r="C215" s="137"/>
      <c r="D215" s="137"/>
      <c r="E215" s="137"/>
      <c r="F215" s="138" t="str">
        <f>IF(E215="","",IFERROR(IF(INDEX('Dashboard Items'!$B$2:$B$495,MATCH(E215,'Dashboard Items'!$A$2:$A$495,0))="Objective","Objectives go in the next column",IF(OR(D215="",INDEX('Dashboard Items'!$B$2:$B$495,MATCH(E215,'Dashboard Items'!$A$2:$A$495,0))=D215),INDEX('Dashboard Items'!$C$2:$C$495,MATCH(E215,'Dashboard Items'!$A$2:$A$495,0)),"Level does not match ID")),"ID not found"))</f>
        <v/>
      </c>
      <c r="G215" s="139"/>
      <c r="H215" s="138" t="str">
        <f>IF(G215="","",IF(ISNUMBER(SEARCH(",",G215)),"Several items (the script lists them)",IFERROR(INDEX('Dashboard Items'!$B$2:$B$495,MATCH(G215,'Dashboard Items'!$A$2:$A$495,0))&amp;": "&amp;INDEX('Dashboard Items'!$C$2:$C$495,MATCH(G215,'Dashboard Items'!$A$2:$A$495,0)),"ID not found")))</f>
        <v/>
      </c>
      <c r="I215" s="137"/>
      <c r="J215" s="137"/>
      <c r="K215" s="137"/>
      <c r="L215" s="137"/>
      <c r="M215" s="137"/>
      <c r="N215" s="137"/>
      <c r="O215" s="137"/>
      <c r="P215" s="137"/>
      <c r="Q215" s="137"/>
      <c r="R215" s="137"/>
      <c r="S215" s="137"/>
      <c r="T215" s="137"/>
      <c r="U215" s="99" t="str">
        <f>IF(B215="","",IF(IF(D215&lt;&gt;"",D215,IFERROR(INDEX('Dashboard Items'!$B$2:$B$495,MATCH(E215,'Dashboard Items'!$A$2:$A$495,0)),""))="Key Service",IF(O215="No","Key Service: shown, not counted","Counts in Key Service gauge"),IF(IF(D215&lt;&gt;"",D215,IFERROR(INDEX('Dashboard Items'!$B$2:$B$495,MATCH(E215,'Dashboard Items'!$A$2:$A$495,0)),""))="Program",IF(ISNUMBER(SEARCH("ks",G215)),IF(O215="No","Program, also at Key Service: not counted","Counts in Key Service gauge + sets Program chip"),IF(O215="No","Program: shown, no status chip","Sets Program status chip")),IF(IF(D215&lt;&gt;"",D215,IFERROR(INDEX('Dashboard Items'!$B$2:$B$495,MATCH(E215,'Dashboard Items'!$A$2:$A$495,0)),""))="Work System","Work System: shown, not counted","Check Level"))))</f>
        <v/>
      </c>
    </row>
    <row r="216" spans="2:21" ht="15" customHeight="1" x14ac:dyDescent="0.2">
      <c r="B216" s="137"/>
      <c r="C216" s="137"/>
      <c r="D216" s="137"/>
      <c r="E216" s="137"/>
      <c r="F216" s="138" t="str">
        <f>IF(E216="","",IFERROR(IF(INDEX('Dashboard Items'!$B$2:$B$495,MATCH(E216,'Dashboard Items'!$A$2:$A$495,0))="Objective","Objectives go in the next column",IF(OR(D216="",INDEX('Dashboard Items'!$B$2:$B$495,MATCH(E216,'Dashboard Items'!$A$2:$A$495,0))=D216),INDEX('Dashboard Items'!$C$2:$C$495,MATCH(E216,'Dashboard Items'!$A$2:$A$495,0)),"Level does not match ID")),"ID not found"))</f>
        <v/>
      </c>
      <c r="G216" s="139"/>
      <c r="H216" s="138" t="str">
        <f>IF(G216="","",IF(ISNUMBER(SEARCH(",",G216)),"Several items (the script lists them)",IFERROR(INDEX('Dashboard Items'!$B$2:$B$495,MATCH(G216,'Dashboard Items'!$A$2:$A$495,0))&amp;": "&amp;INDEX('Dashboard Items'!$C$2:$C$495,MATCH(G216,'Dashboard Items'!$A$2:$A$495,0)),"ID not found")))</f>
        <v/>
      </c>
      <c r="I216" s="137"/>
      <c r="J216" s="137"/>
      <c r="K216" s="137"/>
      <c r="L216" s="137"/>
      <c r="M216" s="137"/>
      <c r="N216" s="137"/>
      <c r="O216" s="137"/>
      <c r="P216" s="137"/>
      <c r="Q216" s="137"/>
      <c r="R216" s="137"/>
      <c r="S216" s="137"/>
      <c r="T216" s="137"/>
      <c r="U216" s="99" t="str">
        <f>IF(B216="","",IF(IF(D216&lt;&gt;"",D216,IFERROR(INDEX('Dashboard Items'!$B$2:$B$495,MATCH(E216,'Dashboard Items'!$A$2:$A$495,0)),""))="Key Service",IF(O216="No","Key Service: shown, not counted","Counts in Key Service gauge"),IF(IF(D216&lt;&gt;"",D216,IFERROR(INDEX('Dashboard Items'!$B$2:$B$495,MATCH(E216,'Dashboard Items'!$A$2:$A$495,0)),""))="Program",IF(ISNUMBER(SEARCH("ks",G216)),IF(O216="No","Program, also at Key Service: not counted","Counts in Key Service gauge + sets Program chip"),IF(O216="No","Program: shown, no status chip","Sets Program status chip")),IF(IF(D216&lt;&gt;"",D216,IFERROR(INDEX('Dashboard Items'!$B$2:$B$495,MATCH(E216,'Dashboard Items'!$A$2:$A$495,0)),""))="Work System","Work System: shown, not counted","Check Level"))))</f>
        <v/>
      </c>
    </row>
    <row r="217" spans="2:21" ht="15" customHeight="1" x14ac:dyDescent="0.2">
      <c r="B217" s="137"/>
      <c r="C217" s="137"/>
      <c r="D217" s="137"/>
      <c r="E217" s="137"/>
      <c r="F217" s="138" t="str">
        <f>IF(E217="","",IFERROR(IF(INDEX('Dashboard Items'!$B$2:$B$495,MATCH(E217,'Dashboard Items'!$A$2:$A$495,0))="Objective","Objectives go in the next column",IF(OR(D217="",INDEX('Dashboard Items'!$B$2:$B$495,MATCH(E217,'Dashboard Items'!$A$2:$A$495,0))=D217),INDEX('Dashboard Items'!$C$2:$C$495,MATCH(E217,'Dashboard Items'!$A$2:$A$495,0)),"Level does not match ID")),"ID not found"))</f>
        <v/>
      </c>
      <c r="G217" s="139"/>
      <c r="H217" s="138" t="str">
        <f>IF(G217="","",IF(ISNUMBER(SEARCH(",",G217)),"Several items (the script lists them)",IFERROR(INDEX('Dashboard Items'!$B$2:$B$495,MATCH(G217,'Dashboard Items'!$A$2:$A$495,0))&amp;": "&amp;INDEX('Dashboard Items'!$C$2:$C$495,MATCH(G217,'Dashboard Items'!$A$2:$A$495,0)),"ID not found")))</f>
        <v/>
      </c>
      <c r="I217" s="137"/>
      <c r="J217" s="137"/>
      <c r="K217" s="137"/>
      <c r="L217" s="137"/>
      <c r="M217" s="137"/>
      <c r="N217" s="137"/>
      <c r="O217" s="137"/>
      <c r="P217" s="137"/>
      <c r="Q217" s="137"/>
      <c r="R217" s="137"/>
      <c r="S217" s="137"/>
      <c r="T217" s="137"/>
      <c r="U217" s="99" t="str">
        <f>IF(B217="","",IF(IF(D217&lt;&gt;"",D217,IFERROR(INDEX('Dashboard Items'!$B$2:$B$495,MATCH(E217,'Dashboard Items'!$A$2:$A$495,0)),""))="Key Service",IF(O217="No","Key Service: shown, not counted","Counts in Key Service gauge"),IF(IF(D217&lt;&gt;"",D217,IFERROR(INDEX('Dashboard Items'!$B$2:$B$495,MATCH(E217,'Dashboard Items'!$A$2:$A$495,0)),""))="Program",IF(ISNUMBER(SEARCH("ks",G217)),IF(O217="No","Program, also at Key Service: not counted","Counts in Key Service gauge + sets Program chip"),IF(O217="No","Program: shown, no status chip","Sets Program status chip")),IF(IF(D217&lt;&gt;"",D217,IFERROR(INDEX('Dashboard Items'!$B$2:$B$495,MATCH(E217,'Dashboard Items'!$A$2:$A$495,0)),""))="Work System","Work System: shown, not counted","Check Level"))))</f>
        <v/>
      </c>
    </row>
    <row r="218" spans="2:21" ht="15" customHeight="1" x14ac:dyDescent="0.2">
      <c r="B218" s="137"/>
      <c r="C218" s="137"/>
      <c r="D218" s="137"/>
      <c r="E218" s="137"/>
      <c r="F218" s="138" t="str">
        <f>IF(E218="","",IFERROR(IF(INDEX('Dashboard Items'!$B$2:$B$495,MATCH(E218,'Dashboard Items'!$A$2:$A$495,0))="Objective","Objectives go in the next column",IF(OR(D218="",INDEX('Dashboard Items'!$B$2:$B$495,MATCH(E218,'Dashboard Items'!$A$2:$A$495,0))=D218),INDEX('Dashboard Items'!$C$2:$C$495,MATCH(E218,'Dashboard Items'!$A$2:$A$495,0)),"Level does not match ID")),"ID not found"))</f>
        <v/>
      </c>
      <c r="G218" s="139"/>
      <c r="H218" s="138" t="str">
        <f>IF(G218="","",IF(ISNUMBER(SEARCH(",",G218)),"Several items (the script lists them)",IFERROR(INDEX('Dashboard Items'!$B$2:$B$495,MATCH(G218,'Dashboard Items'!$A$2:$A$495,0))&amp;": "&amp;INDEX('Dashboard Items'!$C$2:$C$495,MATCH(G218,'Dashboard Items'!$A$2:$A$495,0)),"ID not found")))</f>
        <v/>
      </c>
      <c r="I218" s="137"/>
      <c r="J218" s="137"/>
      <c r="K218" s="137"/>
      <c r="L218" s="137"/>
      <c r="M218" s="137"/>
      <c r="N218" s="137"/>
      <c r="O218" s="137"/>
      <c r="P218" s="137"/>
      <c r="Q218" s="137"/>
      <c r="R218" s="137"/>
      <c r="S218" s="137"/>
      <c r="T218" s="137"/>
      <c r="U218" s="99" t="str">
        <f>IF(B218="","",IF(IF(D218&lt;&gt;"",D218,IFERROR(INDEX('Dashboard Items'!$B$2:$B$495,MATCH(E218,'Dashboard Items'!$A$2:$A$495,0)),""))="Key Service",IF(O218="No","Key Service: shown, not counted","Counts in Key Service gauge"),IF(IF(D218&lt;&gt;"",D218,IFERROR(INDEX('Dashboard Items'!$B$2:$B$495,MATCH(E218,'Dashboard Items'!$A$2:$A$495,0)),""))="Program",IF(ISNUMBER(SEARCH("ks",G218)),IF(O218="No","Program, also at Key Service: not counted","Counts in Key Service gauge + sets Program chip"),IF(O218="No","Program: shown, no status chip","Sets Program status chip")),IF(IF(D218&lt;&gt;"",D218,IFERROR(INDEX('Dashboard Items'!$B$2:$B$495,MATCH(E218,'Dashboard Items'!$A$2:$A$495,0)),""))="Work System","Work System: shown, not counted","Check Level"))))</f>
        <v/>
      </c>
    </row>
    <row r="219" spans="2:21" ht="15" customHeight="1" x14ac:dyDescent="0.2">
      <c r="B219" s="137"/>
      <c r="C219" s="137"/>
      <c r="D219" s="137"/>
      <c r="E219" s="137"/>
      <c r="F219" s="138" t="str">
        <f>IF(E219="","",IFERROR(IF(INDEX('Dashboard Items'!$B$2:$B$495,MATCH(E219,'Dashboard Items'!$A$2:$A$495,0))="Objective","Objectives go in the next column",IF(OR(D219="",INDEX('Dashboard Items'!$B$2:$B$495,MATCH(E219,'Dashboard Items'!$A$2:$A$495,0))=D219),INDEX('Dashboard Items'!$C$2:$C$495,MATCH(E219,'Dashboard Items'!$A$2:$A$495,0)),"Level does not match ID")),"ID not found"))</f>
        <v/>
      </c>
      <c r="G219" s="139"/>
      <c r="H219" s="138" t="str">
        <f>IF(G219="","",IF(ISNUMBER(SEARCH(",",G219)),"Several items (the script lists them)",IFERROR(INDEX('Dashboard Items'!$B$2:$B$495,MATCH(G219,'Dashboard Items'!$A$2:$A$495,0))&amp;": "&amp;INDEX('Dashboard Items'!$C$2:$C$495,MATCH(G219,'Dashboard Items'!$A$2:$A$495,0)),"ID not found")))</f>
        <v/>
      </c>
      <c r="I219" s="137"/>
      <c r="J219" s="137"/>
      <c r="K219" s="137"/>
      <c r="L219" s="137"/>
      <c r="M219" s="137"/>
      <c r="N219" s="137"/>
      <c r="O219" s="137"/>
      <c r="P219" s="137"/>
      <c r="Q219" s="137"/>
      <c r="R219" s="137"/>
      <c r="S219" s="137"/>
      <c r="T219" s="137"/>
      <c r="U219" s="99" t="str">
        <f>IF(B219="","",IF(IF(D219&lt;&gt;"",D219,IFERROR(INDEX('Dashboard Items'!$B$2:$B$495,MATCH(E219,'Dashboard Items'!$A$2:$A$495,0)),""))="Key Service",IF(O219="No","Key Service: shown, not counted","Counts in Key Service gauge"),IF(IF(D219&lt;&gt;"",D219,IFERROR(INDEX('Dashboard Items'!$B$2:$B$495,MATCH(E219,'Dashboard Items'!$A$2:$A$495,0)),""))="Program",IF(ISNUMBER(SEARCH("ks",G219)),IF(O219="No","Program, also at Key Service: not counted","Counts in Key Service gauge + sets Program chip"),IF(O219="No","Program: shown, no status chip","Sets Program status chip")),IF(IF(D219&lt;&gt;"",D219,IFERROR(INDEX('Dashboard Items'!$B$2:$B$495,MATCH(E219,'Dashboard Items'!$A$2:$A$495,0)),""))="Work System","Work System: shown, not counted","Check Level"))))</f>
        <v/>
      </c>
    </row>
    <row r="220" spans="2:21" ht="15" customHeight="1" x14ac:dyDescent="0.2">
      <c r="B220" s="137"/>
      <c r="C220" s="137"/>
      <c r="D220" s="137"/>
      <c r="E220" s="137"/>
      <c r="F220" s="138" t="str">
        <f>IF(E220="","",IFERROR(IF(INDEX('Dashboard Items'!$B$2:$B$495,MATCH(E220,'Dashboard Items'!$A$2:$A$495,0))="Objective","Objectives go in the next column",IF(OR(D220="",INDEX('Dashboard Items'!$B$2:$B$495,MATCH(E220,'Dashboard Items'!$A$2:$A$495,0))=D220),INDEX('Dashboard Items'!$C$2:$C$495,MATCH(E220,'Dashboard Items'!$A$2:$A$495,0)),"Level does not match ID")),"ID not found"))</f>
        <v/>
      </c>
      <c r="G220" s="139"/>
      <c r="H220" s="138" t="str">
        <f>IF(G220="","",IF(ISNUMBER(SEARCH(",",G220)),"Several items (the script lists them)",IFERROR(INDEX('Dashboard Items'!$B$2:$B$495,MATCH(G220,'Dashboard Items'!$A$2:$A$495,0))&amp;": "&amp;INDEX('Dashboard Items'!$C$2:$C$495,MATCH(G220,'Dashboard Items'!$A$2:$A$495,0)),"ID not found")))</f>
        <v/>
      </c>
      <c r="I220" s="137"/>
      <c r="J220" s="137"/>
      <c r="K220" s="137"/>
      <c r="L220" s="137"/>
      <c r="M220" s="137"/>
      <c r="N220" s="137"/>
      <c r="O220" s="137"/>
      <c r="P220" s="137"/>
      <c r="Q220" s="137"/>
      <c r="R220" s="137"/>
      <c r="S220" s="137"/>
      <c r="T220" s="137"/>
      <c r="U220" s="99" t="str">
        <f>IF(B220="","",IF(IF(D220&lt;&gt;"",D220,IFERROR(INDEX('Dashboard Items'!$B$2:$B$495,MATCH(E220,'Dashboard Items'!$A$2:$A$495,0)),""))="Key Service",IF(O220="No","Key Service: shown, not counted","Counts in Key Service gauge"),IF(IF(D220&lt;&gt;"",D220,IFERROR(INDEX('Dashboard Items'!$B$2:$B$495,MATCH(E220,'Dashboard Items'!$A$2:$A$495,0)),""))="Program",IF(ISNUMBER(SEARCH("ks",G220)),IF(O220="No","Program, also at Key Service: not counted","Counts in Key Service gauge + sets Program chip"),IF(O220="No","Program: shown, no status chip","Sets Program status chip")),IF(IF(D220&lt;&gt;"",D220,IFERROR(INDEX('Dashboard Items'!$B$2:$B$495,MATCH(E220,'Dashboard Items'!$A$2:$A$495,0)),""))="Work System","Work System: shown, not counted","Check Level"))))</f>
        <v/>
      </c>
    </row>
    <row r="221" spans="2:21" ht="15" customHeight="1" x14ac:dyDescent="0.2">
      <c r="B221" s="137"/>
      <c r="C221" s="137"/>
      <c r="D221" s="137"/>
      <c r="E221" s="137"/>
      <c r="F221" s="138" t="str">
        <f>IF(E221="","",IFERROR(IF(INDEX('Dashboard Items'!$B$2:$B$495,MATCH(E221,'Dashboard Items'!$A$2:$A$495,0))="Objective","Objectives go in the next column",IF(OR(D221="",INDEX('Dashboard Items'!$B$2:$B$495,MATCH(E221,'Dashboard Items'!$A$2:$A$495,0))=D221),INDEX('Dashboard Items'!$C$2:$C$495,MATCH(E221,'Dashboard Items'!$A$2:$A$495,0)),"Level does not match ID")),"ID not found"))</f>
        <v/>
      </c>
      <c r="G221" s="139"/>
      <c r="H221" s="138" t="str">
        <f>IF(G221="","",IF(ISNUMBER(SEARCH(",",G221)),"Several items (the script lists them)",IFERROR(INDEX('Dashboard Items'!$B$2:$B$495,MATCH(G221,'Dashboard Items'!$A$2:$A$495,0))&amp;": "&amp;INDEX('Dashboard Items'!$C$2:$C$495,MATCH(G221,'Dashboard Items'!$A$2:$A$495,0)),"ID not found")))</f>
        <v/>
      </c>
      <c r="I221" s="137"/>
      <c r="J221" s="137"/>
      <c r="K221" s="137"/>
      <c r="L221" s="137"/>
      <c r="M221" s="137"/>
      <c r="N221" s="137"/>
      <c r="O221" s="137"/>
      <c r="P221" s="137"/>
      <c r="Q221" s="137"/>
      <c r="R221" s="137"/>
      <c r="S221" s="137"/>
      <c r="T221" s="137"/>
      <c r="U221" s="99" t="str">
        <f>IF(B221="","",IF(IF(D221&lt;&gt;"",D221,IFERROR(INDEX('Dashboard Items'!$B$2:$B$495,MATCH(E221,'Dashboard Items'!$A$2:$A$495,0)),""))="Key Service",IF(O221="No","Key Service: shown, not counted","Counts in Key Service gauge"),IF(IF(D221&lt;&gt;"",D221,IFERROR(INDEX('Dashboard Items'!$B$2:$B$495,MATCH(E221,'Dashboard Items'!$A$2:$A$495,0)),""))="Program",IF(ISNUMBER(SEARCH("ks",G221)),IF(O221="No","Program, also at Key Service: not counted","Counts in Key Service gauge + sets Program chip"),IF(O221="No","Program: shown, no status chip","Sets Program status chip")),IF(IF(D221&lt;&gt;"",D221,IFERROR(INDEX('Dashboard Items'!$B$2:$B$495,MATCH(E221,'Dashboard Items'!$A$2:$A$495,0)),""))="Work System","Work System: shown, not counted","Check Level"))))</f>
        <v/>
      </c>
    </row>
    <row r="222" spans="2:21" ht="15" customHeight="1" x14ac:dyDescent="0.2">
      <c r="B222" s="137"/>
      <c r="C222" s="137"/>
      <c r="D222" s="137"/>
      <c r="E222" s="137"/>
      <c r="F222" s="138" t="str">
        <f>IF(E222="","",IFERROR(IF(INDEX('Dashboard Items'!$B$2:$B$495,MATCH(E222,'Dashboard Items'!$A$2:$A$495,0))="Objective","Objectives go in the next column",IF(OR(D222="",INDEX('Dashboard Items'!$B$2:$B$495,MATCH(E222,'Dashboard Items'!$A$2:$A$495,0))=D222),INDEX('Dashboard Items'!$C$2:$C$495,MATCH(E222,'Dashboard Items'!$A$2:$A$495,0)),"Level does not match ID")),"ID not found"))</f>
        <v/>
      </c>
      <c r="G222" s="139"/>
      <c r="H222" s="138" t="str">
        <f>IF(G222="","",IF(ISNUMBER(SEARCH(",",G222)),"Several items (the script lists them)",IFERROR(INDEX('Dashboard Items'!$B$2:$B$495,MATCH(G222,'Dashboard Items'!$A$2:$A$495,0))&amp;": "&amp;INDEX('Dashboard Items'!$C$2:$C$495,MATCH(G222,'Dashboard Items'!$A$2:$A$495,0)),"ID not found")))</f>
        <v/>
      </c>
      <c r="I222" s="137"/>
      <c r="J222" s="137"/>
      <c r="K222" s="137"/>
      <c r="L222" s="137"/>
      <c r="M222" s="137"/>
      <c r="N222" s="137"/>
      <c r="O222" s="137"/>
      <c r="P222" s="137"/>
      <c r="Q222" s="137"/>
      <c r="R222" s="137"/>
      <c r="S222" s="137"/>
      <c r="T222" s="137"/>
      <c r="U222" s="99" t="str">
        <f>IF(B222="","",IF(IF(D222&lt;&gt;"",D222,IFERROR(INDEX('Dashboard Items'!$B$2:$B$495,MATCH(E222,'Dashboard Items'!$A$2:$A$495,0)),""))="Key Service",IF(O222="No","Key Service: shown, not counted","Counts in Key Service gauge"),IF(IF(D222&lt;&gt;"",D222,IFERROR(INDEX('Dashboard Items'!$B$2:$B$495,MATCH(E222,'Dashboard Items'!$A$2:$A$495,0)),""))="Program",IF(ISNUMBER(SEARCH("ks",G222)),IF(O222="No","Program, also at Key Service: not counted","Counts in Key Service gauge + sets Program chip"),IF(O222="No","Program: shown, no status chip","Sets Program status chip")),IF(IF(D222&lt;&gt;"",D222,IFERROR(INDEX('Dashboard Items'!$B$2:$B$495,MATCH(E222,'Dashboard Items'!$A$2:$A$495,0)),""))="Work System","Work System: shown, not counted","Check Level"))))</f>
        <v/>
      </c>
    </row>
    <row r="223" spans="2:21" ht="15" customHeight="1" x14ac:dyDescent="0.2">
      <c r="B223" s="137"/>
      <c r="C223" s="137"/>
      <c r="D223" s="137"/>
      <c r="E223" s="137"/>
      <c r="F223" s="138" t="str">
        <f>IF(E223="","",IFERROR(IF(INDEX('Dashboard Items'!$B$2:$B$495,MATCH(E223,'Dashboard Items'!$A$2:$A$495,0))="Objective","Objectives go in the next column",IF(OR(D223="",INDEX('Dashboard Items'!$B$2:$B$495,MATCH(E223,'Dashboard Items'!$A$2:$A$495,0))=D223),INDEX('Dashboard Items'!$C$2:$C$495,MATCH(E223,'Dashboard Items'!$A$2:$A$495,0)),"Level does not match ID")),"ID not found"))</f>
        <v/>
      </c>
      <c r="G223" s="139"/>
      <c r="H223" s="138" t="str">
        <f>IF(G223="","",IF(ISNUMBER(SEARCH(",",G223)),"Several items (the script lists them)",IFERROR(INDEX('Dashboard Items'!$B$2:$B$495,MATCH(G223,'Dashboard Items'!$A$2:$A$495,0))&amp;": "&amp;INDEX('Dashboard Items'!$C$2:$C$495,MATCH(G223,'Dashboard Items'!$A$2:$A$495,0)),"ID not found")))</f>
        <v/>
      </c>
      <c r="I223" s="137"/>
      <c r="J223" s="137"/>
      <c r="K223" s="137"/>
      <c r="L223" s="137"/>
      <c r="M223" s="137"/>
      <c r="N223" s="137"/>
      <c r="O223" s="137"/>
      <c r="P223" s="137"/>
      <c r="Q223" s="137"/>
      <c r="R223" s="137"/>
      <c r="S223" s="137"/>
      <c r="T223" s="137"/>
      <c r="U223" s="99" t="str">
        <f>IF(B223="","",IF(IF(D223&lt;&gt;"",D223,IFERROR(INDEX('Dashboard Items'!$B$2:$B$495,MATCH(E223,'Dashboard Items'!$A$2:$A$495,0)),""))="Key Service",IF(O223="No","Key Service: shown, not counted","Counts in Key Service gauge"),IF(IF(D223&lt;&gt;"",D223,IFERROR(INDEX('Dashboard Items'!$B$2:$B$495,MATCH(E223,'Dashboard Items'!$A$2:$A$495,0)),""))="Program",IF(ISNUMBER(SEARCH("ks",G223)),IF(O223="No","Program, also at Key Service: not counted","Counts in Key Service gauge + sets Program chip"),IF(O223="No","Program: shown, no status chip","Sets Program status chip")),IF(IF(D223&lt;&gt;"",D223,IFERROR(INDEX('Dashboard Items'!$B$2:$B$495,MATCH(E223,'Dashboard Items'!$A$2:$A$495,0)),""))="Work System","Work System: shown, not counted","Check Level"))))</f>
        <v/>
      </c>
    </row>
    <row r="224" spans="2:21" ht="15" customHeight="1" x14ac:dyDescent="0.2">
      <c r="B224" s="137"/>
      <c r="C224" s="137"/>
      <c r="D224" s="137"/>
      <c r="E224" s="137"/>
      <c r="F224" s="138" t="str">
        <f>IF(E224="","",IFERROR(IF(INDEX('Dashboard Items'!$B$2:$B$495,MATCH(E224,'Dashboard Items'!$A$2:$A$495,0))="Objective","Objectives go in the next column",IF(OR(D224="",INDEX('Dashboard Items'!$B$2:$B$495,MATCH(E224,'Dashboard Items'!$A$2:$A$495,0))=D224),INDEX('Dashboard Items'!$C$2:$C$495,MATCH(E224,'Dashboard Items'!$A$2:$A$495,0)),"Level does not match ID")),"ID not found"))</f>
        <v/>
      </c>
      <c r="G224" s="139"/>
      <c r="H224" s="138" t="str">
        <f>IF(G224="","",IF(ISNUMBER(SEARCH(",",G224)),"Several items (the script lists them)",IFERROR(INDEX('Dashboard Items'!$B$2:$B$495,MATCH(G224,'Dashboard Items'!$A$2:$A$495,0))&amp;": "&amp;INDEX('Dashboard Items'!$C$2:$C$495,MATCH(G224,'Dashboard Items'!$A$2:$A$495,0)),"ID not found")))</f>
        <v/>
      </c>
      <c r="I224" s="137"/>
      <c r="J224" s="137"/>
      <c r="K224" s="137"/>
      <c r="L224" s="137"/>
      <c r="M224" s="137"/>
      <c r="N224" s="137"/>
      <c r="O224" s="137"/>
      <c r="P224" s="137"/>
      <c r="Q224" s="137"/>
      <c r="R224" s="137"/>
      <c r="S224" s="137"/>
      <c r="T224" s="137"/>
      <c r="U224" s="99" t="str">
        <f>IF(B224="","",IF(IF(D224&lt;&gt;"",D224,IFERROR(INDEX('Dashboard Items'!$B$2:$B$495,MATCH(E224,'Dashboard Items'!$A$2:$A$495,0)),""))="Key Service",IF(O224="No","Key Service: shown, not counted","Counts in Key Service gauge"),IF(IF(D224&lt;&gt;"",D224,IFERROR(INDEX('Dashboard Items'!$B$2:$B$495,MATCH(E224,'Dashboard Items'!$A$2:$A$495,0)),""))="Program",IF(ISNUMBER(SEARCH("ks",G224)),IF(O224="No","Program, also at Key Service: not counted","Counts in Key Service gauge + sets Program chip"),IF(O224="No","Program: shown, no status chip","Sets Program status chip")),IF(IF(D224&lt;&gt;"",D224,IFERROR(INDEX('Dashboard Items'!$B$2:$B$495,MATCH(E224,'Dashboard Items'!$A$2:$A$495,0)),""))="Work System","Work System: shown, not counted","Check Level"))))</f>
        <v/>
      </c>
    </row>
    <row r="225" spans="2:21" ht="15" customHeight="1" x14ac:dyDescent="0.2">
      <c r="B225" s="137"/>
      <c r="C225" s="137"/>
      <c r="D225" s="137"/>
      <c r="E225" s="137"/>
      <c r="F225" s="138" t="str">
        <f>IF(E225="","",IFERROR(IF(INDEX('Dashboard Items'!$B$2:$B$495,MATCH(E225,'Dashboard Items'!$A$2:$A$495,0))="Objective","Objectives go in the next column",IF(OR(D225="",INDEX('Dashboard Items'!$B$2:$B$495,MATCH(E225,'Dashboard Items'!$A$2:$A$495,0))=D225),INDEX('Dashboard Items'!$C$2:$C$495,MATCH(E225,'Dashboard Items'!$A$2:$A$495,0)),"Level does not match ID")),"ID not found"))</f>
        <v/>
      </c>
      <c r="G225" s="139"/>
      <c r="H225" s="138" t="str">
        <f>IF(G225="","",IF(ISNUMBER(SEARCH(",",G225)),"Several items (the script lists them)",IFERROR(INDEX('Dashboard Items'!$B$2:$B$495,MATCH(G225,'Dashboard Items'!$A$2:$A$495,0))&amp;": "&amp;INDEX('Dashboard Items'!$C$2:$C$495,MATCH(G225,'Dashboard Items'!$A$2:$A$495,0)),"ID not found")))</f>
        <v/>
      </c>
      <c r="I225" s="137"/>
      <c r="J225" s="137"/>
      <c r="K225" s="137"/>
      <c r="L225" s="137"/>
      <c r="M225" s="137"/>
      <c r="N225" s="137"/>
      <c r="O225" s="137"/>
      <c r="P225" s="137"/>
      <c r="Q225" s="137"/>
      <c r="R225" s="137"/>
      <c r="S225" s="137"/>
      <c r="T225" s="137"/>
      <c r="U225" s="99" t="str">
        <f>IF(B225="","",IF(IF(D225&lt;&gt;"",D225,IFERROR(INDEX('Dashboard Items'!$B$2:$B$495,MATCH(E225,'Dashboard Items'!$A$2:$A$495,0)),""))="Key Service",IF(O225="No","Key Service: shown, not counted","Counts in Key Service gauge"),IF(IF(D225&lt;&gt;"",D225,IFERROR(INDEX('Dashboard Items'!$B$2:$B$495,MATCH(E225,'Dashboard Items'!$A$2:$A$495,0)),""))="Program",IF(ISNUMBER(SEARCH("ks",G225)),IF(O225="No","Program, also at Key Service: not counted","Counts in Key Service gauge + sets Program chip"),IF(O225="No","Program: shown, no status chip","Sets Program status chip")),IF(IF(D225&lt;&gt;"",D225,IFERROR(INDEX('Dashboard Items'!$B$2:$B$495,MATCH(E225,'Dashboard Items'!$A$2:$A$495,0)),""))="Work System","Work System: shown, not counted","Check Level"))))</f>
        <v/>
      </c>
    </row>
    <row r="226" spans="2:21" ht="15" customHeight="1" x14ac:dyDescent="0.2">
      <c r="B226" s="137"/>
      <c r="C226" s="137"/>
      <c r="D226" s="137"/>
      <c r="E226" s="137"/>
      <c r="F226" s="138" t="str">
        <f>IF(E226="","",IFERROR(IF(INDEX('Dashboard Items'!$B$2:$B$495,MATCH(E226,'Dashboard Items'!$A$2:$A$495,0))="Objective","Objectives go in the next column",IF(OR(D226="",INDEX('Dashboard Items'!$B$2:$B$495,MATCH(E226,'Dashboard Items'!$A$2:$A$495,0))=D226),INDEX('Dashboard Items'!$C$2:$C$495,MATCH(E226,'Dashboard Items'!$A$2:$A$495,0)),"Level does not match ID")),"ID not found"))</f>
        <v/>
      </c>
      <c r="G226" s="139"/>
      <c r="H226" s="138" t="str">
        <f>IF(G226="","",IF(ISNUMBER(SEARCH(",",G226)),"Several items (the script lists them)",IFERROR(INDEX('Dashboard Items'!$B$2:$B$495,MATCH(G226,'Dashboard Items'!$A$2:$A$495,0))&amp;": "&amp;INDEX('Dashboard Items'!$C$2:$C$495,MATCH(G226,'Dashboard Items'!$A$2:$A$495,0)),"ID not found")))</f>
        <v/>
      </c>
      <c r="I226" s="137"/>
      <c r="J226" s="137"/>
      <c r="K226" s="137"/>
      <c r="L226" s="137"/>
      <c r="M226" s="137"/>
      <c r="N226" s="137"/>
      <c r="O226" s="137"/>
      <c r="P226" s="137"/>
      <c r="Q226" s="137"/>
      <c r="R226" s="137"/>
      <c r="S226" s="137"/>
      <c r="T226" s="137"/>
      <c r="U226" s="99" t="str">
        <f>IF(B226="","",IF(IF(D226&lt;&gt;"",D226,IFERROR(INDEX('Dashboard Items'!$B$2:$B$495,MATCH(E226,'Dashboard Items'!$A$2:$A$495,0)),""))="Key Service",IF(O226="No","Key Service: shown, not counted","Counts in Key Service gauge"),IF(IF(D226&lt;&gt;"",D226,IFERROR(INDEX('Dashboard Items'!$B$2:$B$495,MATCH(E226,'Dashboard Items'!$A$2:$A$495,0)),""))="Program",IF(ISNUMBER(SEARCH("ks",G226)),IF(O226="No","Program, also at Key Service: not counted","Counts in Key Service gauge + sets Program chip"),IF(O226="No","Program: shown, no status chip","Sets Program status chip")),IF(IF(D226&lt;&gt;"",D226,IFERROR(INDEX('Dashboard Items'!$B$2:$B$495,MATCH(E226,'Dashboard Items'!$A$2:$A$495,0)),""))="Work System","Work System: shown, not counted","Check Level"))))</f>
        <v/>
      </c>
    </row>
    <row r="227" spans="2:21" ht="15" customHeight="1" x14ac:dyDescent="0.2">
      <c r="B227" s="137"/>
      <c r="C227" s="137"/>
      <c r="D227" s="137"/>
      <c r="E227" s="137"/>
      <c r="F227" s="138" t="str">
        <f>IF(E227="","",IFERROR(IF(INDEX('Dashboard Items'!$B$2:$B$495,MATCH(E227,'Dashboard Items'!$A$2:$A$495,0))="Objective","Objectives go in the next column",IF(OR(D227="",INDEX('Dashboard Items'!$B$2:$B$495,MATCH(E227,'Dashboard Items'!$A$2:$A$495,0))=D227),INDEX('Dashboard Items'!$C$2:$C$495,MATCH(E227,'Dashboard Items'!$A$2:$A$495,0)),"Level does not match ID")),"ID not found"))</f>
        <v/>
      </c>
      <c r="G227" s="139"/>
      <c r="H227" s="138" t="str">
        <f>IF(G227="","",IF(ISNUMBER(SEARCH(",",G227)),"Several items (the script lists them)",IFERROR(INDEX('Dashboard Items'!$B$2:$B$495,MATCH(G227,'Dashboard Items'!$A$2:$A$495,0))&amp;": "&amp;INDEX('Dashboard Items'!$C$2:$C$495,MATCH(G227,'Dashboard Items'!$A$2:$A$495,0)),"ID not found")))</f>
        <v/>
      </c>
      <c r="I227" s="137"/>
      <c r="J227" s="137"/>
      <c r="K227" s="137"/>
      <c r="L227" s="137"/>
      <c r="M227" s="137"/>
      <c r="N227" s="137"/>
      <c r="O227" s="137"/>
      <c r="P227" s="137"/>
      <c r="Q227" s="137"/>
      <c r="R227" s="137"/>
      <c r="S227" s="137"/>
      <c r="T227" s="137"/>
      <c r="U227" s="99" t="str">
        <f>IF(B227="","",IF(IF(D227&lt;&gt;"",D227,IFERROR(INDEX('Dashboard Items'!$B$2:$B$495,MATCH(E227,'Dashboard Items'!$A$2:$A$495,0)),""))="Key Service",IF(O227="No","Key Service: shown, not counted","Counts in Key Service gauge"),IF(IF(D227&lt;&gt;"",D227,IFERROR(INDEX('Dashboard Items'!$B$2:$B$495,MATCH(E227,'Dashboard Items'!$A$2:$A$495,0)),""))="Program",IF(ISNUMBER(SEARCH("ks",G227)),IF(O227="No","Program, also at Key Service: not counted","Counts in Key Service gauge + sets Program chip"),IF(O227="No","Program: shown, no status chip","Sets Program status chip")),IF(IF(D227&lt;&gt;"",D227,IFERROR(INDEX('Dashboard Items'!$B$2:$B$495,MATCH(E227,'Dashboard Items'!$A$2:$A$495,0)),""))="Work System","Work System: shown, not counted","Check Level"))))</f>
        <v/>
      </c>
    </row>
    <row r="228" spans="2:21" ht="15" customHeight="1" x14ac:dyDescent="0.2">
      <c r="B228" s="137"/>
      <c r="C228" s="137"/>
      <c r="D228" s="137"/>
      <c r="E228" s="137"/>
      <c r="F228" s="138" t="str">
        <f>IF(E228="","",IFERROR(IF(INDEX('Dashboard Items'!$B$2:$B$495,MATCH(E228,'Dashboard Items'!$A$2:$A$495,0))="Objective","Objectives go in the next column",IF(OR(D228="",INDEX('Dashboard Items'!$B$2:$B$495,MATCH(E228,'Dashboard Items'!$A$2:$A$495,0))=D228),INDEX('Dashboard Items'!$C$2:$C$495,MATCH(E228,'Dashboard Items'!$A$2:$A$495,0)),"Level does not match ID")),"ID not found"))</f>
        <v/>
      </c>
      <c r="G228" s="139"/>
      <c r="H228" s="138" t="str">
        <f>IF(G228="","",IF(ISNUMBER(SEARCH(",",G228)),"Several items (the script lists them)",IFERROR(INDEX('Dashboard Items'!$B$2:$B$495,MATCH(G228,'Dashboard Items'!$A$2:$A$495,0))&amp;": "&amp;INDEX('Dashboard Items'!$C$2:$C$495,MATCH(G228,'Dashboard Items'!$A$2:$A$495,0)),"ID not found")))</f>
        <v/>
      </c>
      <c r="I228" s="137"/>
      <c r="J228" s="137"/>
      <c r="K228" s="137"/>
      <c r="L228" s="137"/>
      <c r="M228" s="137"/>
      <c r="N228" s="137"/>
      <c r="O228" s="137"/>
      <c r="P228" s="137"/>
      <c r="Q228" s="137"/>
      <c r="R228" s="137"/>
      <c r="S228" s="137"/>
      <c r="T228" s="137"/>
      <c r="U228" s="99" t="str">
        <f>IF(B228="","",IF(IF(D228&lt;&gt;"",D228,IFERROR(INDEX('Dashboard Items'!$B$2:$B$495,MATCH(E228,'Dashboard Items'!$A$2:$A$495,0)),""))="Key Service",IF(O228="No","Key Service: shown, not counted","Counts in Key Service gauge"),IF(IF(D228&lt;&gt;"",D228,IFERROR(INDEX('Dashboard Items'!$B$2:$B$495,MATCH(E228,'Dashboard Items'!$A$2:$A$495,0)),""))="Program",IF(ISNUMBER(SEARCH("ks",G228)),IF(O228="No","Program, also at Key Service: not counted","Counts in Key Service gauge + sets Program chip"),IF(O228="No","Program: shown, no status chip","Sets Program status chip")),IF(IF(D228&lt;&gt;"",D228,IFERROR(INDEX('Dashboard Items'!$B$2:$B$495,MATCH(E228,'Dashboard Items'!$A$2:$A$495,0)),""))="Work System","Work System: shown, not counted","Check Level"))))</f>
        <v/>
      </c>
    </row>
    <row r="229" spans="2:21" ht="15" customHeight="1" x14ac:dyDescent="0.2">
      <c r="B229" s="137"/>
      <c r="C229" s="137"/>
      <c r="D229" s="137"/>
      <c r="E229" s="137"/>
      <c r="F229" s="138" t="str">
        <f>IF(E229="","",IFERROR(IF(INDEX('Dashboard Items'!$B$2:$B$495,MATCH(E229,'Dashboard Items'!$A$2:$A$495,0))="Objective","Objectives go in the next column",IF(OR(D229="",INDEX('Dashboard Items'!$B$2:$B$495,MATCH(E229,'Dashboard Items'!$A$2:$A$495,0))=D229),INDEX('Dashboard Items'!$C$2:$C$495,MATCH(E229,'Dashboard Items'!$A$2:$A$495,0)),"Level does not match ID")),"ID not found"))</f>
        <v/>
      </c>
      <c r="G229" s="139"/>
      <c r="H229" s="138" t="str">
        <f>IF(G229="","",IF(ISNUMBER(SEARCH(",",G229)),"Several items (the script lists them)",IFERROR(INDEX('Dashboard Items'!$B$2:$B$495,MATCH(G229,'Dashboard Items'!$A$2:$A$495,0))&amp;": "&amp;INDEX('Dashboard Items'!$C$2:$C$495,MATCH(G229,'Dashboard Items'!$A$2:$A$495,0)),"ID not found")))</f>
        <v/>
      </c>
      <c r="I229" s="137"/>
      <c r="J229" s="137"/>
      <c r="K229" s="137"/>
      <c r="L229" s="137"/>
      <c r="M229" s="137"/>
      <c r="N229" s="137"/>
      <c r="O229" s="137"/>
      <c r="P229" s="137"/>
      <c r="Q229" s="137"/>
      <c r="R229" s="137"/>
      <c r="S229" s="137"/>
      <c r="T229" s="137"/>
      <c r="U229" s="99" t="str">
        <f>IF(B229="","",IF(IF(D229&lt;&gt;"",D229,IFERROR(INDEX('Dashboard Items'!$B$2:$B$495,MATCH(E229,'Dashboard Items'!$A$2:$A$495,0)),""))="Key Service",IF(O229="No","Key Service: shown, not counted","Counts in Key Service gauge"),IF(IF(D229&lt;&gt;"",D229,IFERROR(INDEX('Dashboard Items'!$B$2:$B$495,MATCH(E229,'Dashboard Items'!$A$2:$A$495,0)),""))="Program",IF(ISNUMBER(SEARCH("ks",G229)),IF(O229="No","Program, also at Key Service: not counted","Counts in Key Service gauge + sets Program chip"),IF(O229="No","Program: shown, no status chip","Sets Program status chip")),IF(IF(D229&lt;&gt;"",D229,IFERROR(INDEX('Dashboard Items'!$B$2:$B$495,MATCH(E229,'Dashboard Items'!$A$2:$A$495,0)),""))="Work System","Work System: shown, not counted","Check Level"))))</f>
        <v/>
      </c>
    </row>
    <row r="230" spans="2:21" ht="15" customHeight="1" x14ac:dyDescent="0.2">
      <c r="B230" s="137"/>
      <c r="C230" s="137"/>
      <c r="D230" s="137"/>
      <c r="E230" s="137"/>
      <c r="F230" s="138" t="str">
        <f>IF(E230="","",IFERROR(IF(INDEX('Dashboard Items'!$B$2:$B$495,MATCH(E230,'Dashboard Items'!$A$2:$A$495,0))="Objective","Objectives go in the next column",IF(OR(D230="",INDEX('Dashboard Items'!$B$2:$B$495,MATCH(E230,'Dashboard Items'!$A$2:$A$495,0))=D230),INDEX('Dashboard Items'!$C$2:$C$495,MATCH(E230,'Dashboard Items'!$A$2:$A$495,0)),"Level does not match ID")),"ID not found"))</f>
        <v/>
      </c>
      <c r="G230" s="139"/>
      <c r="H230" s="138" t="str">
        <f>IF(G230="","",IF(ISNUMBER(SEARCH(",",G230)),"Several items (the script lists them)",IFERROR(INDEX('Dashboard Items'!$B$2:$B$495,MATCH(G230,'Dashboard Items'!$A$2:$A$495,0))&amp;": "&amp;INDEX('Dashboard Items'!$C$2:$C$495,MATCH(G230,'Dashboard Items'!$A$2:$A$495,0)),"ID not found")))</f>
        <v/>
      </c>
      <c r="I230" s="137"/>
      <c r="J230" s="137"/>
      <c r="K230" s="137"/>
      <c r="L230" s="137"/>
      <c r="M230" s="137"/>
      <c r="N230" s="137"/>
      <c r="O230" s="137"/>
      <c r="P230" s="137"/>
      <c r="Q230" s="137"/>
      <c r="R230" s="137"/>
      <c r="S230" s="137"/>
      <c r="T230" s="137"/>
      <c r="U230" s="99" t="str">
        <f>IF(B230="","",IF(IF(D230&lt;&gt;"",D230,IFERROR(INDEX('Dashboard Items'!$B$2:$B$495,MATCH(E230,'Dashboard Items'!$A$2:$A$495,0)),""))="Key Service",IF(O230="No","Key Service: shown, not counted","Counts in Key Service gauge"),IF(IF(D230&lt;&gt;"",D230,IFERROR(INDEX('Dashboard Items'!$B$2:$B$495,MATCH(E230,'Dashboard Items'!$A$2:$A$495,0)),""))="Program",IF(ISNUMBER(SEARCH("ks",G230)),IF(O230="No","Program, also at Key Service: not counted","Counts in Key Service gauge + sets Program chip"),IF(O230="No","Program: shown, no status chip","Sets Program status chip")),IF(IF(D230&lt;&gt;"",D230,IFERROR(INDEX('Dashboard Items'!$B$2:$B$495,MATCH(E230,'Dashboard Items'!$A$2:$A$495,0)),""))="Work System","Work System: shown, not counted","Check Level"))))</f>
        <v/>
      </c>
    </row>
    <row r="231" spans="2:21" ht="15" customHeight="1" x14ac:dyDescent="0.2">
      <c r="B231" s="137"/>
      <c r="C231" s="137"/>
      <c r="D231" s="137"/>
      <c r="E231" s="137"/>
      <c r="F231" s="138" t="str">
        <f>IF(E231="","",IFERROR(IF(INDEX('Dashboard Items'!$B$2:$B$495,MATCH(E231,'Dashboard Items'!$A$2:$A$495,0))="Objective","Objectives go in the next column",IF(OR(D231="",INDEX('Dashboard Items'!$B$2:$B$495,MATCH(E231,'Dashboard Items'!$A$2:$A$495,0))=D231),INDEX('Dashboard Items'!$C$2:$C$495,MATCH(E231,'Dashboard Items'!$A$2:$A$495,0)),"Level does not match ID")),"ID not found"))</f>
        <v/>
      </c>
      <c r="G231" s="139"/>
      <c r="H231" s="138" t="str">
        <f>IF(G231="","",IF(ISNUMBER(SEARCH(",",G231)),"Several items (the script lists them)",IFERROR(INDEX('Dashboard Items'!$B$2:$B$495,MATCH(G231,'Dashboard Items'!$A$2:$A$495,0))&amp;": "&amp;INDEX('Dashboard Items'!$C$2:$C$495,MATCH(G231,'Dashboard Items'!$A$2:$A$495,0)),"ID not found")))</f>
        <v/>
      </c>
      <c r="I231" s="137"/>
      <c r="J231" s="137"/>
      <c r="K231" s="137"/>
      <c r="L231" s="137"/>
      <c r="M231" s="137"/>
      <c r="N231" s="137"/>
      <c r="O231" s="137"/>
      <c r="P231" s="137"/>
      <c r="Q231" s="137"/>
      <c r="R231" s="137"/>
      <c r="S231" s="137"/>
      <c r="T231" s="137"/>
      <c r="U231" s="99" t="str">
        <f>IF(B231="","",IF(IF(D231&lt;&gt;"",D231,IFERROR(INDEX('Dashboard Items'!$B$2:$B$495,MATCH(E231,'Dashboard Items'!$A$2:$A$495,0)),""))="Key Service",IF(O231="No","Key Service: shown, not counted","Counts in Key Service gauge"),IF(IF(D231&lt;&gt;"",D231,IFERROR(INDEX('Dashboard Items'!$B$2:$B$495,MATCH(E231,'Dashboard Items'!$A$2:$A$495,0)),""))="Program",IF(ISNUMBER(SEARCH("ks",G231)),IF(O231="No","Program, also at Key Service: not counted","Counts in Key Service gauge + sets Program chip"),IF(O231="No","Program: shown, no status chip","Sets Program status chip")),IF(IF(D231&lt;&gt;"",D231,IFERROR(INDEX('Dashboard Items'!$B$2:$B$495,MATCH(E231,'Dashboard Items'!$A$2:$A$495,0)),""))="Work System","Work System: shown, not counted","Check Level"))))</f>
        <v/>
      </c>
    </row>
    <row r="232" spans="2:21" ht="15" customHeight="1" x14ac:dyDescent="0.2">
      <c r="B232" s="137"/>
      <c r="C232" s="137"/>
      <c r="D232" s="137"/>
      <c r="E232" s="137"/>
      <c r="F232" s="138" t="str">
        <f>IF(E232="","",IFERROR(IF(INDEX('Dashboard Items'!$B$2:$B$495,MATCH(E232,'Dashboard Items'!$A$2:$A$495,0))="Objective","Objectives go in the next column",IF(OR(D232="",INDEX('Dashboard Items'!$B$2:$B$495,MATCH(E232,'Dashboard Items'!$A$2:$A$495,0))=D232),INDEX('Dashboard Items'!$C$2:$C$495,MATCH(E232,'Dashboard Items'!$A$2:$A$495,0)),"Level does not match ID")),"ID not found"))</f>
        <v/>
      </c>
      <c r="G232" s="139"/>
      <c r="H232" s="138" t="str">
        <f>IF(G232="","",IF(ISNUMBER(SEARCH(",",G232)),"Several items (the script lists them)",IFERROR(INDEX('Dashboard Items'!$B$2:$B$495,MATCH(G232,'Dashboard Items'!$A$2:$A$495,0))&amp;": "&amp;INDEX('Dashboard Items'!$C$2:$C$495,MATCH(G232,'Dashboard Items'!$A$2:$A$495,0)),"ID not found")))</f>
        <v/>
      </c>
      <c r="I232" s="137"/>
      <c r="J232" s="137"/>
      <c r="K232" s="137"/>
      <c r="L232" s="137"/>
      <c r="M232" s="137"/>
      <c r="N232" s="137"/>
      <c r="O232" s="137"/>
      <c r="P232" s="137"/>
      <c r="Q232" s="137"/>
      <c r="R232" s="137"/>
      <c r="S232" s="137"/>
      <c r="T232" s="137"/>
      <c r="U232" s="99" t="str">
        <f>IF(B232="","",IF(IF(D232&lt;&gt;"",D232,IFERROR(INDEX('Dashboard Items'!$B$2:$B$495,MATCH(E232,'Dashboard Items'!$A$2:$A$495,0)),""))="Key Service",IF(O232="No","Key Service: shown, not counted","Counts in Key Service gauge"),IF(IF(D232&lt;&gt;"",D232,IFERROR(INDEX('Dashboard Items'!$B$2:$B$495,MATCH(E232,'Dashboard Items'!$A$2:$A$495,0)),""))="Program",IF(ISNUMBER(SEARCH("ks",G232)),IF(O232="No","Program, also at Key Service: not counted","Counts in Key Service gauge + sets Program chip"),IF(O232="No","Program: shown, no status chip","Sets Program status chip")),IF(IF(D232&lt;&gt;"",D232,IFERROR(INDEX('Dashboard Items'!$B$2:$B$495,MATCH(E232,'Dashboard Items'!$A$2:$A$495,0)),""))="Work System","Work System: shown, not counted","Check Level"))))</f>
        <v/>
      </c>
    </row>
    <row r="233" spans="2:21" ht="15" customHeight="1" x14ac:dyDescent="0.2">
      <c r="B233" s="137"/>
      <c r="C233" s="137"/>
      <c r="D233" s="137"/>
      <c r="E233" s="137"/>
      <c r="F233" s="138" t="str">
        <f>IF(E233="","",IFERROR(IF(INDEX('Dashboard Items'!$B$2:$B$495,MATCH(E233,'Dashboard Items'!$A$2:$A$495,0))="Objective","Objectives go in the next column",IF(OR(D233="",INDEX('Dashboard Items'!$B$2:$B$495,MATCH(E233,'Dashboard Items'!$A$2:$A$495,0))=D233),INDEX('Dashboard Items'!$C$2:$C$495,MATCH(E233,'Dashboard Items'!$A$2:$A$495,0)),"Level does not match ID")),"ID not found"))</f>
        <v/>
      </c>
      <c r="G233" s="139"/>
      <c r="H233" s="138" t="str">
        <f>IF(G233="","",IF(ISNUMBER(SEARCH(",",G233)),"Several items (the script lists them)",IFERROR(INDEX('Dashboard Items'!$B$2:$B$495,MATCH(G233,'Dashboard Items'!$A$2:$A$495,0))&amp;": "&amp;INDEX('Dashboard Items'!$C$2:$C$495,MATCH(G233,'Dashboard Items'!$A$2:$A$495,0)),"ID not found")))</f>
        <v/>
      </c>
      <c r="I233" s="137"/>
      <c r="J233" s="137"/>
      <c r="K233" s="137"/>
      <c r="L233" s="137"/>
      <c r="M233" s="137"/>
      <c r="N233" s="137"/>
      <c r="O233" s="137"/>
      <c r="P233" s="137"/>
      <c r="Q233" s="137"/>
      <c r="R233" s="137"/>
      <c r="S233" s="137"/>
      <c r="T233" s="137"/>
      <c r="U233" s="99" t="str">
        <f>IF(B233="","",IF(IF(D233&lt;&gt;"",D233,IFERROR(INDEX('Dashboard Items'!$B$2:$B$495,MATCH(E233,'Dashboard Items'!$A$2:$A$495,0)),""))="Key Service",IF(O233="No","Key Service: shown, not counted","Counts in Key Service gauge"),IF(IF(D233&lt;&gt;"",D233,IFERROR(INDEX('Dashboard Items'!$B$2:$B$495,MATCH(E233,'Dashboard Items'!$A$2:$A$495,0)),""))="Program",IF(ISNUMBER(SEARCH("ks",G233)),IF(O233="No","Program, also at Key Service: not counted","Counts in Key Service gauge + sets Program chip"),IF(O233="No","Program: shown, no status chip","Sets Program status chip")),IF(IF(D233&lt;&gt;"",D233,IFERROR(INDEX('Dashboard Items'!$B$2:$B$495,MATCH(E233,'Dashboard Items'!$A$2:$A$495,0)),""))="Work System","Work System: shown, not counted","Check Level"))))</f>
        <v/>
      </c>
    </row>
    <row r="234" spans="2:21" ht="15" customHeight="1" x14ac:dyDescent="0.2">
      <c r="B234" s="137"/>
      <c r="C234" s="137"/>
      <c r="D234" s="137"/>
      <c r="E234" s="137"/>
      <c r="F234" s="138" t="str">
        <f>IF(E234="","",IFERROR(IF(INDEX('Dashboard Items'!$B$2:$B$495,MATCH(E234,'Dashboard Items'!$A$2:$A$495,0))="Objective","Objectives go in the next column",IF(OR(D234="",INDEX('Dashboard Items'!$B$2:$B$495,MATCH(E234,'Dashboard Items'!$A$2:$A$495,0))=D234),INDEX('Dashboard Items'!$C$2:$C$495,MATCH(E234,'Dashboard Items'!$A$2:$A$495,0)),"Level does not match ID")),"ID not found"))</f>
        <v/>
      </c>
      <c r="G234" s="139"/>
      <c r="H234" s="138" t="str">
        <f>IF(G234="","",IF(ISNUMBER(SEARCH(",",G234)),"Several items (the script lists them)",IFERROR(INDEX('Dashboard Items'!$B$2:$B$495,MATCH(G234,'Dashboard Items'!$A$2:$A$495,0))&amp;": "&amp;INDEX('Dashboard Items'!$C$2:$C$495,MATCH(G234,'Dashboard Items'!$A$2:$A$495,0)),"ID not found")))</f>
        <v/>
      </c>
      <c r="I234" s="137"/>
      <c r="J234" s="137"/>
      <c r="K234" s="137"/>
      <c r="L234" s="137"/>
      <c r="M234" s="137"/>
      <c r="N234" s="137"/>
      <c r="O234" s="137"/>
      <c r="P234" s="137"/>
      <c r="Q234" s="137"/>
      <c r="R234" s="137"/>
      <c r="S234" s="137"/>
      <c r="T234" s="137"/>
      <c r="U234" s="99" t="str">
        <f>IF(B234="","",IF(IF(D234&lt;&gt;"",D234,IFERROR(INDEX('Dashboard Items'!$B$2:$B$495,MATCH(E234,'Dashboard Items'!$A$2:$A$495,0)),""))="Key Service",IF(O234="No","Key Service: shown, not counted","Counts in Key Service gauge"),IF(IF(D234&lt;&gt;"",D234,IFERROR(INDEX('Dashboard Items'!$B$2:$B$495,MATCH(E234,'Dashboard Items'!$A$2:$A$495,0)),""))="Program",IF(ISNUMBER(SEARCH("ks",G234)),IF(O234="No","Program, also at Key Service: not counted","Counts in Key Service gauge + sets Program chip"),IF(O234="No","Program: shown, no status chip","Sets Program status chip")),IF(IF(D234&lt;&gt;"",D234,IFERROR(INDEX('Dashboard Items'!$B$2:$B$495,MATCH(E234,'Dashboard Items'!$A$2:$A$495,0)),""))="Work System","Work System: shown, not counted","Check Level"))))</f>
        <v/>
      </c>
    </row>
    <row r="235" spans="2:21" ht="15" customHeight="1" x14ac:dyDescent="0.2">
      <c r="B235" s="137"/>
      <c r="C235" s="137"/>
      <c r="D235" s="137"/>
      <c r="E235" s="137"/>
      <c r="F235" s="138" t="str">
        <f>IF(E235="","",IFERROR(IF(INDEX('Dashboard Items'!$B$2:$B$495,MATCH(E235,'Dashboard Items'!$A$2:$A$495,0))="Objective","Objectives go in the next column",IF(OR(D235="",INDEX('Dashboard Items'!$B$2:$B$495,MATCH(E235,'Dashboard Items'!$A$2:$A$495,0))=D235),INDEX('Dashboard Items'!$C$2:$C$495,MATCH(E235,'Dashboard Items'!$A$2:$A$495,0)),"Level does not match ID")),"ID not found"))</f>
        <v/>
      </c>
      <c r="G235" s="139"/>
      <c r="H235" s="138" t="str">
        <f>IF(G235="","",IF(ISNUMBER(SEARCH(",",G235)),"Several items (the script lists them)",IFERROR(INDEX('Dashboard Items'!$B$2:$B$495,MATCH(G235,'Dashboard Items'!$A$2:$A$495,0))&amp;": "&amp;INDEX('Dashboard Items'!$C$2:$C$495,MATCH(G235,'Dashboard Items'!$A$2:$A$495,0)),"ID not found")))</f>
        <v/>
      </c>
      <c r="I235" s="137"/>
      <c r="J235" s="137"/>
      <c r="K235" s="137"/>
      <c r="L235" s="137"/>
      <c r="M235" s="137"/>
      <c r="N235" s="137"/>
      <c r="O235" s="137"/>
      <c r="P235" s="137"/>
      <c r="Q235" s="137"/>
      <c r="R235" s="137"/>
      <c r="S235" s="137"/>
      <c r="T235" s="137"/>
      <c r="U235" s="99" t="str">
        <f>IF(B235="","",IF(IF(D235&lt;&gt;"",D235,IFERROR(INDEX('Dashboard Items'!$B$2:$B$495,MATCH(E235,'Dashboard Items'!$A$2:$A$495,0)),""))="Key Service",IF(O235="No","Key Service: shown, not counted","Counts in Key Service gauge"),IF(IF(D235&lt;&gt;"",D235,IFERROR(INDEX('Dashboard Items'!$B$2:$B$495,MATCH(E235,'Dashboard Items'!$A$2:$A$495,0)),""))="Program",IF(ISNUMBER(SEARCH("ks",G235)),IF(O235="No","Program, also at Key Service: not counted","Counts in Key Service gauge + sets Program chip"),IF(O235="No","Program: shown, no status chip","Sets Program status chip")),IF(IF(D235&lt;&gt;"",D235,IFERROR(INDEX('Dashboard Items'!$B$2:$B$495,MATCH(E235,'Dashboard Items'!$A$2:$A$495,0)),""))="Work System","Work System: shown, not counted","Check Level"))))</f>
        <v/>
      </c>
    </row>
    <row r="236" spans="2:21" ht="15" customHeight="1" x14ac:dyDescent="0.2">
      <c r="B236" s="137"/>
      <c r="C236" s="137"/>
      <c r="D236" s="137"/>
      <c r="E236" s="137"/>
      <c r="F236" s="138" t="str">
        <f>IF(E236="","",IFERROR(IF(INDEX('Dashboard Items'!$B$2:$B$495,MATCH(E236,'Dashboard Items'!$A$2:$A$495,0))="Objective","Objectives go in the next column",IF(OR(D236="",INDEX('Dashboard Items'!$B$2:$B$495,MATCH(E236,'Dashboard Items'!$A$2:$A$495,0))=D236),INDEX('Dashboard Items'!$C$2:$C$495,MATCH(E236,'Dashboard Items'!$A$2:$A$495,0)),"Level does not match ID")),"ID not found"))</f>
        <v/>
      </c>
      <c r="G236" s="139"/>
      <c r="H236" s="138" t="str">
        <f>IF(G236="","",IF(ISNUMBER(SEARCH(",",G236)),"Several items (the script lists them)",IFERROR(INDEX('Dashboard Items'!$B$2:$B$495,MATCH(G236,'Dashboard Items'!$A$2:$A$495,0))&amp;": "&amp;INDEX('Dashboard Items'!$C$2:$C$495,MATCH(G236,'Dashboard Items'!$A$2:$A$495,0)),"ID not found")))</f>
        <v/>
      </c>
      <c r="I236" s="137"/>
      <c r="J236" s="137"/>
      <c r="K236" s="137"/>
      <c r="L236" s="137"/>
      <c r="M236" s="137"/>
      <c r="N236" s="137"/>
      <c r="O236" s="137"/>
      <c r="P236" s="137"/>
      <c r="Q236" s="137"/>
      <c r="R236" s="137"/>
      <c r="S236" s="137"/>
      <c r="T236" s="137"/>
      <c r="U236" s="99" t="str">
        <f>IF(B236="","",IF(IF(D236&lt;&gt;"",D236,IFERROR(INDEX('Dashboard Items'!$B$2:$B$495,MATCH(E236,'Dashboard Items'!$A$2:$A$495,0)),""))="Key Service",IF(O236="No","Key Service: shown, not counted","Counts in Key Service gauge"),IF(IF(D236&lt;&gt;"",D236,IFERROR(INDEX('Dashboard Items'!$B$2:$B$495,MATCH(E236,'Dashboard Items'!$A$2:$A$495,0)),""))="Program",IF(ISNUMBER(SEARCH("ks",G236)),IF(O236="No","Program, also at Key Service: not counted","Counts in Key Service gauge + sets Program chip"),IF(O236="No","Program: shown, no status chip","Sets Program status chip")),IF(IF(D236&lt;&gt;"",D236,IFERROR(INDEX('Dashboard Items'!$B$2:$B$495,MATCH(E236,'Dashboard Items'!$A$2:$A$495,0)),""))="Work System","Work System: shown, not counted","Check Level"))))</f>
        <v/>
      </c>
    </row>
    <row r="237" spans="2:21" ht="15" customHeight="1" x14ac:dyDescent="0.2">
      <c r="B237" s="137"/>
      <c r="C237" s="137"/>
      <c r="D237" s="137"/>
      <c r="E237" s="137"/>
      <c r="F237" s="138" t="str">
        <f>IF(E237="","",IFERROR(IF(INDEX('Dashboard Items'!$B$2:$B$495,MATCH(E237,'Dashboard Items'!$A$2:$A$495,0))="Objective","Objectives go in the next column",IF(OR(D237="",INDEX('Dashboard Items'!$B$2:$B$495,MATCH(E237,'Dashboard Items'!$A$2:$A$495,0))=D237),INDEX('Dashboard Items'!$C$2:$C$495,MATCH(E237,'Dashboard Items'!$A$2:$A$495,0)),"Level does not match ID")),"ID not found"))</f>
        <v/>
      </c>
      <c r="G237" s="139"/>
      <c r="H237" s="138" t="str">
        <f>IF(G237="","",IF(ISNUMBER(SEARCH(",",G237)),"Several items (the script lists them)",IFERROR(INDEX('Dashboard Items'!$B$2:$B$495,MATCH(G237,'Dashboard Items'!$A$2:$A$495,0))&amp;": "&amp;INDEX('Dashboard Items'!$C$2:$C$495,MATCH(G237,'Dashboard Items'!$A$2:$A$495,0)),"ID not found")))</f>
        <v/>
      </c>
      <c r="I237" s="137"/>
      <c r="J237" s="137"/>
      <c r="K237" s="137"/>
      <c r="L237" s="137"/>
      <c r="M237" s="137"/>
      <c r="N237" s="137"/>
      <c r="O237" s="137"/>
      <c r="P237" s="137"/>
      <c r="Q237" s="137"/>
      <c r="R237" s="137"/>
      <c r="S237" s="137"/>
      <c r="T237" s="137"/>
      <c r="U237" s="99" t="str">
        <f>IF(B237="","",IF(IF(D237&lt;&gt;"",D237,IFERROR(INDEX('Dashboard Items'!$B$2:$B$495,MATCH(E237,'Dashboard Items'!$A$2:$A$495,0)),""))="Key Service",IF(O237="No","Key Service: shown, not counted","Counts in Key Service gauge"),IF(IF(D237&lt;&gt;"",D237,IFERROR(INDEX('Dashboard Items'!$B$2:$B$495,MATCH(E237,'Dashboard Items'!$A$2:$A$495,0)),""))="Program",IF(ISNUMBER(SEARCH("ks",G237)),IF(O237="No","Program, also at Key Service: not counted","Counts in Key Service gauge + sets Program chip"),IF(O237="No","Program: shown, no status chip","Sets Program status chip")),IF(IF(D237&lt;&gt;"",D237,IFERROR(INDEX('Dashboard Items'!$B$2:$B$495,MATCH(E237,'Dashboard Items'!$A$2:$A$495,0)),""))="Work System","Work System: shown, not counted","Check Level"))))</f>
        <v/>
      </c>
    </row>
    <row r="238" spans="2:21" ht="15" customHeight="1" x14ac:dyDescent="0.2">
      <c r="B238" s="137"/>
      <c r="C238" s="137"/>
      <c r="D238" s="137"/>
      <c r="E238" s="137"/>
      <c r="F238" s="138" t="str">
        <f>IF(E238="","",IFERROR(IF(INDEX('Dashboard Items'!$B$2:$B$495,MATCH(E238,'Dashboard Items'!$A$2:$A$495,0))="Objective","Objectives go in the next column",IF(OR(D238="",INDEX('Dashboard Items'!$B$2:$B$495,MATCH(E238,'Dashboard Items'!$A$2:$A$495,0))=D238),INDEX('Dashboard Items'!$C$2:$C$495,MATCH(E238,'Dashboard Items'!$A$2:$A$495,0)),"Level does not match ID")),"ID not found"))</f>
        <v/>
      </c>
      <c r="G238" s="139"/>
      <c r="H238" s="138" t="str">
        <f>IF(G238="","",IF(ISNUMBER(SEARCH(",",G238)),"Several items (the script lists them)",IFERROR(INDEX('Dashboard Items'!$B$2:$B$495,MATCH(G238,'Dashboard Items'!$A$2:$A$495,0))&amp;": "&amp;INDEX('Dashboard Items'!$C$2:$C$495,MATCH(G238,'Dashboard Items'!$A$2:$A$495,0)),"ID not found")))</f>
        <v/>
      </c>
      <c r="I238" s="137"/>
      <c r="J238" s="137"/>
      <c r="K238" s="137"/>
      <c r="L238" s="137"/>
      <c r="M238" s="137"/>
      <c r="N238" s="137"/>
      <c r="O238" s="137"/>
      <c r="P238" s="137"/>
      <c r="Q238" s="137"/>
      <c r="R238" s="137"/>
      <c r="S238" s="137"/>
      <c r="T238" s="137"/>
      <c r="U238" s="99" t="str">
        <f>IF(B238="","",IF(IF(D238&lt;&gt;"",D238,IFERROR(INDEX('Dashboard Items'!$B$2:$B$495,MATCH(E238,'Dashboard Items'!$A$2:$A$495,0)),""))="Key Service",IF(O238="No","Key Service: shown, not counted","Counts in Key Service gauge"),IF(IF(D238&lt;&gt;"",D238,IFERROR(INDEX('Dashboard Items'!$B$2:$B$495,MATCH(E238,'Dashboard Items'!$A$2:$A$495,0)),""))="Program",IF(ISNUMBER(SEARCH("ks",G238)),IF(O238="No","Program, also at Key Service: not counted","Counts in Key Service gauge + sets Program chip"),IF(O238="No","Program: shown, no status chip","Sets Program status chip")),IF(IF(D238&lt;&gt;"",D238,IFERROR(INDEX('Dashboard Items'!$B$2:$B$495,MATCH(E238,'Dashboard Items'!$A$2:$A$495,0)),""))="Work System","Work System: shown, not counted","Check Level"))))</f>
        <v/>
      </c>
    </row>
    <row r="239" spans="2:21" ht="15" customHeight="1" x14ac:dyDescent="0.2">
      <c r="B239" s="137"/>
      <c r="C239" s="137"/>
      <c r="D239" s="137"/>
      <c r="E239" s="137"/>
      <c r="F239" s="138" t="str">
        <f>IF(E239="","",IFERROR(IF(INDEX('Dashboard Items'!$B$2:$B$495,MATCH(E239,'Dashboard Items'!$A$2:$A$495,0))="Objective","Objectives go in the next column",IF(OR(D239="",INDEX('Dashboard Items'!$B$2:$B$495,MATCH(E239,'Dashboard Items'!$A$2:$A$495,0))=D239),INDEX('Dashboard Items'!$C$2:$C$495,MATCH(E239,'Dashboard Items'!$A$2:$A$495,0)),"Level does not match ID")),"ID not found"))</f>
        <v/>
      </c>
      <c r="G239" s="139"/>
      <c r="H239" s="138" t="str">
        <f>IF(G239="","",IF(ISNUMBER(SEARCH(",",G239)),"Several items (the script lists them)",IFERROR(INDEX('Dashboard Items'!$B$2:$B$495,MATCH(G239,'Dashboard Items'!$A$2:$A$495,0))&amp;": "&amp;INDEX('Dashboard Items'!$C$2:$C$495,MATCH(G239,'Dashboard Items'!$A$2:$A$495,0)),"ID not found")))</f>
        <v/>
      </c>
      <c r="I239" s="137"/>
      <c r="J239" s="137"/>
      <c r="K239" s="137"/>
      <c r="L239" s="137"/>
      <c r="M239" s="137"/>
      <c r="N239" s="137"/>
      <c r="O239" s="137"/>
      <c r="P239" s="137"/>
      <c r="Q239" s="137"/>
      <c r="R239" s="137"/>
      <c r="S239" s="137"/>
      <c r="T239" s="137"/>
      <c r="U239" s="99" t="str">
        <f>IF(B239="","",IF(IF(D239&lt;&gt;"",D239,IFERROR(INDEX('Dashboard Items'!$B$2:$B$495,MATCH(E239,'Dashboard Items'!$A$2:$A$495,0)),""))="Key Service",IF(O239="No","Key Service: shown, not counted","Counts in Key Service gauge"),IF(IF(D239&lt;&gt;"",D239,IFERROR(INDEX('Dashboard Items'!$B$2:$B$495,MATCH(E239,'Dashboard Items'!$A$2:$A$495,0)),""))="Program",IF(ISNUMBER(SEARCH("ks",G239)),IF(O239="No","Program, also at Key Service: not counted","Counts in Key Service gauge + sets Program chip"),IF(O239="No","Program: shown, no status chip","Sets Program status chip")),IF(IF(D239&lt;&gt;"",D239,IFERROR(INDEX('Dashboard Items'!$B$2:$B$495,MATCH(E239,'Dashboard Items'!$A$2:$A$495,0)),""))="Work System","Work System: shown, not counted","Check Level"))))</f>
        <v/>
      </c>
    </row>
    <row r="240" spans="2:21" ht="15" customHeight="1" x14ac:dyDescent="0.2">
      <c r="B240" s="137"/>
      <c r="C240" s="137"/>
      <c r="D240" s="137"/>
      <c r="E240" s="137"/>
      <c r="F240" s="138" t="str">
        <f>IF(E240="","",IFERROR(IF(INDEX('Dashboard Items'!$B$2:$B$495,MATCH(E240,'Dashboard Items'!$A$2:$A$495,0))="Objective","Objectives go in the next column",IF(OR(D240="",INDEX('Dashboard Items'!$B$2:$B$495,MATCH(E240,'Dashboard Items'!$A$2:$A$495,0))=D240),INDEX('Dashboard Items'!$C$2:$C$495,MATCH(E240,'Dashboard Items'!$A$2:$A$495,0)),"Level does not match ID")),"ID not found"))</f>
        <v/>
      </c>
      <c r="G240" s="139"/>
      <c r="H240" s="138" t="str">
        <f>IF(G240="","",IF(ISNUMBER(SEARCH(",",G240)),"Several items (the script lists them)",IFERROR(INDEX('Dashboard Items'!$B$2:$B$495,MATCH(G240,'Dashboard Items'!$A$2:$A$495,0))&amp;": "&amp;INDEX('Dashboard Items'!$C$2:$C$495,MATCH(G240,'Dashboard Items'!$A$2:$A$495,0)),"ID not found")))</f>
        <v/>
      </c>
      <c r="I240" s="137"/>
      <c r="J240" s="137"/>
      <c r="K240" s="137"/>
      <c r="L240" s="137"/>
      <c r="M240" s="137"/>
      <c r="N240" s="137"/>
      <c r="O240" s="137"/>
      <c r="P240" s="137"/>
      <c r="Q240" s="137"/>
      <c r="R240" s="137"/>
      <c r="S240" s="137"/>
      <c r="T240" s="137"/>
      <c r="U240" s="99" t="str">
        <f>IF(B240="","",IF(IF(D240&lt;&gt;"",D240,IFERROR(INDEX('Dashboard Items'!$B$2:$B$495,MATCH(E240,'Dashboard Items'!$A$2:$A$495,0)),""))="Key Service",IF(O240="No","Key Service: shown, not counted","Counts in Key Service gauge"),IF(IF(D240&lt;&gt;"",D240,IFERROR(INDEX('Dashboard Items'!$B$2:$B$495,MATCH(E240,'Dashboard Items'!$A$2:$A$495,0)),""))="Program",IF(ISNUMBER(SEARCH("ks",G240)),IF(O240="No","Program, also at Key Service: not counted","Counts in Key Service gauge + sets Program chip"),IF(O240="No","Program: shown, no status chip","Sets Program status chip")),IF(IF(D240&lt;&gt;"",D240,IFERROR(INDEX('Dashboard Items'!$B$2:$B$495,MATCH(E240,'Dashboard Items'!$A$2:$A$495,0)),""))="Work System","Work System: shown, not counted","Check Level"))))</f>
        <v/>
      </c>
    </row>
    <row r="241" spans="2:21" ht="15" customHeight="1" x14ac:dyDescent="0.2">
      <c r="B241" s="137"/>
      <c r="C241" s="137"/>
      <c r="D241" s="137"/>
      <c r="E241" s="137"/>
      <c r="F241" s="138" t="str">
        <f>IF(E241="","",IFERROR(IF(INDEX('Dashboard Items'!$B$2:$B$495,MATCH(E241,'Dashboard Items'!$A$2:$A$495,0))="Objective","Objectives go in the next column",IF(OR(D241="",INDEX('Dashboard Items'!$B$2:$B$495,MATCH(E241,'Dashboard Items'!$A$2:$A$495,0))=D241),INDEX('Dashboard Items'!$C$2:$C$495,MATCH(E241,'Dashboard Items'!$A$2:$A$495,0)),"Level does not match ID")),"ID not found"))</f>
        <v/>
      </c>
      <c r="G241" s="139"/>
      <c r="H241" s="138" t="str">
        <f>IF(G241="","",IF(ISNUMBER(SEARCH(",",G241)),"Several items (the script lists them)",IFERROR(INDEX('Dashboard Items'!$B$2:$B$495,MATCH(G241,'Dashboard Items'!$A$2:$A$495,0))&amp;": "&amp;INDEX('Dashboard Items'!$C$2:$C$495,MATCH(G241,'Dashboard Items'!$A$2:$A$495,0)),"ID not found")))</f>
        <v/>
      </c>
      <c r="I241" s="137"/>
      <c r="J241" s="137"/>
      <c r="K241" s="137"/>
      <c r="L241" s="137"/>
      <c r="M241" s="137"/>
      <c r="N241" s="137"/>
      <c r="O241" s="137"/>
      <c r="P241" s="137"/>
      <c r="Q241" s="137"/>
      <c r="R241" s="137"/>
      <c r="S241" s="137"/>
      <c r="T241" s="137"/>
      <c r="U241" s="99" t="str">
        <f>IF(B241="","",IF(IF(D241&lt;&gt;"",D241,IFERROR(INDEX('Dashboard Items'!$B$2:$B$495,MATCH(E241,'Dashboard Items'!$A$2:$A$495,0)),""))="Key Service",IF(O241="No","Key Service: shown, not counted","Counts in Key Service gauge"),IF(IF(D241&lt;&gt;"",D241,IFERROR(INDEX('Dashboard Items'!$B$2:$B$495,MATCH(E241,'Dashboard Items'!$A$2:$A$495,0)),""))="Program",IF(ISNUMBER(SEARCH("ks",G241)),IF(O241="No","Program, also at Key Service: not counted","Counts in Key Service gauge + sets Program chip"),IF(O241="No","Program: shown, no status chip","Sets Program status chip")),IF(IF(D241&lt;&gt;"",D241,IFERROR(INDEX('Dashboard Items'!$B$2:$B$495,MATCH(E241,'Dashboard Items'!$A$2:$A$495,0)),""))="Work System","Work System: shown, not counted","Check Level"))))</f>
        <v/>
      </c>
    </row>
    <row r="242" spans="2:21" ht="15" customHeight="1" x14ac:dyDescent="0.2">
      <c r="B242" s="137"/>
      <c r="C242" s="137"/>
      <c r="D242" s="137"/>
      <c r="E242" s="137"/>
      <c r="F242" s="138" t="str">
        <f>IF(E242="","",IFERROR(IF(INDEX('Dashboard Items'!$B$2:$B$495,MATCH(E242,'Dashboard Items'!$A$2:$A$495,0))="Objective","Objectives go in the next column",IF(OR(D242="",INDEX('Dashboard Items'!$B$2:$B$495,MATCH(E242,'Dashboard Items'!$A$2:$A$495,0))=D242),INDEX('Dashboard Items'!$C$2:$C$495,MATCH(E242,'Dashboard Items'!$A$2:$A$495,0)),"Level does not match ID")),"ID not found"))</f>
        <v/>
      </c>
      <c r="G242" s="139"/>
      <c r="H242" s="138" t="str">
        <f>IF(G242="","",IF(ISNUMBER(SEARCH(",",G242)),"Several items (the script lists them)",IFERROR(INDEX('Dashboard Items'!$B$2:$B$495,MATCH(G242,'Dashboard Items'!$A$2:$A$495,0))&amp;": "&amp;INDEX('Dashboard Items'!$C$2:$C$495,MATCH(G242,'Dashboard Items'!$A$2:$A$495,0)),"ID not found")))</f>
        <v/>
      </c>
      <c r="I242" s="137"/>
      <c r="J242" s="137"/>
      <c r="K242" s="137"/>
      <c r="L242" s="137"/>
      <c r="M242" s="137"/>
      <c r="N242" s="137"/>
      <c r="O242" s="137"/>
      <c r="P242" s="137"/>
      <c r="Q242" s="137"/>
      <c r="R242" s="137"/>
      <c r="S242" s="137"/>
      <c r="T242" s="137"/>
      <c r="U242" s="99" t="str">
        <f>IF(B242="","",IF(IF(D242&lt;&gt;"",D242,IFERROR(INDEX('Dashboard Items'!$B$2:$B$495,MATCH(E242,'Dashboard Items'!$A$2:$A$495,0)),""))="Key Service",IF(O242="No","Key Service: shown, not counted","Counts in Key Service gauge"),IF(IF(D242&lt;&gt;"",D242,IFERROR(INDEX('Dashboard Items'!$B$2:$B$495,MATCH(E242,'Dashboard Items'!$A$2:$A$495,0)),""))="Program",IF(ISNUMBER(SEARCH("ks",G242)),IF(O242="No","Program, also at Key Service: not counted","Counts in Key Service gauge + sets Program chip"),IF(O242="No","Program: shown, no status chip","Sets Program status chip")),IF(IF(D242&lt;&gt;"",D242,IFERROR(INDEX('Dashboard Items'!$B$2:$B$495,MATCH(E242,'Dashboard Items'!$A$2:$A$495,0)),""))="Work System","Work System: shown, not counted","Check Level"))))</f>
        <v/>
      </c>
    </row>
    <row r="243" spans="2:21" ht="15" customHeight="1" x14ac:dyDescent="0.2">
      <c r="B243" s="137"/>
      <c r="C243" s="137"/>
      <c r="D243" s="137"/>
      <c r="E243" s="137"/>
      <c r="F243" s="138" t="str">
        <f>IF(E243="","",IFERROR(IF(INDEX('Dashboard Items'!$B$2:$B$495,MATCH(E243,'Dashboard Items'!$A$2:$A$495,0))="Objective","Objectives go in the next column",IF(OR(D243="",INDEX('Dashboard Items'!$B$2:$B$495,MATCH(E243,'Dashboard Items'!$A$2:$A$495,0))=D243),INDEX('Dashboard Items'!$C$2:$C$495,MATCH(E243,'Dashboard Items'!$A$2:$A$495,0)),"Level does not match ID")),"ID not found"))</f>
        <v/>
      </c>
      <c r="G243" s="139"/>
      <c r="H243" s="138" t="str">
        <f>IF(G243="","",IF(ISNUMBER(SEARCH(",",G243)),"Several items (the script lists them)",IFERROR(INDEX('Dashboard Items'!$B$2:$B$495,MATCH(G243,'Dashboard Items'!$A$2:$A$495,0))&amp;": "&amp;INDEX('Dashboard Items'!$C$2:$C$495,MATCH(G243,'Dashboard Items'!$A$2:$A$495,0)),"ID not found")))</f>
        <v/>
      </c>
      <c r="I243" s="137"/>
      <c r="J243" s="137"/>
      <c r="K243" s="137"/>
      <c r="L243" s="137"/>
      <c r="M243" s="137"/>
      <c r="N243" s="137"/>
      <c r="O243" s="137"/>
      <c r="P243" s="137"/>
      <c r="Q243" s="137"/>
      <c r="R243" s="137"/>
      <c r="S243" s="137"/>
      <c r="T243" s="137"/>
      <c r="U243" s="99" t="str">
        <f>IF(B243="","",IF(IF(D243&lt;&gt;"",D243,IFERROR(INDEX('Dashboard Items'!$B$2:$B$495,MATCH(E243,'Dashboard Items'!$A$2:$A$495,0)),""))="Key Service",IF(O243="No","Key Service: shown, not counted","Counts in Key Service gauge"),IF(IF(D243&lt;&gt;"",D243,IFERROR(INDEX('Dashboard Items'!$B$2:$B$495,MATCH(E243,'Dashboard Items'!$A$2:$A$495,0)),""))="Program",IF(ISNUMBER(SEARCH("ks",G243)),IF(O243="No","Program, also at Key Service: not counted","Counts in Key Service gauge + sets Program chip"),IF(O243="No","Program: shown, no status chip","Sets Program status chip")),IF(IF(D243&lt;&gt;"",D243,IFERROR(INDEX('Dashboard Items'!$B$2:$B$495,MATCH(E243,'Dashboard Items'!$A$2:$A$495,0)),""))="Work System","Work System: shown, not counted","Check Level"))))</f>
        <v/>
      </c>
    </row>
    <row r="244" spans="2:21" ht="15" customHeight="1" x14ac:dyDescent="0.2">
      <c r="B244" s="137"/>
      <c r="C244" s="137"/>
      <c r="D244" s="137"/>
      <c r="E244" s="137"/>
      <c r="F244" s="138" t="str">
        <f>IF(E244="","",IFERROR(IF(INDEX('Dashboard Items'!$B$2:$B$495,MATCH(E244,'Dashboard Items'!$A$2:$A$495,0))="Objective","Objectives go in the next column",IF(OR(D244="",INDEX('Dashboard Items'!$B$2:$B$495,MATCH(E244,'Dashboard Items'!$A$2:$A$495,0))=D244),INDEX('Dashboard Items'!$C$2:$C$495,MATCH(E244,'Dashboard Items'!$A$2:$A$495,0)),"Level does not match ID")),"ID not found"))</f>
        <v/>
      </c>
      <c r="G244" s="139"/>
      <c r="H244" s="138" t="str">
        <f>IF(G244="","",IF(ISNUMBER(SEARCH(",",G244)),"Several items (the script lists them)",IFERROR(INDEX('Dashboard Items'!$B$2:$B$495,MATCH(G244,'Dashboard Items'!$A$2:$A$495,0))&amp;": "&amp;INDEX('Dashboard Items'!$C$2:$C$495,MATCH(G244,'Dashboard Items'!$A$2:$A$495,0)),"ID not found")))</f>
        <v/>
      </c>
      <c r="I244" s="137"/>
      <c r="J244" s="137"/>
      <c r="K244" s="137"/>
      <c r="L244" s="137"/>
      <c r="M244" s="137"/>
      <c r="N244" s="137"/>
      <c r="O244" s="137"/>
      <c r="P244" s="137"/>
      <c r="Q244" s="137"/>
      <c r="R244" s="137"/>
      <c r="S244" s="137"/>
      <c r="T244" s="137"/>
      <c r="U244" s="99" t="str">
        <f>IF(B244="","",IF(IF(D244&lt;&gt;"",D244,IFERROR(INDEX('Dashboard Items'!$B$2:$B$495,MATCH(E244,'Dashboard Items'!$A$2:$A$495,0)),""))="Key Service",IF(O244="No","Key Service: shown, not counted","Counts in Key Service gauge"),IF(IF(D244&lt;&gt;"",D244,IFERROR(INDEX('Dashboard Items'!$B$2:$B$495,MATCH(E244,'Dashboard Items'!$A$2:$A$495,0)),""))="Program",IF(ISNUMBER(SEARCH("ks",G244)),IF(O244="No","Program, also at Key Service: not counted","Counts in Key Service gauge + sets Program chip"),IF(O244="No","Program: shown, no status chip","Sets Program status chip")),IF(IF(D244&lt;&gt;"",D244,IFERROR(INDEX('Dashboard Items'!$B$2:$B$495,MATCH(E244,'Dashboard Items'!$A$2:$A$495,0)),""))="Work System","Work System: shown, not counted","Check Level"))))</f>
        <v/>
      </c>
    </row>
    <row r="245" spans="2:21" ht="15" customHeight="1" x14ac:dyDescent="0.2">
      <c r="B245" s="137"/>
      <c r="C245" s="137"/>
      <c r="D245" s="137"/>
      <c r="E245" s="137"/>
      <c r="F245" s="138" t="str">
        <f>IF(E245="","",IFERROR(IF(INDEX('Dashboard Items'!$B$2:$B$495,MATCH(E245,'Dashboard Items'!$A$2:$A$495,0))="Objective","Objectives go in the next column",IF(OR(D245="",INDEX('Dashboard Items'!$B$2:$B$495,MATCH(E245,'Dashboard Items'!$A$2:$A$495,0))=D245),INDEX('Dashboard Items'!$C$2:$C$495,MATCH(E245,'Dashboard Items'!$A$2:$A$495,0)),"Level does not match ID")),"ID not found"))</f>
        <v/>
      </c>
      <c r="G245" s="139"/>
      <c r="H245" s="138" t="str">
        <f>IF(G245="","",IF(ISNUMBER(SEARCH(",",G245)),"Several items (the script lists them)",IFERROR(INDEX('Dashboard Items'!$B$2:$B$495,MATCH(G245,'Dashboard Items'!$A$2:$A$495,0))&amp;": "&amp;INDEX('Dashboard Items'!$C$2:$C$495,MATCH(G245,'Dashboard Items'!$A$2:$A$495,0)),"ID not found")))</f>
        <v/>
      </c>
      <c r="I245" s="137"/>
      <c r="J245" s="137"/>
      <c r="K245" s="137"/>
      <c r="L245" s="137"/>
      <c r="M245" s="137"/>
      <c r="N245" s="137"/>
      <c r="O245" s="137"/>
      <c r="P245" s="137"/>
      <c r="Q245" s="137"/>
      <c r="R245" s="137"/>
      <c r="S245" s="137"/>
      <c r="T245" s="137"/>
      <c r="U245" s="99" t="str">
        <f>IF(B245="","",IF(IF(D245&lt;&gt;"",D245,IFERROR(INDEX('Dashboard Items'!$B$2:$B$495,MATCH(E245,'Dashboard Items'!$A$2:$A$495,0)),""))="Key Service",IF(O245="No","Key Service: shown, not counted","Counts in Key Service gauge"),IF(IF(D245&lt;&gt;"",D245,IFERROR(INDEX('Dashboard Items'!$B$2:$B$495,MATCH(E245,'Dashboard Items'!$A$2:$A$495,0)),""))="Program",IF(ISNUMBER(SEARCH("ks",G245)),IF(O245="No","Program, also at Key Service: not counted","Counts in Key Service gauge + sets Program chip"),IF(O245="No","Program: shown, no status chip","Sets Program status chip")),IF(IF(D245&lt;&gt;"",D245,IFERROR(INDEX('Dashboard Items'!$B$2:$B$495,MATCH(E245,'Dashboard Items'!$A$2:$A$495,0)),""))="Work System","Work System: shown, not counted","Check Level"))))</f>
        <v/>
      </c>
    </row>
    <row r="246" spans="2:21" ht="15" customHeight="1" x14ac:dyDescent="0.2">
      <c r="B246" s="137"/>
      <c r="C246" s="137"/>
      <c r="D246" s="137"/>
      <c r="E246" s="137"/>
      <c r="F246" s="138" t="str">
        <f>IF(E246="","",IFERROR(IF(INDEX('Dashboard Items'!$B$2:$B$495,MATCH(E246,'Dashboard Items'!$A$2:$A$495,0))="Objective","Objectives go in the next column",IF(OR(D246="",INDEX('Dashboard Items'!$B$2:$B$495,MATCH(E246,'Dashboard Items'!$A$2:$A$495,0))=D246),INDEX('Dashboard Items'!$C$2:$C$495,MATCH(E246,'Dashboard Items'!$A$2:$A$495,0)),"Level does not match ID")),"ID not found"))</f>
        <v/>
      </c>
      <c r="G246" s="139"/>
      <c r="H246" s="138" t="str">
        <f>IF(G246="","",IF(ISNUMBER(SEARCH(",",G246)),"Several items (the script lists them)",IFERROR(INDEX('Dashboard Items'!$B$2:$B$495,MATCH(G246,'Dashboard Items'!$A$2:$A$495,0))&amp;": "&amp;INDEX('Dashboard Items'!$C$2:$C$495,MATCH(G246,'Dashboard Items'!$A$2:$A$495,0)),"ID not found")))</f>
        <v/>
      </c>
      <c r="I246" s="137"/>
      <c r="J246" s="137"/>
      <c r="K246" s="137"/>
      <c r="L246" s="137"/>
      <c r="M246" s="137"/>
      <c r="N246" s="137"/>
      <c r="O246" s="137"/>
      <c r="P246" s="137"/>
      <c r="Q246" s="137"/>
      <c r="R246" s="137"/>
      <c r="S246" s="137"/>
      <c r="T246" s="137"/>
      <c r="U246" s="99" t="str">
        <f>IF(B246="","",IF(IF(D246&lt;&gt;"",D246,IFERROR(INDEX('Dashboard Items'!$B$2:$B$495,MATCH(E246,'Dashboard Items'!$A$2:$A$495,0)),""))="Key Service",IF(O246="No","Key Service: shown, not counted","Counts in Key Service gauge"),IF(IF(D246&lt;&gt;"",D246,IFERROR(INDEX('Dashboard Items'!$B$2:$B$495,MATCH(E246,'Dashboard Items'!$A$2:$A$495,0)),""))="Program",IF(ISNUMBER(SEARCH("ks",G246)),IF(O246="No","Program, also at Key Service: not counted","Counts in Key Service gauge + sets Program chip"),IF(O246="No","Program: shown, no status chip","Sets Program status chip")),IF(IF(D246&lt;&gt;"",D246,IFERROR(INDEX('Dashboard Items'!$B$2:$B$495,MATCH(E246,'Dashboard Items'!$A$2:$A$495,0)),""))="Work System","Work System: shown, not counted","Check Level"))))</f>
        <v/>
      </c>
    </row>
    <row r="247" spans="2:21" ht="15" customHeight="1" x14ac:dyDescent="0.2">
      <c r="B247" s="137"/>
      <c r="C247" s="137"/>
      <c r="D247" s="137"/>
      <c r="E247" s="137"/>
      <c r="F247" s="138" t="str">
        <f>IF(E247="","",IFERROR(IF(INDEX('Dashboard Items'!$B$2:$B$495,MATCH(E247,'Dashboard Items'!$A$2:$A$495,0))="Objective","Objectives go in the next column",IF(OR(D247="",INDEX('Dashboard Items'!$B$2:$B$495,MATCH(E247,'Dashboard Items'!$A$2:$A$495,0))=D247),INDEX('Dashboard Items'!$C$2:$C$495,MATCH(E247,'Dashboard Items'!$A$2:$A$495,0)),"Level does not match ID")),"ID not found"))</f>
        <v/>
      </c>
      <c r="G247" s="139"/>
      <c r="H247" s="138" t="str">
        <f>IF(G247="","",IF(ISNUMBER(SEARCH(",",G247)),"Several items (the script lists them)",IFERROR(INDEX('Dashboard Items'!$B$2:$B$495,MATCH(G247,'Dashboard Items'!$A$2:$A$495,0))&amp;": "&amp;INDEX('Dashboard Items'!$C$2:$C$495,MATCH(G247,'Dashboard Items'!$A$2:$A$495,0)),"ID not found")))</f>
        <v/>
      </c>
      <c r="I247" s="137"/>
      <c r="J247" s="137"/>
      <c r="K247" s="137"/>
      <c r="L247" s="137"/>
      <c r="M247" s="137"/>
      <c r="N247" s="137"/>
      <c r="O247" s="137"/>
      <c r="P247" s="137"/>
      <c r="Q247" s="137"/>
      <c r="R247" s="137"/>
      <c r="S247" s="137"/>
      <c r="T247" s="137"/>
      <c r="U247" s="99" t="str">
        <f>IF(B247="","",IF(IF(D247&lt;&gt;"",D247,IFERROR(INDEX('Dashboard Items'!$B$2:$B$495,MATCH(E247,'Dashboard Items'!$A$2:$A$495,0)),""))="Key Service",IF(O247="No","Key Service: shown, not counted","Counts in Key Service gauge"),IF(IF(D247&lt;&gt;"",D247,IFERROR(INDEX('Dashboard Items'!$B$2:$B$495,MATCH(E247,'Dashboard Items'!$A$2:$A$495,0)),""))="Program",IF(ISNUMBER(SEARCH("ks",G247)),IF(O247="No","Program, also at Key Service: not counted","Counts in Key Service gauge + sets Program chip"),IF(O247="No","Program: shown, no status chip","Sets Program status chip")),IF(IF(D247&lt;&gt;"",D247,IFERROR(INDEX('Dashboard Items'!$B$2:$B$495,MATCH(E247,'Dashboard Items'!$A$2:$A$495,0)),""))="Work System","Work System: shown, not counted","Check Level"))))</f>
        <v/>
      </c>
    </row>
    <row r="248" spans="2:21" ht="15" customHeight="1" x14ac:dyDescent="0.2">
      <c r="B248" s="137"/>
      <c r="C248" s="137"/>
      <c r="D248" s="137"/>
      <c r="E248" s="137"/>
      <c r="F248" s="138" t="str">
        <f>IF(E248="","",IFERROR(IF(INDEX('Dashboard Items'!$B$2:$B$495,MATCH(E248,'Dashboard Items'!$A$2:$A$495,0))="Objective","Objectives go in the next column",IF(OR(D248="",INDEX('Dashboard Items'!$B$2:$B$495,MATCH(E248,'Dashboard Items'!$A$2:$A$495,0))=D248),INDEX('Dashboard Items'!$C$2:$C$495,MATCH(E248,'Dashboard Items'!$A$2:$A$495,0)),"Level does not match ID")),"ID not found"))</f>
        <v/>
      </c>
      <c r="G248" s="139"/>
      <c r="H248" s="138" t="str">
        <f>IF(G248="","",IF(ISNUMBER(SEARCH(",",G248)),"Several items (the script lists them)",IFERROR(INDEX('Dashboard Items'!$B$2:$B$495,MATCH(G248,'Dashboard Items'!$A$2:$A$495,0))&amp;": "&amp;INDEX('Dashboard Items'!$C$2:$C$495,MATCH(G248,'Dashboard Items'!$A$2:$A$495,0)),"ID not found")))</f>
        <v/>
      </c>
      <c r="I248" s="137"/>
      <c r="J248" s="137"/>
      <c r="K248" s="137"/>
      <c r="L248" s="137"/>
      <c r="M248" s="137"/>
      <c r="N248" s="137"/>
      <c r="O248" s="137"/>
      <c r="P248" s="137"/>
      <c r="Q248" s="137"/>
      <c r="R248" s="137"/>
      <c r="S248" s="137"/>
      <c r="T248" s="137"/>
      <c r="U248" s="99" t="str">
        <f>IF(B248="","",IF(IF(D248&lt;&gt;"",D248,IFERROR(INDEX('Dashboard Items'!$B$2:$B$495,MATCH(E248,'Dashboard Items'!$A$2:$A$495,0)),""))="Key Service",IF(O248="No","Key Service: shown, not counted","Counts in Key Service gauge"),IF(IF(D248&lt;&gt;"",D248,IFERROR(INDEX('Dashboard Items'!$B$2:$B$495,MATCH(E248,'Dashboard Items'!$A$2:$A$495,0)),""))="Program",IF(ISNUMBER(SEARCH("ks",G248)),IF(O248="No","Program, also at Key Service: not counted","Counts in Key Service gauge + sets Program chip"),IF(O248="No","Program: shown, no status chip","Sets Program status chip")),IF(IF(D248&lt;&gt;"",D248,IFERROR(INDEX('Dashboard Items'!$B$2:$B$495,MATCH(E248,'Dashboard Items'!$A$2:$A$495,0)),""))="Work System","Work System: shown, not counted","Check Level"))))</f>
        <v/>
      </c>
    </row>
    <row r="249" spans="2:21" ht="15" customHeight="1" x14ac:dyDescent="0.2">
      <c r="B249" s="137"/>
      <c r="C249" s="137"/>
      <c r="D249" s="137"/>
      <c r="E249" s="137"/>
      <c r="F249" s="138" t="str">
        <f>IF(E249="","",IFERROR(IF(INDEX('Dashboard Items'!$B$2:$B$495,MATCH(E249,'Dashboard Items'!$A$2:$A$495,0))="Objective","Objectives go in the next column",IF(OR(D249="",INDEX('Dashboard Items'!$B$2:$B$495,MATCH(E249,'Dashboard Items'!$A$2:$A$495,0))=D249),INDEX('Dashboard Items'!$C$2:$C$495,MATCH(E249,'Dashboard Items'!$A$2:$A$495,0)),"Level does not match ID")),"ID not found"))</f>
        <v/>
      </c>
      <c r="G249" s="139"/>
      <c r="H249" s="138" t="str">
        <f>IF(G249="","",IF(ISNUMBER(SEARCH(",",G249)),"Several items (the script lists them)",IFERROR(INDEX('Dashboard Items'!$B$2:$B$495,MATCH(G249,'Dashboard Items'!$A$2:$A$495,0))&amp;": "&amp;INDEX('Dashboard Items'!$C$2:$C$495,MATCH(G249,'Dashboard Items'!$A$2:$A$495,0)),"ID not found")))</f>
        <v/>
      </c>
      <c r="I249" s="137"/>
      <c r="J249" s="137"/>
      <c r="K249" s="137"/>
      <c r="L249" s="137"/>
      <c r="M249" s="137"/>
      <c r="N249" s="137"/>
      <c r="O249" s="137"/>
      <c r="P249" s="137"/>
      <c r="Q249" s="137"/>
      <c r="R249" s="137"/>
      <c r="S249" s="137"/>
      <c r="T249" s="137"/>
      <c r="U249" s="99" t="str">
        <f>IF(B249="","",IF(IF(D249&lt;&gt;"",D249,IFERROR(INDEX('Dashboard Items'!$B$2:$B$495,MATCH(E249,'Dashboard Items'!$A$2:$A$495,0)),""))="Key Service",IF(O249="No","Key Service: shown, not counted","Counts in Key Service gauge"),IF(IF(D249&lt;&gt;"",D249,IFERROR(INDEX('Dashboard Items'!$B$2:$B$495,MATCH(E249,'Dashboard Items'!$A$2:$A$495,0)),""))="Program",IF(ISNUMBER(SEARCH("ks",G249)),IF(O249="No","Program, also at Key Service: not counted","Counts in Key Service gauge + sets Program chip"),IF(O249="No","Program: shown, no status chip","Sets Program status chip")),IF(IF(D249&lt;&gt;"",D249,IFERROR(INDEX('Dashboard Items'!$B$2:$B$495,MATCH(E249,'Dashboard Items'!$A$2:$A$495,0)),""))="Work System","Work System: shown, not counted","Check Level"))))</f>
        <v/>
      </c>
    </row>
    <row r="250" spans="2:21" ht="15" customHeight="1" x14ac:dyDescent="0.2">
      <c r="B250" s="137"/>
      <c r="C250" s="137"/>
      <c r="D250" s="137"/>
      <c r="E250" s="137"/>
      <c r="F250" s="138" t="str">
        <f>IF(E250="","",IFERROR(IF(INDEX('Dashboard Items'!$B$2:$B$495,MATCH(E250,'Dashboard Items'!$A$2:$A$495,0))="Objective","Objectives go in the next column",IF(OR(D250="",INDEX('Dashboard Items'!$B$2:$B$495,MATCH(E250,'Dashboard Items'!$A$2:$A$495,0))=D250),INDEX('Dashboard Items'!$C$2:$C$495,MATCH(E250,'Dashboard Items'!$A$2:$A$495,0)),"Level does not match ID")),"ID not found"))</f>
        <v/>
      </c>
      <c r="G250" s="139"/>
      <c r="H250" s="138" t="str">
        <f>IF(G250="","",IF(ISNUMBER(SEARCH(",",G250)),"Several items (the script lists them)",IFERROR(INDEX('Dashboard Items'!$B$2:$B$495,MATCH(G250,'Dashboard Items'!$A$2:$A$495,0))&amp;": "&amp;INDEX('Dashboard Items'!$C$2:$C$495,MATCH(G250,'Dashboard Items'!$A$2:$A$495,0)),"ID not found")))</f>
        <v/>
      </c>
      <c r="I250" s="137"/>
      <c r="J250" s="137"/>
      <c r="K250" s="137"/>
      <c r="L250" s="137"/>
      <c r="M250" s="137"/>
      <c r="N250" s="137"/>
      <c r="O250" s="137"/>
      <c r="P250" s="137"/>
      <c r="Q250" s="137"/>
      <c r="R250" s="137"/>
      <c r="S250" s="137"/>
      <c r="T250" s="137"/>
      <c r="U250" s="99" t="str">
        <f>IF(B250="","",IF(IF(D250&lt;&gt;"",D250,IFERROR(INDEX('Dashboard Items'!$B$2:$B$495,MATCH(E250,'Dashboard Items'!$A$2:$A$495,0)),""))="Key Service",IF(O250="No","Key Service: shown, not counted","Counts in Key Service gauge"),IF(IF(D250&lt;&gt;"",D250,IFERROR(INDEX('Dashboard Items'!$B$2:$B$495,MATCH(E250,'Dashboard Items'!$A$2:$A$495,0)),""))="Program",IF(ISNUMBER(SEARCH("ks",G250)),IF(O250="No","Program, also at Key Service: not counted","Counts in Key Service gauge + sets Program chip"),IF(O250="No","Program: shown, no status chip","Sets Program status chip")),IF(IF(D250&lt;&gt;"",D250,IFERROR(INDEX('Dashboard Items'!$B$2:$B$495,MATCH(E250,'Dashboard Items'!$A$2:$A$495,0)),""))="Work System","Work System: shown, not counted","Check Level"))))</f>
        <v/>
      </c>
    </row>
    <row r="251" spans="2:21" ht="15" customHeight="1" x14ac:dyDescent="0.2">
      <c r="B251" s="137"/>
      <c r="C251" s="137"/>
      <c r="D251" s="137"/>
      <c r="E251" s="137"/>
      <c r="F251" s="138" t="str">
        <f>IF(E251="","",IFERROR(IF(INDEX('Dashboard Items'!$B$2:$B$495,MATCH(E251,'Dashboard Items'!$A$2:$A$495,0))="Objective","Objectives go in the next column",IF(OR(D251="",INDEX('Dashboard Items'!$B$2:$B$495,MATCH(E251,'Dashboard Items'!$A$2:$A$495,0))=D251),INDEX('Dashboard Items'!$C$2:$C$495,MATCH(E251,'Dashboard Items'!$A$2:$A$495,0)),"Level does not match ID")),"ID not found"))</f>
        <v/>
      </c>
      <c r="G251" s="139"/>
      <c r="H251" s="138" t="str">
        <f>IF(G251="","",IF(ISNUMBER(SEARCH(",",G251)),"Several items (the script lists them)",IFERROR(INDEX('Dashboard Items'!$B$2:$B$495,MATCH(G251,'Dashboard Items'!$A$2:$A$495,0))&amp;": "&amp;INDEX('Dashboard Items'!$C$2:$C$495,MATCH(G251,'Dashboard Items'!$A$2:$A$495,0)),"ID not found")))</f>
        <v/>
      </c>
      <c r="I251" s="137"/>
      <c r="J251" s="137"/>
      <c r="K251" s="137"/>
      <c r="L251" s="137"/>
      <c r="M251" s="137"/>
      <c r="N251" s="137"/>
      <c r="O251" s="137"/>
      <c r="P251" s="137"/>
      <c r="Q251" s="137"/>
      <c r="R251" s="137"/>
      <c r="S251" s="137"/>
      <c r="T251" s="137"/>
      <c r="U251" s="99" t="str">
        <f>IF(B251="","",IF(IF(D251&lt;&gt;"",D251,IFERROR(INDEX('Dashboard Items'!$B$2:$B$495,MATCH(E251,'Dashboard Items'!$A$2:$A$495,0)),""))="Key Service",IF(O251="No","Key Service: shown, not counted","Counts in Key Service gauge"),IF(IF(D251&lt;&gt;"",D251,IFERROR(INDEX('Dashboard Items'!$B$2:$B$495,MATCH(E251,'Dashboard Items'!$A$2:$A$495,0)),""))="Program",IF(ISNUMBER(SEARCH("ks",G251)),IF(O251="No","Program, also at Key Service: not counted","Counts in Key Service gauge + sets Program chip"),IF(O251="No","Program: shown, no status chip","Sets Program status chip")),IF(IF(D251&lt;&gt;"",D251,IFERROR(INDEX('Dashboard Items'!$B$2:$B$495,MATCH(E251,'Dashboard Items'!$A$2:$A$495,0)),""))="Work System","Work System: shown, not counted","Check Level"))))</f>
        <v/>
      </c>
    </row>
    <row r="252" spans="2:21" ht="15" customHeight="1" x14ac:dyDescent="0.2">
      <c r="B252" s="137"/>
      <c r="C252" s="137"/>
      <c r="D252" s="137"/>
      <c r="E252" s="137"/>
      <c r="F252" s="138" t="str">
        <f>IF(E252="","",IFERROR(IF(INDEX('Dashboard Items'!$B$2:$B$495,MATCH(E252,'Dashboard Items'!$A$2:$A$495,0))="Objective","Objectives go in the next column",IF(OR(D252="",INDEX('Dashboard Items'!$B$2:$B$495,MATCH(E252,'Dashboard Items'!$A$2:$A$495,0))=D252),INDEX('Dashboard Items'!$C$2:$C$495,MATCH(E252,'Dashboard Items'!$A$2:$A$495,0)),"Level does not match ID")),"ID not found"))</f>
        <v/>
      </c>
      <c r="G252" s="139"/>
      <c r="H252" s="138" t="str">
        <f>IF(G252="","",IF(ISNUMBER(SEARCH(",",G252)),"Several items (the script lists them)",IFERROR(INDEX('Dashboard Items'!$B$2:$B$495,MATCH(G252,'Dashboard Items'!$A$2:$A$495,0))&amp;": "&amp;INDEX('Dashboard Items'!$C$2:$C$495,MATCH(G252,'Dashboard Items'!$A$2:$A$495,0)),"ID not found")))</f>
        <v/>
      </c>
      <c r="I252" s="137"/>
      <c r="J252" s="137"/>
      <c r="K252" s="137"/>
      <c r="L252" s="137"/>
      <c r="M252" s="137"/>
      <c r="N252" s="137"/>
      <c r="O252" s="137"/>
      <c r="P252" s="137"/>
      <c r="Q252" s="137"/>
      <c r="R252" s="137"/>
      <c r="S252" s="137"/>
      <c r="T252" s="137"/>
      <c r="U252" s="99" t="str">
        <f>IF(B252="","",IF(IF(D252&lt;&gt;"",D252,IFERROR(INDEX('Dashboard Items'!$B$2:$B$495,MATCH(E252,'Dashboard Items'!$A$2:$A$495,0)),""))="Key Service",IF(O252="No","Key Service: shown, not counted","Counts in Key Service gauge"),IF(IF(D252&lt;&gt;"",D252,IFERROR(INDEX('Dashboard Items'!$B$2:$B$495,MATCH(E252,'Dashboard Items'!$A$2:$A$495,0)),""))="Program",IF(ISNUMBER(SEARCH("ks",G252)),IF(O252="No","Program, also at Key Service: not counted","Counts in Key Service gauge + sets Program chip"),IF(O252="No","Program: shown, no status chip","Sets Program status chip")),IF(IF(D252&lt;&gt;"",D252,IFERROR(INDEX('Dashboard Items'!$B$2:$B$495,MATCH(E252,'Dashboard Items'!$A$2:$A$495,0)),""))="Work System","Work System: shown, not counted","Check Level"))))</f>
        <v/>
      </c>
    </row>
    <row r="253" spans="2:21" ht="15" customHeight="1" x14ac:dyDescent="0.2">
      <c r="B253" s="137"/>
      <c r="C253" s="137"/>
      <c r="D253" s="137"/>
      <c r="E253" s="137"/>
      <c r="F253" s="138" t="str">
        <f>IF(E253="","",IFERROR(IF(INDEX('Dashboard Items'!$B$2:$B$495,MATCH(E253,'Dashboard Items'!$A$2:$A$495,0))="Objective","Objectives go in the next column",IF(OR(D253="",INDEX('Dashboard Items'!$B$2:$B$495,MATCH(E253,'Dashboard Items'!$A$2:$A$495,0))=D253),INDEX('Dashboard Items'!$C$2:$C$495,MATCH(E253,'Dashboard Items'!$A$2:$A$495,0)),"Level does not match ID")),"ID not found"))</f>
        <v/>
      </c>
      <c r="G253" s="139"/>
      <c r="H253" s="138" t="str">
        <f>IF(G253="","",IF(ISNUMBER(SEARCH(",",G253)),"Several items (the script lists them)",IFERROR(INDEX('Dashboard Items'!$B$2:$B$495,MATCH(G253,'Dashboard Items'!$A$2:$A$495,0))&amp;": "&amp;INDEX('Dashboard Items'!$C$2:$C$495,MATCH(G253,'Dashboard Items'!$A$2:$A$495,0)),"ID not found")))</f>
        <v/>
      </c>
      <c r="I253" s="137"/>
      <c r="J253" s="137"/>
      <c r="K253" s="137"/>
      <c r="L253" s="137"/>
      <c r="M253" s="137"/>
      <c r="N253" s="137"/>
      <c r="O253" s="137"/>
      <c r="P253" s="137"/>
      <c r="Q253" s="137"/>
      <c r="R253" s="137"/>
      <c r="S253" s="137"/>
      <c r="T253" s="137"/>
      <c r="U253" s="99" t="str">
        <f>IF(B253="","",IF(IF(D253&lt;&gt;"",D253,IFERROR(INDEX('Dashboard Items'!$B$2:$B$495,MATCH(E253,'Dashboard Items'!$A$2:$A$495,0)),""))="Key Service",IF(O253="No","Key Service: shown, not counted","Counts in Key Service gauge"),IF(IF(D253&lt;&gt;"",D253,IFERROR(INDEX('Dashboard Items'!$B$2:$B$495,MATCH(E253,'Dashboard Items'!$A$2:$A$495,0)),""))="Program",IF(ISNUMBER(SEARCH("ks",G253)),IF(O253="No","Program, also at Key Service: not counted","Counts in Key Service gauge + sets Program chip"),IF(O253="No","Program: shown, no status chip","Sets Program status chip")),IF(IF(D253&lt;&gt;"",D253,IFERROR(INDEX('Dashboard Items'!$B$2:$B$495,MATCH(E253,'Dashboard Items'!$A$2:$A$495,0)),""))="Work System","Work System: shown, not counted","Check Level"))))</f>
        <v/>
      </c>
    </row>
    <row r="254" spans="2:21" ht="15" customHeight="1" x14ac:dyDescent="0.2">
      <c r="B254" s="137"/>
      <c r="C254" s="137"/>
      <c r="D254" s="137"/>
      <c r="E254" s="137"/>
      <c r="F254" s="138" t="str">
        <f>IF(E254="","",IFERROR(IF(INDEX('Dashboard Items'!$B$2:$B$495,MATCH(E254,'Dashboard Items'!$A$2:$A$495,0))="Objective","Objectives go in the next column",IF(OR(D254="",INDEX('Dashboard Items'!$B$2:$B$495,MATCH(E254,'Dashboard Items'!$A$2:$A$495,0))=D254),INDEX('Dashboard Items'!$C$2:$C$495,MATCH(E254,'Dashboard Items'!$A$2:$A$495,0)),"Level does not match ID")),"ID not found"))</f>
        <v/>
      </c>
      <c r="G254" s="139"/>
      <c r="H254" s="138" t="str">
        <f>IF(G254="","",IF(ISNUMBER(SEARCH(",",G254)),"Several items (the script lists them)",IFERROR(INDEX('Dashboard Items'!$B$2:$B$495,MATCH(G254,'Dashboard Items'!$A$2:$A$495,0))&amp;": "&amp;INDEX('Dashboard Items'!$C$2:$C$495,MATCH(G254,'Dashboard Items'!$A$2:$A$495,0)),"ID not found")))</f>
        <v/>
      </c>
      <c r="I254" s="137"/>
      <c r="J254" s="137"/>
      <c r="K254" s="137"/>
      <c r="L254" s="137"/>
      <c r="M254" s="137"/>
      <c r="N254" s="137"/>
      <c r="O254" s="137"/>
      <c r="P254" s="137"/>
      <c r="Q254" s="137"/>
      <c r="R254" s="137"/>
      <c r="S254" s="137"/>
      <c r="T254" s="137"/>
      <c r="U254" s="99" t="str">
        <f>IF(B254="","",IF(IF(D254&lt;&gt;"",D254,IFERROR(INDEX('Dashboard Items'!$B$2:$B$495,MATCH(E254,'Dashboard Items'!$A$2:$A$495,0)),""))="Key Service",IF(O254="No","Key Service: shown, not counted","Counts in Key Service gauge"),IF(IF(D254&lt;&gt;"",D254,IFERROR(INDEX('Dashboard Items'!$B$2:$B$495,MATCH(E254,'Dashboard Items'!$A$2:$A$495,0)),""))="Program",IF(ISNUMBER(SEARCH("ks",G254)),IF(O254="No","Program, also at Key Service: not counted","Counts in Key Service gauge + sets Program chip"),IF(O254="No","Program: shown, no status chip","Sets Program status chip")),IF(IF(D254&lt;&gt;"",D254,IFERROR(INDEX('Dashboard Items'!$B$2:$B$495,MATCH(E254,'Dashboard Items'!$A$2:$A$495,0)),""))="Work System","Work System: shown, not counted","Check Level"))))</f>
        <v/>
      </c>
    </row>
    <row r="255" spans="2:21" ht="15" customHeight="1" x14ac:dyDescent="0.2">
      <c r="B255" s="137"/>
      <c r="C255" s="137"/>
      <c r="D255" s="137"/>
      <c r="E255" s="137"/>
      <c r="F255" s="138" t="str">
        <f>IF(E255="","",IFERROR(IF(INDEX('Dashboard Items'!$B$2:$B$495,MATCH(E255,'Dashboard Items'!$A$2:$A$495,0))="Objective","Objectives go in the next column",IF(OR(D255="",INDEX('Dashboard Items'!$B$2:$B$495,MATCH(E255,'Dashboard Items'!$A$2:$A$495,0))=D255),INDEX('Dashboard Items'!$C$2:$C$495,MATCH(E255,'Dashboard Items'!$A$2:$A$495,0)),"Level does not match ID")),"ID not found"))</f>
        <v/>
      </c>
      <c r="G255" s="139"/>
      <c r="H255" s="138" t="str">
        <f>IF(G255="","",IF(ISNUMBER(SEARCH(",",G255)),"Several items (the script lists them)",IFERROR(INDEX('Dashboard Items'!$B$2:$B$495,MATCH(G255,'Dashboard Items'!$A$2:$A$495,0))&amp;": "&amp;INDEX('Dashboard Items'!$C$2:$C$495,MATCH(G255,'Dashboard Items'!$A$2:$A$495,0)),"ID not found")))</f>
        <v/>
      </c>
      <c r="I255" s="137"/>
      <c r="J255" s="137"/>
      <c r="K255" s="137"/>
      <c r="L255" s="137"/>
      <c r="M255" s="137"/>
      <c r="N255" s="137"/>
      <c r="O255" s="137"/>
      <c r="P255" s="137"/>
      <c r="Q255" s="137"/>
      <c r="R255" s="137"/>
      <c r="S255" s="137"/>
      <c r="T255" s="137"/>
      <c r="U255" s="99" t="str">
        <f>IF(B255="","",IF(IF(D255&lt;&gt;"",D255,IFERROR(INDEX('Dashboard Items'!$B$2:$B$495,MATCH(E255,'Dashboard Items'!$A$2:$A$495,0)),""))="Key Service",IF(O255="No","Key Service: shown, not counted","Counts in Key Service gauge"),IF(IF(D255&lt;&gt;"",D255,IFERROR(INDEX('Dashboard Items'!$B$2:$B$495,MATCH(E255,'Dashboard Items'!$A$2:$A$495,0)),""))="Program",IF(ISNUMBER(SEARCH("ks",G255)),IF(O255="No","Program, also at Key Service: not counted","Counts in Key Service gauge + sets Program chip"),IF(O255="No","Program: shown, no status chip","Sets Program status chip")),IF(IF(D255&lt;&gt;"",D255,IFERROR(INDEX('Dashboard Items'!$B$2:$B$495,MATCH(E255,'Dashboard Items'!$A$2:$A$495,0)),""))="Work System","Work System: shown, not counted","Check Level"))))</f>
        <v/>
      </c>
    </row>
    <row r="256" spans="2:21" ht="15" customHeight="1" x14ac:dyDescent="0.2">
      <c r="B256" s="137"/>
      <c r="C256" s="137"/>
      <c r="D256" s="137"/>
      <c r="E256" s="137"/>
      <c r="F256" s="138" t="str">
        <f>IF(E256="","",IFERROR(IF(INDEX('Dashboard Items'!$B$2:$B$495,MATCH(E256,'Dashboard Items'!$A$2:$A$495,0))="Objective","Objectives go in the next column",IF(OR(D256="",INDEX('Dashboard Items'!$B$2:$B$495,MATCH(E256,'Dashboard Items'!$A$2:$A$495,0))=D256),INDEX('Dashboard Items'!$C$2:$C$495,MATCH(E256,'Dashboard Items'!$A$2:$A$495,0)),"Level does not match ID")),"ID not found"))</f>
        <v/>
      </c>
      <c r="G256" s="139"/>
      <c r="H256" s="138" t="str">
        <f>IF(G256="","",IF(ISNUMBER(SEARCH(",",G256)),"Several items (the script lists them)",IFERROR(INDEX('Dashboard Items'!$B$2:$B$495,MATCH(G256,'Dashboard Items'!$A$2:$A$495,0))&amp;": "&amp;INDEX('Dashboard Items'!$C$2:$C$495,MATCH(G256,'Dashboard Items'!$A$2:$A$495,0)),"ID not found")))</f>
        <v/>
      </c>
      <c r="I256" s="137"/>
      <c r="J256" s="137"/>
      <c r="K256" s="137"/>
      <c r="L256" s="137"/>
      <c r="M256" s="137"/>
      <c r="N256" s="137"/>
      <c r="O256" s="137"/>
      <c r="P256" s="137"/>
      <c r="Q256" s="137"/>
      <c r="R256" s="137"/>
      <c r="S256" s="137"/>
      <c r="T256" s="137"/>
      <c r="U256" s="99" t="str">
        <f>IF(B256="","",IF(IF(D256&lt;&gt;"",D256,IFERROR(INDEX('Dashboard Items'!$B$2:$B$495,MATCH(E256,'Dashboard Items'!$A$2:$A$495,0)),""))="Key Service",IF(O256="No","Key Service: shown, not counted","Counts in Key Service gauge"),IF(IF(D256&lt;&gt;"",D256,IFERROR(INDEX('Dashboard Items'!$B$2:$B$495,MATCH(E256,'Dashboard Items'!$A$2:$A$495,0)),""))="Program",IF(ISNUMBER(SEARCH("ks",G256)),IF(O256="No","Program, also at Key Service: not counted","Counts in Key Service gauge + sets Program chip"),IF(O256="No","Program: shown, no status chip","Sets Program status chip")),IF(IF(D256&lt;&gt;"",D256,IFERROR(INDEX('Dashboard Items'!$B$2:$B$495,MATCH(E256,'Dashboard Items'!$A$2:$A$495,0)),""))="Work System","Work System: shown, not counted","Check Level"))))</f>
        <v/>
      </c>
    </row>
    <row r="257" spans="2:21" ht="15" customHeight="1" x14ac:dyDescent="0.2">
      <c r="B257" s="137"/>
      <c r="C257" s="137"/>
      <c r="D257" s="137"/>
      <c r="E257" s="137"/>
      <c r="F257" s="138" t="str">
        <f>IF(E257="","",IFERROR(IF(INDEX('Dashboard Items'!$B$2:$B$495,MATCH(E257,'Dashboard Items'!$A$2:$A$495,0))="Objective","Objectives go in the next column",IF(OR(D257="",INDEX('Dashboard Items'!$B$2:$B$495,MATCH(E257,'Dashboard Items'!$A$2:$A$495,0))=D257),INDEX('Dashboard Items'!$C$2:$C$495,MATCH(E257,'Dashboard Items'!$A$2:$A$495,0)),"Level does not match ID")),"ID not found"))</f>
        <v/>
      </c>
      <c r="G257" s="139"/>
      <c r="H257" s="138" t="str">
        <f>IF(G257="","",IF(ISNUMBER(SEARCH(",",G257)),"Several items (the script lists them)",IFERROR(INDEX('Dashboard Items'!$B$2:$B$495,MATCH(G257,'Dashboard Items'!$A$2:$A$495,0))&amp;": "&amp;INDEX('Dashboard Items'!$C$2:$C$495,MATCH(G257,'Dashboard Items'!$A$2:$A$495,0)),"ID not found")))</f>
        <v/>
      </c>
      <c r="I257" s="137"/>
      <c r="J257" s="137"/>
      <c r="K257" s="137"/>
      <c r="L257" s="137"/>
      <c r="M257" s="137"/>
      <c r="N257" s="137"/>
      <c r="O257" s="137"/>
      <c r="P257" s="137"/>
      <c r="Q257" s="137"/>
      <c r="R257" s="137"/>
      <c r="S257" s="137"/>
      <c r="T257" s="137"/>
      <c r="U257" s="99" t="str">
        <f>IF(B257="","",IF(IF(D257&lt;&gt;"",D257,IFERROR(INDEX('Dashboard Items'!$B$2:$B$495,MATCH(E257,'Dashboard Items'!$A$2:$A$495,0)),""))="Key Service",IF(O257="No","Key Service: shown, not counted","Counts in Key Service gauge"),IF(IF(D257&lt;&gt;"",D257,IFERROR(INDEX('Dashboard Items'!$B$2:$B$495,MATCH(E257,'Dashboard Items'!$A$2:$A$495,0)),""))="Program",IF(ISNUMBER(SEARCH("ks",G257)),IF(O257="No","Program, also at Key Service: not counted","Counts in Key Service gauge + sets Program chip"),IF(O257="No","Program: shown, no status chip","Sets Program status chip")),IF(IF(D257&lt;&gt;"",D257,IFERROR(INDEX('Dashboard Items'!$B$2:$B$495,MATCH(E257,'Dashboard Items'!$A$2:$A$495,0)),""))="Work System","Work System: shown, not counted","Check Level"))))</f>
        <v/>
      </c>
    </row>
    <row r="258" spans="2:21" ht="15" customHeight="1" x14ac:dyDescent="0.2">
      <c r="B258" s="137"/>
      <c r="C258" s="137"/>
      <c r="D258" s="137"/>
      <c r="E258" s="137"/>
      <c r="F258" s="138" t="str">
        <f>IF(E258="","",IFERROR(IF(INDEX('Dashboard Items'!$B$2:$B$495,MATCH(E258,'Dashboard Items'!$A$2:$A$495,0))="Objective","Objectives go in the next column",IF(OR(D258="",INDEX('Dashboard Items'!$B$2:$B$495,MATCH(E258,'Dashboard Items'!$A$2:$A$495,0))=D258),INDEX('Dashboard Items'!$C$2:$C$495,MATCH(E258,'Dashboard Items'!$A$2:$A$495,0)),"Level does not match ID")),"ID not found"))</f>
        <v/>
      </c>
      <c r="G258" s="139"/>
      <c r="H258" s="138" t="str">
        <f>IF(G258="","",IF(ISNUMBER(SEARCH(",",G258)),"Several items (the script lists them)",IFERROR(INDEX('Dashboard Items'!$B$2:$B$495,MATCH(G258,'Dashboard Items'!$A$2:$A$495,0))&amp;": "&amp;INDEX('Dashboard Items'!$C$2:$C$495,MATCH(G258,'Dashboard Items'!$A$2:$A$495,0)),"ID not found")))</f>
        <v/>
      </c>
      <c r="I258" s="137"/>
      <c r="J258" s="137"/>
      <c r="K258" s="137"/>
      <c r="L258" s="137"/>
      <c r="M258" s="137"/>
      <c r="N258" s="137"/>
      <c r="O258" s="137"/>
      <c r="P258" s="137"/>
      <c r="Q258" s="137"/>
      <c r="R258" s="137"/>
      <c r="S258" s="137"/>
      <c r="T258" s="137"/>
      <c r="U258" s="99" t="str">
        <f>IF(B258="","",IF(IF(D258&lt;&gt;"",D258,IFERROR(INDEX('Dashboard Items'!$B$2:$B$495,MATCH(E258,'Dashboard Items'!$A$2:$A$495,0)),""))="Key Service",IF(O258="No","Key Service: shown, not counted","Counts in Key Service gauge"),IF(IF(D258&lt;&gt;"",D258,IFERROR(INDEX('Dashboard Items'!$B$2:$B$495,MATCH(E258,'Dashboard Items'!$A$2:$A$495,0)),""))="Program",IF(ISNUMBER(SEARCH("ks",G258)),IF(O258="No","Program, also at Key Service: not counted","Counts in Key Service gauge + sets Program chip"),IF(O258="No","Program: shown, no status chip","Sets Program status chip")),IF(IF(D258&lt;&gt;"",D258,IFERROR(INDEX('Dashboard Items'!$B$2:$B$495,MATCH(E258,'Dashboard Items'!$A$2:$A$495,0)),""))="Work System","Work System: shown, not counted","Check Level"))))</f>
        <v/>
      </c>
    </row>
    <row r="259" spans="2:21" ht="15" customHeight="1" x14ac:dyDescent="0.2">
      <c r="B259" s="137"/>
      <c r="C259" s="137"/>
      <c r="D259" s="137"/>
      <c r="E259" s="137"/>
      <c r="F259" s="138" t="str">
        <f>IF(E259="","",IFERROR(IF(INDEX('Dashboard Items'!$B$2:$B$495,MATCH(E259,'Dashboard Items'!$A$2:$A$495,0))="Objective","Objectives go in the next column",IF(OR(D259="",INDEX('Dashboard Items'!$B$2:$B$495,MATCH(E259,'Dashboard Items'!$A$2:$A$495,0))=D259),INDEX('Dashboard Items'!$C$2:$C$495,MATCH(E259,'Dashboard Items'!$A$2:$A$495,0)),"Level does not match ID")),"ID not found"))</f>
        <v/>
      </c>
      <c r="G259" s="139"/>
      <c r="H259" s="138" t="str">
        <f>IF(G259="","",IF(ISNUMBER(SEARCH(",",G259)),"Several items (the script lists them)",IFERROR(INDEX('Dashboard Items'!$B$2:$B$495,MATCH(G259,'Dashboard Items'!$A$2:$A$495,0))&amp;": "&amp;INDEX('Dashboard Items'!$C$2:$C$495,MATCH(G259,'Dashboard Items'!$A$2:$A$495,0)),"ID not found")))</f>
        <v/>
      </c>
      <c r="I259" s="137"/>
      <c r="J259" s="137"/>
      <c r="K259" s="137"/>
      <c r="L259" s="137"/>
      <c r="M259" s="137"/>
      <c r="N259" s="137"/>
      <c r="O259" s="137"/>
      <c r="P259" s="137"/>
      <c r="Q259" s="137"/>
      <c r="R259" s="137"/>
      <c r="S259" s="137"/>
      <c r="T259" s="137"/>
      <c r="U259" s="99" t="str">
        <f>IF(B259="","",IF(IF(D259&lt;&gt;"",D259,IFERROR(INDEX('Dashboard Items'!$B$2:$B$495,MATCH(E259,'Dashboard Items'!$A$2:$A$495,0)),""))="Key Service",IF(O259="No","Key Service: shown, not counted","Counts in Key Service gauge"),IF(IF(D259&lt;&gt;"",D259,IFERROR(INDEX('Dashboard Items'!$B$2:$B$495,MATCH(E259,'Dashboard Items'!$A$2:$A$495,0)),""))="Program",IF(ISNUMBER(SEARCH("ks",G259)),IF(O259="No","Program, also at Key Service: not counted","Counts in Key Service gauge + sets Program chip"),IF(O259="No","Program: shown, no status chip","Sets Program status chip")),IF(IF(D259&lt;&gt;"",D259,IFERROR(INDEX('Dashboard Items'!$B$2:$B$495,MATCH(E259,'Dashboard Items'!$A$2:$A$495,0)),""))="Work System","Work System: shown, not counted","Check Level"))))</f>
        <v/>
      </c>
    </row>
    <row r="260" spans="2:21" ht="15" customHeight="1" x14ac:dyDescent="0.2">
      <c r="B260" s="137"/>
      <c r="C260" s="137"/>
      <c r="D260" s="137"/>
      <c r="E260" s="137"/>
      <c r="F260" s="138" t="str">
        <f>IF(E260="","",IFERROR(IF(INDEX('Dashboard Items'!$B$2:$B$495,MATCH(E260,'Dashboard Items'!$A$2:$A$495,0))="Objective","Objectives go in the next column",IF(OR(D260="",INDEX('Dashboard Items'!$B$2:$B$495,MATCH(E260,'Dashboard Items'!$A$2:$A$495,0))=D260),INDEX('Dashboard Items'!$C$2:$C$495,MATCH(E260,'Dashboard Items'!$A$2:$A$495,0)),"Level does not match ID")),"ID not found"))</f>
        <v/>
      </c>
      <c r="G260" s="139"/>
      <c r="H260" s="138" t="str">
        <f>IF(G260="","",IF(ISNUMBER(SEARCH(",",G260)),"Several items (the script lists them)",IFERROR(INDEX('Dashboard Items'!$B$2:$B$495,MATCH(G260,'Dashboard Items'!$A$2:$A$495,0))&amp;": "&amp;INDEX('Dashboard Items'!$C$2:$C$495,MATCH(G260,'Dashboard Items'!$A$2:$A$495,0)),"ID not found")))</f>
        <v/>
      </c>
      <c r="I260" s="137"/>
      <c r="J260" s="137"/>
      <c r="K260" s="137"/>
      <c r="L260" s="137"/>
      <c r="M260" s="137"/>
      <c r="N260" s="137"/>
      <c r="O260" s="137"/>
      <c r="P260" s="137"/>
      <c r="Q260" s="137"/>
      <c r="R260" s="137"/>
      <c r="S260" s="137"/>
      <c r="T260" s="137"/>
      <c r="U260" s="99" t="str">
        <f>IF(B260="","",IF(IF(D260&lt;&gt;"",D260,IFERROR(INDEX('Dashboard Items'!$B$2:$B$495,MATCH(E260,'Dashboard Items'!$A$2:$A$495,0)),""))="Key Service",IF(O260="No","Key Service: shown, not counted","Counts in Key Service gauge"),IF(IF(D260&lt;&gt;"",D260,IFERROR(INDEX('Dashboard Items'!$B$2:$B$495,MATCH(E260,'Dashboard Items'!$A$2:$A$495,0)),""))="Program",IF(ISNUMBER(SEARCH("ks",G260)),IF(O260="No","Program, also at Key Service: not counted","Counts in Key Service gauge + sets Program chip"),IF(O260="No","Program: shown, no status chip","Sets Program status chip")),IF(IF(D260&lt;&gt;"",D260,IFERROR(INDEX('Dashboard Items'!$B$2:$B$495,MATCH(E260,'Dashboard Items'!$A$2:$A$495,0)),""))="Work System","Work System: shown, not counted","Check Level"))))</f>
        <v/>
      </c>
    </row>
    <row r="261" spans="2:21" ht="15" customHeight="1" x14ac:dyDescent="0.2">
      <c r="B261" s="137"/>
      <c r="C261" s="137"/>
      <c r="D261" s="137"/>
      <c r="E261" s="137"/>
      <c r="F261" s="138" t="str">
        <f>IF(E261="","",IFERROR(IF(INDEX('Dashboard Items'!$B$2:$B$495,MATCH(E261,'Dashboard Items'!$A$2:$A$495,0))="Objective","Objectives go in the next column",IF(OR(D261="",INDEX('Dashboard Items'!$B$2:$B$495,MATCH(E261,'Dashboard Items'!$A$2:$A$495,0))=D261),INDEX('Dashboard Items'!$C$2:$C$495,MATCH(E261,'Dashboard Items'!$A$2:$A$495,0)),"Level does not match ID")),"ID not found"))</f>
        <v/>
      </c>
      <c r="G261" s="139"/>
      <c r="H261" s="138" t="str">
        <f>IF(G261="","",IF(ISNUMBER(SEARCH(",",G261)),"Several items (the script lists them)",IFERROR(INDEX('Dashboard Items'!$B$2:$B$495,MATCH(G261,'Dashboard Items'!$A$2:$A$495,0))&amp;": "&amp;INDEX('Dashboard Items'!$C$2:$C$495,MATCH(G261,'Dashboard Items'!$A$2:$A$495,0)),"ID not found")))</f>
        <v/>
      </c>
      <c r="I261" s="137"/>
      <c r="J261" s="137"/>
      <c r="K261" s="137"/>
      <c r="L261" s="137"/>
      <c r="M261" s="137"/>
      <c r="N261" s="137"/>
      <c r="O261" s="137"/>
      <c r="P261" s="137"/>
      <c r="Q261" s="137"/>
      <c r="R261" s="137"/>
      <c r="S261" s="137"/>
      <c r="T261" s="137"/>
      <c r="U261" s="99" t="str">
        <f>IF(B261="","",IF(IF(D261&lt;&gt;"",D261,IFERROR(INDEX('Dashboard Items'!$B$2:$B$495,MATCH(E261,'Dashboard Items'!$A$2:$A$495,0)),""))="Key Service",IF(O261="No","Key Service: shown, not counted","Counts in Key Service gauge"),IF(IF(D261&lt;&gt;"",D261,IFERROR(INDEX('Dashboard Items'!$B$2:$B$495,MATCH(E261,'Dashboard Items'!$A$2:$A$495,0)),""))="Program",IF(ISNUMBER(SEARCH("ks",G261)),IF(O261="No","Program, also at Key Service: not counted","Counts in Key Service gauge + sets Program chip"),IF(O261="No","Program: shown, no status chip","Sets Program status chip")),IF(IF(D261&lt;&gt;"",D261,IFERROR(INDEX('Dashboard Items'!$B$2:$B$495,MATCH(E261,'Dashboard Items'!$A$2:$A$495,0)),""))="Work System","Work System: shown, not counted","Check Level"))))</f>
        <v/>
      </c>
    </row>
    <row r="262" spans="2:21" ht="15" customHeight="1" x14ac:dyDescent="0.2">
      <c r="B262" s="137"/>
      <c r="C262" s="137"/>
      <c r="D262" s="137"/>
      <c r="E262" s="137"/>
      <c r="F262" s="138" t="str">
        <f>IF(E262="","",IFERROR(IF(INDEX('Dashboard Items'!$B$2:$B$495,MATCH(E262,'Dashboard Items'!$A$2:$A$495,0))="Objective","Objectives go in the next column",IF(OR(D262="",INDEX('Dashboard Items'!$B$2:$B$495,MATCH(E262,'Dashboard Items'!$A$2:$A$495,0))=D262),INDEX('Dashboard Items'!$C$2:$C$495,MATCH(E262,'Dashboard Items'!$A$2:$A$495,0)),"Level does not match ID")),"ID not found"))</f>
        <v/>
      </c>
      <c r="G262" s="139"/>
      <c r="H262" s="138" t="str">
        <f>IF(G262="","",IF(ISNUMBER(SEARCH(",",G262)),"Several items (the script lists them)",IFERROR(INDEX('Dashboard Items'!$B$2:$B$495,MATCH(G262,'Dashboard Items'!$A$2:$A$495,0))&amp;": "&amp;INDEX('Dashboard Items'!$C$2:$C$495,MATCH(G262,'Dashboard Items'!$A$2:$A$495,0)),"ID not found")))</f>
        <v/>
      </c>
      <c r="I262" s="137"/>
      <c r="J262" s="137"/>
      <c r="K262" s="137"/>
      <c r="L262" s="137"/>
      <c r="M262" s="137"/>
      <c r="N262" s="137"/>
      <c r="O262" s="137"/>
      <c r="P262" s="137"/>
      <c r="Q262" s="137"/>
      <c r="R262" s="137"/>
      <c r="S262" s="137"/>
      <c r="T262" s="137"/>
      <c r="U262" s="99" t="str">
        <f>IF(B262="","",IF(IF(D262&lt;&gt;"",D262,IFERROR(INDEX('Dashboard Items'!$B$2:$B$495,MATCH(E262,'Dashboard Items'!$A$2:$A$495,0)),""))="Key Service",IF(O262="No","Key Service: shown, not counted","Counts in Key Service gauge"),IF(IF(D262&lt;&gt;"",D262,IFERROR(INDEX('Dashboard Items'!$B$2:$B$495,MATCH(E262,'Dashboard Items'!$A$2:$A$495,0)),""))="Program",IF(ISNUMBER(SEARCH("ks",G262)),IF(O262="No","Program, also at Key Service: not counted","Counts in Key Service gauge + sets Program chip"),IF(O262="No","Program: shown, no status chip","Sets Program status chip")),IF(IF(D262&lt;&gt;"",D262,IFERROR(INDEX('Dashboard Items'!$B$2:$B$495,MATCH(E262,'Dashboard Items'!$A$2:$A$495,0)),""))="Work System","Work System: shown, not counted","Check Level"))))</f>
        <v/>
      </c>
    </row>
    <row r="263" spans="2:21" ht="15" customHeight="1" x14ac:dyDescent="0.2">
      <c r="B263" s="137"/>
      <c r="C263" s="137"/>
      <c r="D263" s="137"/>
      <c r="E263" s="137"/>
      <c r="F263" s="138" t="str">
        <f>IF(E263="","",IFERROR(IF(INDEX('Dashboard Items'!$B$2:$B$495,MATCH(E263,'Dashboard Items'!$A$2:$A$495,0))="Objective","Objectives go in the next column",IF(OR(D263="",INDEX('Dashboard Items'!$B$2:$B$495,MATCH(E263,'Dashboard Items'!$A$2:$A$495,0))=D263),INDEX('Dashboard Items'!$C$2:$C$495,MATCH(E263,'Dashboard Items'!$A$2:$A$495,0)),"Level does not match ID")),"ID not found"))</f>
        <v/>
      </c>
      <c r="G263" s="139"/>
      <c r="H263" s="138" t="str">
        <f>IF(G263="","",IF(ISNUMBER(SEARCH(",",G263)),"Several items (the script lists them)",IFERROR(INDEX('Dashboard Items'!$B$2:$B$495,MATCH(G263,'Dashboard Items'!$A$2:$A$495,0))&amp;": "&amp;INDEX('Dashboard Items'!$C$2:$C$495,MATCH(G263,'Dashboard Items'!$A$2:$A$495,0)),"ID not found")))</f>
        <v/>
      </c>
      <c r="I263" s="137"/>
      <c r="J263" s="137"/>
      <c r="K263" s="137"/>
      <c r="L263" s="137"/>
      <c r="M263" s="137"/>
      <c r="N263" s="137"/>
      <c r="O263" s="137"/>
      <c r="P263" s="137"/>
      <c r="Q263" s="137"/>
      <c r="R263" s="137"/>
      <c r="S263" s="137"/>
      <c r="T263" s="137"/>
      <c r="U263" s="99" t="str">
        <f>IF(B263="","",IF(IF(D263&lt;&gt;"",D263,IFERROR(INDEX('Dashboard Items'!$B$2:$B$495,MATCH(E263,'Dashboard Items'!$A$2:$A$495,0)),""))="Key Service",IF(O263="No","Key Service: shown, not counted","Counts in Key Service gauge"),IF(IF(D263&lt;&gt;"",D263,IFERROR(INDEX('Dashboard Items'!$B$2:$B$495,MATCH(E263,'Dashboard Items'!$A$2:$A$495,0)),""))="Program",IF(ISNUMBER(SEARCH("ks",G263)),IF(O263="No","Program, also at Key Service: not counted","Counts in Key Service gauge + sets Program chip"),IF(O263="No","Program: shown, no status chip","Sets Program status chip")),IF(IF(D263&lt;&gt;"",D263,IFERROR(INDEX('Dashboard Items'!$B$2:$B$495,MATCH(E263,'Dashboard Items'!$A$2:$A$495,0)),""))="Work System","Work System: shown, not counted","Check Level"))))</f>
        <v/>
      </c>
    </row>
    <row r="264" spans="2:21" ht="15" customHeight="1" x14ac:dyDescent="0.2">
      <c r="B264" s="137"/>
      <c r="C264" s="137"/>
      <c r="D264" s="137"/>
      <c r="E264" s="137"/>
      <c r="F264" s="138" t="str">
        <f>IF(E264="","",IFERROR(IF(INDEX('Dashboard Items'!$B$2:$B$495,MATCH(E264,'Dashboard Items'!$A$2:$A$495,0))="Objective","Objectives go in the next column",IF(OR(D264="",INDEX('Dashboard Items'!$B$2:$B$495,MATCH(E264,'Dashboard Items'!$A$2:$A$495,0))=D264),INDEX('Dashboard Items'!$C$2:$C$495,MATCH(E264,'Dashboard Items'!$A$2:$A$495,0)),"Level does not match ID")),"ID not found"))</f>
        <v/>
      </c>
      <c r="G264" s="139"/>
      <c r="H264" s="138" t="str">
        <f>IF(G264="","",IF(ISNUMBER(SEARCH(",",G264)),"Several items (the script lists them)",IFERROR(INDEX('Dashboard Items'!$B$2:$B$495,MATCH(G264,'Dashboard Items'!$A$2:$A$495,0))&amp;": "&amp;INDEX('Dashboard Items'!$C$2:$C$495,MATCH(G264,'Dashboard Items'!$A$2:$A$495,0)),"ID not found")))</f>
        <v/>
      </c>
      <c r="I264" s="137"/>
      <c r="J264" s="137"/>
      <c r="K264" s="137"/>
      <c r="L264" s="137"/>
      <c r="M264" s="137"/>
      <c r="N264" s="137"/>
      <c r="O264" s="137"/>
      <c r="P264" s="137"/>
      <c r="Q264" s="137"/>
      <c r="R264" s="137"/>
      <c r="S264" s="137"/>
      <c r="T264" s="137"/>
      <c r="U264" s="99" t="str">
        <f>IF(B264="","",IF(IF(D264&lt;&gt;"",D264,IFERROR(INDEX('Dashboard Items'!$B$2:$B$495,MATCH(E264,'Dashboard Items'!$A$2:$A$495,0)),""))="Key Service",IF(O264="No","Key Service: shown, not counted","Counts in Key Service gauge"),IF(IF(D264&lt;&gt;"",D264,IFERROR(INDEX('Dashboard Items'!$B$2:$B$495,MATCH(E264,'Dashboard Items'!$A$2:$A$495,0)),""))="Program",IF(ISNUMBER(SEARCH("ks",G264)),IF(O264="No","Program, also at Key Service: not counted","Counts in Key Service gauge + sets Program chip"),IF(O264="No","Program: shown, no status chip","Sets Program status chip")),IF(IF(D264&lt;&gt;"",D264,IFERROR(INDEX('Dashboard Items'!$B$2:$B$495,MATCH(E264,'Dashboard Items'!$A$2:$A$495,0)),""))="Work System","Work System: shown, not counted","Check Level"))))</f>
        <v/>
      </c>
    </row>
    <row r="265" spans="2:21" ht="15" customHeight="1" x14ac:dyDescent="0.2">
      <c r="B265" s="137"/>
      <c r="C265" s="137"/>
      <c r="D265" s="137"/>
      <c r="E265" s="137"/>
      <c r="F265" s="138" t="str">
        <f>IF(E265="","",IFERROR(IF(INDEX('Dashboard Items'!$B$2:$B$495,MATCH(E265,'Dashboard Items'!$A$2:$A$495,0))="Objective","Objectives go in the next column",IF(OR(D265="",INDEX('Dashboard Items'!$B$2:$B$495,MATCH(E265,'Dashboard Items'!$A$2:$A$495,0))=D265),INDEX('Dashboard Items'!$C$2:$C$495,MATCH(E265,'Dashboard Items'!$A$2:$A$495,0)),"Level does not match ID")),"ID not found"))</f>
        <v/>
      </c>
      <c r="G265" s="139"/>
      <c r="H265" s="138" t="str">
        <f>IF(G265="","",IF(ISNUMBER(SEARCH(",",G265)),"Several items (the script lists them)",IFERROR(INDEX('Dashboard Items'!$B$2:$B$495,MATCH(G265,'Dashboard Items'!$A$2:$A$495,0))&amp;": "&amp;INDEX('Dashboard Items'!$C$2:$C$495,MATCH(G265,'Dashboard Items'!$A$2:$A$495,0)),"ID not found")))</f>
        <v/>
      </c>
      <c r="I265" s="137"/>
      <c r="J265" s="137"/>
      <c r="K265" s="137"/>
      <c r="L265" s="137"/>
      <c r="M265" s="137"/>
      <c r="N265" s="137"/>
      <c r="O265" s="137"/>
      <c r="P265" s="137"/>
      <c r="Q265" s="137"/>
      <c r="R265" s="137"/>
      <c r="S265" s="137"/>
      <c r="T265" s="137"/>
      <c r="U265" s="99" t="str">
        <f>IF(B265="","",IF(IF(D265&lt;&gt;"",D265,IFERROR(INDEX('Dashboard Items'!$B$2:$B$495,MATCH(E265,'Dashboard Items'!$A$2:$A$495,0)),""))="Key Service",IF(O265="No","Key Service: shown, not counted","Counts in Key Service gauge"),IF(IF(D265&lt;&gt;"",D265,IFERROR(INDEX('Dashboard Items'!$B$2:$B$495,MATCH(E265,'Dashboard Items'!$A$2:$A$495,0)),""))="Program",IF(ISNUMBER(SEARCH("ks",G265)),IF(O265="No","Program, also at Key Service: not counted","Counts in Key Service gauge + sets Program chip"),IF(O265="No","Program: shown, no status chip","Sets Program status chip")),IF(IF(D265&lt;&gt;"",D265,IFERROR(INDEX('Dashboard Items'!$B$2:$B$495,MATCH(E265,'Dashboard Items'!$A$2:$A$495,0)),""))="Work System","Work System: shown, not counted","Check Level"))))</f>
        <v/>
      </c>
    </row>
    <row r="266" spans="2:21" ht="15" customHeight="1" x14ac:dyDescent="0.2">
      <c r="B266" s="137"/>
      <c r="C266" s="137"/>
      <c r="D266" s="137"/>
      <c r="E266" s="137"/>
      <c r="F266" s="138" t="str">
        <f>IF(E266="","",IFERROR(IF(INDEX('Dashboard Items'!$B$2:$B$495,MATCH(E266,'Dashboard Items'!$A$2:$A$495,0))="Objective","Objectives go in the next column",IF(OR(D266="",INDEX('Dashboard Items'!$B$2:$B$495,MATCH(E266,'Dashboard Items'!$A$2:$A$495,0))=D266),INDEX('Dashboard Items'!$C$2:$C$495,MATCH(E266,'Dashboard Items'!$A$2:$A$495,0)),"Level does not match ID")),"ID not found"))</f>
        <v/>
      </c>
      <c r="G266" s="139"/>
      <c r="H266" s="138" t="str">
        <f>IF(G266="","",IF(ISNUMBER(SEARCH(",",G266)),"Several items (the script lists them)",IFERROR(INDEX('Dashboard Items'!$B$2:$B$495,MATCH(G266,'Dashboard Items'!$A$2:$A$495,0))&amp;": "&amp;INDEX('Dashboard Items'!$C$2:$C$495,MATCH(G266,'Dashboard Items'!$A$2:$A$495,0)),"ID not found")))</f>
        <v/>
      </c>
      <c r="I266" s="137"/>
      <c r="J266" s="137"/>
      <c r="K266" s="137"/>
      <c r="L266" s="137"/>
      <c r="M266" s="137"/>
      <c r="N266" s="137"/>
      <c r="O266" s="137"/>
      <c r="P266" s="137"/>
      <c r="Q266" s="137"/>
      <c r="R266" s="137"/>
      <c r="S266" s="137"/>
      <c r="T266" s="137"/>
      <c r="U266" s="99" t="str">
        <f>IF(B266="","",IF(IF(D266&lt;&gt;"",D266,IFERROR(INDEX('Dashboard Items'!$B$2:$B$495,MATCH(E266,'Dashboard Items'!$A$2:$A$495,0)),""))="Key Service",IF(O266="No","Key Service: shown, not counted","Counts in Key Service gauge"),IF(IF(D266&lt;&gt;"",D266,IFERROR(INDEX('Dashboard Items'!$B$2:$B$495,MATCH(E266,'Dashboard Items'!$A$2:$A$495,0)),""))="Program",IF(ISNUMBER(SEARCH("ks",G266)),IF(O266="No","Program, also at Key Service: not counted","Counts in Key Service gauge + sets Program chip"),IF(O266="No","Program: shown, no status chip","Sets Program status chip")),IF(IF(D266&lt;&gt;"",D266,IFERROR(INDEX('Dashboard Items'!$B$2:$B$495,MATCH(E266,'Dashboard Items'!$A$2:$A$495,0)),""))="Work System","Work System: shown, not counted","Check Level"))))</f>
        <v/>
      </c>
    </row>
    <row r="267" spans="2:21" ht="15" customHeight="1" x14ac:dyDescent="0.2">
      <c r="B267" s="137"/>
      <c r="C267" s="137"/>
      <c r="D267" s="137"/>
      <c r="E267" s="137"/>
      <c r="F267" s="138" t="str">
        <f>IF(E267="","",IFERROR(IF(INDEX('Dashboard Items'!$B$2:$B$495,MATCH(E267,'Dashboard Items'!$A$2:$A$495,0))="Objective","Objectives go in the next column",IF(OR(D267="",INDEX('Dashboard Items'!$B$2:$B$495,MATCH(E267,'Dashboard Items'!$A$2:$A$495,0))=D267),INDEX('Dashboard Items'!$C$2:$C$495,MATCH(E267,'Dashboard Items'!$A$2:$A$495,0)),"Level does not match ID")),"ID not found"))</f>
        <v/>
      </c>
      <c r="G267" s="139"/>
      <c r="H267" s="138" t="str">
        <f>IF(G267="","",IF(ISNUMBER(SEARCH(",",G267)),"Several items (the script lists them)",IFERROR(INDEX('Dashboard Items'!$B$2:$B$495,MATCH(G267,'Dashboard Items'!$A$2:$A$495,0))&amp;": "&amp;INDEX('Dashboard Items'!$C$2:$C$495,MATCH(G267,'Dashboard Items'!$A$2:$A$495,0)),"ID not found")))</f>
        <v/>
      </c>
      <c r="I267" s="137"/>
      <c r="J267" s="137"/>
      <c r="K267" s="137"/>
      <c r="L267" s="137"/>
      <c r="M267" s="137"/>
      <c r="N267" s="137"/>
      <c r="O267" s="137"/>
      <c r="P267" s="137"/>
      <c r="Q267" s="137"/>
      <c r="R267" s="137"/>
      <c r="S267" s="137"/>
      <c r="T267" s="137"/>
      <c r="U267" s="99" t="str">
        <f>IF(B267="","",IF(IF(D267&lt;&gt;"",D267,IFERROR(INDEX('Dashboard Items'!$B$2:$B$495,MATCH(E267,'Dashboard Items'!$A$2:$A$495,0)),""))="Key Service",IF(O267="No","Key Service: shown, not counted","Counts in Key Service gauge"),IF(IF(D267&lt;&gt;"",D267,IFERROR(INDEX('Dashboard Items'!$B$2:$B$495,MATCH(E267,'Dashboard Items'!$A$2:$A$495,0)),""))="Program",IF(ISNUMBER(SEARCH("ks",G267)),IF(O267="No","Program, also at Key Service: not counted","Counts in Key Service gauge + sets Program chip"),IF(O267="No","Program: shown, no status chip","Sets Program status chip")),IF(IF(D267&lt;&gt;"",D267,IFERROR(INDEX('Dashboard Items'!$B$2:$B$495,MATCH(E267,'Dashboard Items'!$A$2:$A$495,0)),""))="Work System","Work System: shown, not counted","Check Level"))))</f>
        <v/>
      </c>
    </row>
    <row r="268" spans="2:21" ht="15" customHeight="1" x14ac:dyDescent="0.2">
      <c r="B268" s="137"/>
      <c r="C268" s="137"/>
      <c r="D268" s="137"/>
      <c r="E268" s="137"/>
      <c r="F268" s="138" t="str">
        <f>IF(E268="","",IFERROR(IF(INDEX('Dashboard Items'!$B$2:$B$495,MATCH(E268,'Dashboard Items'!$A$2:$A$495,0))="Objective","Objectives go in the next column",IF(OR(D268="",INDEX('Dashboard Items'!$B$2:$B$495,MATCH(E268,'Dashboard Items'!$A$2:$A$495,0))=D268),INDEX('Dashboard Items'!$C$2:$C$495,MATCH(E268,'Dashboard Items'!$A$2:$A$495,0)),"Level does not match ID")),"ID not found"))</f>
        <v/>
      </c>
      <c r="G268" s="139"/>
      <c r="H268" s="138" t="str">
        <f>IF(G268="","",IF(ISNUMBER(SEARCH(",",G268)),"Several items (the script lists them)",IFERROR(INDEX('Dashboard Items'!$B$2:$B$495,MATCH(G268,'Dashboard Items'!$A$2:$A$495,0))&amp;": "&amp;INDEX('Dashboard Items'!$C$2:$C$495,MATCH(G268,'Dashboard Items'!$A$2:$A$495,0)),"ID not found")))</f>
        <v/>
      </c>
      <c r="I268" s="137"/>
      <c r="J268" s="137"/>
      <c r="K268" s="137"/>
      <c r="L268" s="137"/>
      <c r="M268" s="137"/>
      <c r="N268" s="137"/>
      <c r="O268" s="137"/>
      <c r="P268" s="137"/>
      <c r="Q268" s="137"/>
      <c r="R268" s="137"/>
      <c r="S268" s="137"/>
      <c r="T268" s="137"/>
      <c r="U268" s="99" t="str">
        <f>IF(B268="","",IF(IF(D268&lt;&gt;"",D268,IFERROR(INDEX('Dashboard Items'!$B$2:$B$495,MATCH(E268,'Dashboard Items'!$A$2:$A$495,0)),""))="Key Service",IF(O268="No","Key Service: shown, not counted","Counts in Key Service gauge"),IF(IF(D268&lt;&gt;"",D268,IFERROR(INDEX('Dashboard Items'!$B$2:$B$495,MATCH(E268,'Dashboard Items'!$A$2:$A$495,0)),""))="Program",IF(ISNUMBER(SEARCH("ks",G268)),IF(O268="No","Program, also at Key Service: not counted","Counts in Key Service gauge + sets Program chip"),IF(O268="No","Program: shown, no status chip","Sets Program status chip")),IF(IF(D268&lt;&gt;"",D268,IFERROR(INDEX('Dashboard Items'!$B$2:$B$495,MATCH(E268,'Dashboard Items'!$A$2:$A$495,0)),""))="Work System","Work System: shown, not counted","Check Level"))))</f>
        <v/>
      </c>
    </row>
    <row r="269" spans="2:21" ht="15" customHeight="1" x14ac:dyDescent="0.2">
      <c r="B269" s="137"/>
      <c r="C269" s="137"/>
      <c r="D269" s="137"/>
      <c r="E269" s="137"/>
      <c r="F269" s="138" t="str">
        <f>IF(E269="","",IFERROR(IF(INDEX('Dashboard Items'!$B$2:$B$495,MATCH(E269,'Dashboard Items'!$A$2:$A$495,0))="Objective","Objectives go in the next column",IF(OR(D269="",INDEX('Dashboard Items'!$B$2:$B$495,MATCH(E269,'Dashboard Items'!$A$2:$A$495,0))=D269),INDEX('Dashboard Items'!$C$2:$C$495,MATCH(E269,'Dashboard Items'!$A$2:$A$495,0)),"Level does not match ID")),"ID not found"))</f>
        <v/>
      </c>
      <c r="G269" s="139"/>
      <c r="H269" s="138" t="str">
        <f>IF(G269="","",IF(ISNUMBER(SEARCH(",",G269)),"Several items (the script lists them)",IFERROR(INDEX('Dashboard Items'!$B$2:$B$495,MATCH(G269,'Dashboard Items'!$A$2:$A$495,0))&amp;": "&amp;INDEX('Dashboard Items'!$C$2:$C$495,MATCH(G269,'Dashboard Items'!$A$2:$A$495,0)),"ID not found")))</f>
        <v/>
      </c>
      <c r="I269" s="137"/>
      <c r="J269" s="137"/>
      <c r="K269" s="137"/>
      <c r="L269" s="137"/>
      <c r="M269" s="137"/>
      <c r="N269" s="137"/>
      <c r="O269" s="137"/>
      <c r="P269" s="137"/>
      <c r="Q269" s="137"/>
      <c r="R269" s="137"/>
      <c r="S269" s="137"/>
      <c r="T269" s="137"/>
      <c r="U269" s="99" t="str">
        <f>IF(B269="","",IF(IF(D269&lt;&gt;"",D269,IFERROR(INDEX('Dashboard Items'!$B$2:$B$495,MATCH(E269,'Dashboard Items'!$A$2:$A$495,0)),""))="Key Service",IF(O269="No","Key Service: shown, not counted","Counts in Key Service gauge"),IF(IF(D269&lt;&gt;"",D269,IFERROR(INDEX('Dashboard Items'!$B$2:$B$495,MATCH(E269,'Dashboard Items'!$A$2:$A$495,0)),""))="Program",IF(ISNUMBER(SEARCH("ks",G269)),IF(O269="No","Program, also at Key Service: not counted","Counts in Key Service gauge + sets Program chip"),IF(O269="No","Program: shown, no status chip","Sets Program status chip")),IF(IF(D269&lt;&gt;"",D269,IFERROR(INDEX('Dashboard Items'!$B$2:$B$495,MATCH(E269,'Dashboard Items'!$A$2:$A$495,0)),""))="Work System","Work System: shown, not counted","Check Level"))))</f>
        <v/>
      </c>
    </row>
    <row r="270" spans="2:21" ht="15" customHeight="1" x14ac:dyDescent="0.2">
      <c r="B270" s="137"/>
      <c r="C270" s="137"/>
      <c r="D270" s="137"/>
      <c r="E270" s="137"/>
      <c r="F270" s="138" t="str">
        <f>IF(E270="","",IFERROR(IF(INDEX('Dashboard Items'!$B$2:$B$495,MATCH(E270,'Dashboard Items'!$A$2:$A$495,0))="Objective","Objectives go in the next column",IF(OR(D270="",INDEX('Dashboard Items'!$B$2:$B$495,MATCH(E270,'Dashboard Items'!$A$2:$A$495,0))=D270),INDEX('Dashboard Items'!$C$2:$C$495,MATCH(E270,'Dashboard Items'!$A$2:$A$495,0)),"Level does not match ID")),"ID not found"))</f>
        <v/>
      </c>
      <c r="G270" s="139"/>
      <c r="H270" s="138" t="str">
        <f>IF(G270="","",IF(ISNUMBER(SEARCH(",",G270)),"Several items (the script lists them)",IFERROR(INDEX('Dashboard Items'!$B$2:$B$495,MATCH(G270,'Dashboard Items'!$A$2:$A$495,0))&amp;": "&amp;INDEX('Dashboard Items'!$C$2:$C$495,MATCH(G270,'Dashboard Items'!$A$2:$A$495,0)),"ID not found")))</f>
        <v/>
      </c>
      <c r="I270" s="137"/>
      <c r="J270" s="137"/>
      <c r="K270" s="137"/>
      <c r="L270" s="137"/>
      <c r="M270" s="137"/>
      <c r="N270" s="137"/>
      <c r="O270" s="137"/>
      <c r="P270" s="137"/>
      <c r="Q270" s="137"/>
      <c r="R270" s="137"/>
      <c r="S270" s="137"/>
      <c r="T270" s="137"/>
      <c r="U270" s="99" t="str">
        <f>IF(B270="","",IF(IF(D270&lt;&gt;"",D270,IFERROR(INDEX('Dashboard Items'!$B$2:$B$495,MATCH(E270,'Dashboard Items'!$A$2:$A$495,0)),""))="Key Service",IF(O270="No","Key Service: shown, not counted","Counts in Key Service gauge"),IF(IF(D270&lt;&gt;"",D270,IFERROR(INDEX('Dashboard Items'!$B$2:$B$495,MATCH(E270,'Dashboard Items'!$A$2:$A$495,0)),""))="Program",IF(ISNUMBER(SEARCH("ks",G270)),IF(O270="No","Program, also at Key Service: not counted","Counts in Key Service gauge + sets Program chip"),IF(O270="No","Program: shown, no status chip","Sets Program status chip")),IF(IF(D270&lt;&gt;"",D270,IFERROR(INDEX('Dashboard Items'!$B$2:$B$495,MATCH(E270,'Dashboard Items'!$A$2:$A$495,0)),""))="Work System","Work System: shown, not counted","Check Level"))))</f>
        <v/>
      </c>
    </row>
    <row r="271" spans="2:21" ht="15" customHeight="1" x14ac:dyDescent="0.2">
      <c r="B271" s="137"/>
      <c r="C271" s="137"/>
      <c r="D271" s="137"/>
      <c r="E271" s="137"/>
      <c r="F271" s="138" t="str">
        <f>IF(E271="","",IFERROR(IF(INDEX('Dashboard Items'!$B$2:$B$495,MATCH(E271,'Dashboard Items'!$A$2:$A$495,0))="Objective","Objectives go in the next column",IF(OR(D271="",INDEX('Dashboard Items'!$B$2:$B$495,MATCH(E271,'Dashboard Items'!$A$2:$A$495,0))=D271),INDEX('Dashboard Items'!$C$2:$C$495,MATCH(E271,'Dashboard Items'!$A$2:$A$495,0)),"Level does not match ID")),"ID not found"))</f>
        <v/>
      </c>
      <c r="G271" s="139"/>
      <c r="H271" s="138" t="str">
        <f>IF(G271="","",IF(ISNUMBER(SEARCH(",",G271)),"Several items (the script lists them)",IFERROR(INDEX('Dashboard Items'!$B$2:$B$495,MATCH(G271,'Dashboard Items'!$A$2:$A$495,0))&amp;": "&amp;INDEX('Dashboard Items'!$C$2:$C$495,MATCH(G271,'Dashboard Items'!$A$2:$A$495,0)),"ID not found")))</f>
        <v/>
      </c>
      <c r="I271" s="137"/>
      <c r="J271" s="137"/>
      <c r="K271" s="137"/>
      <c r="L271" s="137"/>
      <c r="M271" s="137"/>
      <c r="N271" s="137"/>
      <c r="O271" s="137"/>
      <c r="P271" s="137"/>
      <c r="Q271" s="137"/>
      <c r="R271" s="137"/>
      <c r="S271" s="137"/>
      <c r="T271" s="137"/>
      <c r="U271" s="99" t="str">
        <f>IF(B271="","",IF(IF(D271&lt;&gt;"",D271,IFERROR(INDEX('Dashboard Items'!$B$2:$B$495,MATCH(E271,'Dashboard Items'!$A$2:$A$495,0)),""))="Key Service",IF(O271="No","Key Service: shown, not counted","Counts in Key Service gauge"),IF(IF(D271&lt;&gt;"",D271,IFERROR(INDEX('Dashboard Items'!$B$2:$B$495,MATCH(E271,'Dashboard Items'!$A$2:$A$495,0)),""))="Program",IF(ISNUMBER(SEARCH("ks",G271)),IF(O271="No","Program, also at Key Service: not counted","Counts in Key Service gauge + sets Program chip"),IF(O271="No","Program: shown, no status chip","Sets Program status chip")),IF(IF(D271&lt;&gt;"",D271,IFERROR(INDEX('Dashboard Items'!$B$2:$B$495,MATCH(E271,'Dashboard Items'!$A$2:$A$495,0)),""))="Work System","Work System: shown, not counted","Check Level"))))</f>
        <v/>
      </c>
    </row>
    <row r="272" spans="2:21" ht="15" customHeight="1" x14ac:dyDescent="0.2">
      <c r="B272" s="137"/>
      <c r="C272" s="137"/>
      <c r="D272" s="137"/>
      <c r="E272" s="137"/>
      <c r="F272" s="138" t="str">
        <f>IF(E272="","",IFERROR(IF(INDEX('Dashboard Items'!$B$2:$B$495,MATCH(E272,'Dashboard Items'!$A$2:$A$495,0))="Objective","Objectives go in the next column",IF(OR(D272="",INDEX('Dashboard Items'!$B$2:$B$495,MATCH(E272,'Dashboard Items'!$A$2:$A$495,0))=D272),INDEX('Dashboard Items'!$C$2:$C$495,MATCH(E272,'Dashboard Items'!$A$2:$A$495,0)),"Level does not match ID")),"ID not found"))</f>
        <v/>
      </c>
      <c r="G272" s="139"/>
      <c r="H272" s="138" t="str">
        <f>IF(G272="","",IF(ISNUMBER(SEARCH(",",G272)),"Several items (the script lists them)",IFERROR(INDEX('Dashboard Items'!$B$2:$B$495,MATCH(G272,'Dashboard Items'!$A$2:$A$495,0))&amp;": "&amp;INDEX('Dashboard Items'!$C$2:$C$495,MATCH(G272,'Dashboard Items'!$A$2:$A$495,0)),"ID not found")))</f>
        <v/>
      </c>
      <c r="I272" s="137"/>
      <c r="J272" s="137"/>
      <c r="K272" s="137"/>
      <c r="L272" s="137"/>
      <c r="M272" s="137"/>
      <c r="N272" s="137"/>
      <c r="O272" s="137"/>
      <c r="P272" s="137"/>
      <c r="Q272" s="137"/>
      <c r="R272" s="137"/>
      <c r="S272" s="137"/>
      <c r="T272" s="137"/>
      <c r="U272" s="99" t="str">
        <f>IF(B272="","",IF(IF(D272&lt;&gt;"",D272,IFERROR(INDEX('Dashboard Items'!$B$2:$B$495,MATCH(E272,'Dashboard Items'!$A$2:$A$495,0)),""))="Key Service",IF(O272="No","Key Service: shown, not counted","Counts in Key Service gauge"),IF(IF(D272&lt;&gt;"",D272,IFERROR(INDEX('Dashboard Items'!$B$2:$B$495,MATCH(E272,'Dashboard Items'!$A$2:$A$495,0)),""))="Program",IF(ISNUMBER(SEARCH("ks",G272)),IF(O272="No","Program, also at Key Service: not counted","Counts in Key Service gauge + sets Program chip"),IF(O272="No","Program: shown, no status chip","Sets Program status chip")),IF(IF(D272&lt;&gt;"",D272,IFERROR(INDEX('Dashboard Items'!$B$2:$B$495,MATCH(E272,'Dashboard Items'!$A$2:$A$495,0)),""))="Work System","Work System: shown, not counted","Check Level"))))</f>
        <v/>
      </c>
    </row>
    <row r="273" spans="2:21" ht="15" customHeight="1" x14ac:dyDescent="0.2">
      <c r="B273" s="137"/>
      <c r="C273" s="137"/>
      <c r="D273" s="137"/>
      <c r="E273" s="137"/>
      <c r="F273" s="138" t="str">
        <f>IF(E273="","",IFERROR(IF(INDEX('Dashboard Items'!$B$2:$B$495,MATCH(E273,'Dashboard Items'!$A$2:$A$495,0))="Objective","Objectives go in the next column",IF(OR(D273="",INDEX('Dashboard Items'!$B$2:$B$495,MATCH(E273,'Dashboard Items'!$A$2:$A$495,0))=D273),INDEX('Dashboard Items'!$C$2:$C$495,MATCH(E273,'Dashboard Items'!$A$2:$A$495,0)),"Level does not match ID")),"ID not found"))</f>
        <v/>
      </c>
      <c r="G273" s="139"/>
      <c r="H273" s="138" t="str">
        <f>IF(G273="","",IF(ISNUMBER(SEARCH(",",G273)),"Several items (the script lists them)",IFERROR(INDEX('Dashboard Items'!$B$2:$B$495,MATCH(G273,'Dashboard Items'!$A$2:$A$495,0))&amp;": "&amp;INDEX('Dashboard Items'!$C$2:$C$495,MATCH(G273,'Dashboard Items'!$A$2:$A$495,0)),"ID not found")))</f>
        <v/>
      </c>
      <c r="I273" s="137"/>
      <c r="J273" s="137"/>
      <c r="K273" s="137"/>
      <c r="L273" s="137"/>
      <c r="M273" s="137"/>
      <c r="N273" s="137"/>
      <c r="O273" s="137"/>
      <c r="P273" s="137"/>
      <c r="Q273" s="137"/>
      <c r="R273" s="137"/>
      <c r="S273" s="137"/>
      <c r="T273" s="137"/>
      <c r="U273" s="99" t="str">
        <f>IF(B273="","",IF(IF(D273&lt;&gt;"",D273,IFERROR(INDEX('Dashboard Items'!$B$2:$B$495,MATCH(E273,'Dashboard Items'!$A$2:$A$495,0)),""))="Key Service",IF(O273="No","Key Service: shown, not counted","Counts in Key Service gauge"),IF(IF(D273&lt;&gt;"",D273,IFERROR(INDEX('Dashboard Items'!$B$2:$B$495,MATCH(E273,'Dashboard Items'!$A$2:$A$495,0)),""))="Program",IF(ISNUMBER(SEARCH("ks",G273)),IF(O273="No","Program, also at Key Service: not counted","Counts in Key Service gauge + sets Program chip"),IF(O273="No","Program: shown, no status chip","Sets Program status chip")),IF(IF(D273&lt;&gt;"",D273,IFERROR(INDEX('Dashboard Items'!$B$2:$B$495,MATCH(E273,'Dashboard Items'!$A$2:$A$495,0)),""))="Work System","Work System: shown, not counted","Check Level"))))</f>
        <v/>
      </c>
    </row>
    <row r="274" spans="2:21" ht="15" customHeight="1" x14ac:dyDescent="0.2">
      <c r="B274" s="137"/>
      <c r="C274" s="137"/>
      <c r="D274" s="137"/>
      <c r="E274" s="137"/>
      <c r="F274" s="138" t="str">
        <f>IF(E274="","",IFERROR(IF(INDEX('Dashboard Items'!$B$2:$B$495,MATCH(E274,'Dashboard Items'!$A$2:$A$495,0))="Objective","Objectives go in the next column",IF(OR(D274="",INDEX('Dashboard Items'!$B$2:$B$495,MATCH(E274,'Dashboard Items'!$A$2:$A$495,0))=D274),INDEX('Dashboard Items'!$C$2:$C$495,MATCH(E274,'Dashboard Items'!$A$2:$A$495,0)),"Level does not match ID")),"ID not found"))</f>
        <v/>
      </c>
      <c r="G274" s="139"/>
      <c r="H274" s="138" t="str">
        <f>IF(G274="","",IF(ISNUMBER(SEARCH(",",G274)),"Several items (the script lists them)",IFERROR(INDEX('Dashboard Items'!$B$2:$B$495,MATCH(G274,'Dashboard Items'!$A$2:$A$495,0))&amp;": "&amp;INDEX('Dashboard Items'!$C$2:$C$495,MATCH(G274,'Dashboard Items'!$A$2:$A$495,0)),"ID not found")))</f>
        <v/>
      </c>
      <c r="I274" s="137"/>
      <c r="J274" s="137"/>
      <c r="K274" s="137"/>
      <c r="L274" s="137"/>
      <c r="M274" s="137"/>
      <c r="N274" s="137"/>
      <c r="O274" s="137"/>
      <c r="P274" s="137"/>
      <c r="Q274" s="137"/>
      <c r="R274" s="137"/>
      <c r="S274" s="137"/>
      <c r="T274" s="137"/>
      <c r="U274" s="99" t="str">
        <f>IF(B274="","",IF(IF(D274&lt;&gt;"",D274,IFERROR(INDEX('Dashboard Items'!$B$2:$B$495,MATCH(E274,'Dashboard Items'!$A$2:$A$495,0)),""))="Key Service",IF(O274="No","Key Service: shown, not counted","Counts in Key Service gauge"),IF(IF(D274&lt;&gt;"",D274,IFERROR(INDEX('Dashboard Items'!$B$2:$B$495,MATCH(E274,'Dashboard Items'!$A$2:$A$495,0)),""))="Program",IF(ISNUMBER(SEARCH("ks",G274)),IF(O274="No","Program, also at Key Service: not counted","Counts in Key Service gauge + sets Program chip"),IF(O274="No","Program: shown, no status chip","Sets Program status chip")),IF(IF(D274&lt;&gt;"",D274,IFERROR(INDEX('Dashboard Items'!$B$2:$B$495,MATCH(E274,'Dashboard Items'!$A$2:$A$495,0)),""))="Work System","Work System: shown, not counted","Check Level"))))</f>
        <v/>
      </c>
    </row>
    <row r="275" spans="2:21" ht="15" customHeight="1" x14ac:dyDescent="0.2">
      <c r="B275" s="137"/>
      <c r="C275" s="137"/>
      <c r="D275" s="137"/>
      <c r="E275" s="137"/>
      <c r="F275" s="138" t="str">
        <f>IF(E275="","",IFERROR(IF(INDEX('Dashboard Items'!$B$2:$B$495,MATCH(E275,'Dashboard Items'!$A$2:$A$495,0))="Objective","Objectives go in the next column",IF(OR(D275="",INDEX('Dashboard Items'!$B$2:$B$495,MATCH(E275,'Dashboard Items'!$A$2:$A$495,0))=D275),INDEX('Dashboard Items'!$C$2:$C$495,MATCH(E275,'Dashboard Items'!$A$2:$A$495,0)),"Level does not match ID")),"ID not found"))</f>
        <v/>
      </c>
      <c r="G275" s="139"/>
      <c r="H275" s="138" t="str">
        <f>IF(G275="","",IF(ISNUMBER(SEARCH(",",G275)),"Several items (the script lists them)",IFERROR(INDEX('Dashboard Items'!$B$2:$B$495,MATCH(G275,'Dashboard Items'!$A$2:$A$495,0))&amp;": "&amp;INDEX('Dashboard Items'!$C$2:$C$495,MATCH(G275,'Dashboard Items'!$A$2:$A$495,0)),"ID not found")))</f>
        <v/>
      </c>
      <c r="I275" s="137"/>
      <c r="J275" s="137"/>
      <c r="K275" s="137"/>
      <c r="L275" s="137"/>
      <c r="M275" s="137"/>
      <c r="N275" s="137"/>
      <c r="O275" s="137"/>
      <c r="P275" s="137"/>
      <c r="Q275" s="137"/>
      <c r="R275" s="137"/>
      <c r="S275" s="137"/>
      <c r="T275" s="137"/>
      <c r="U275" s="99" t="str">
        <f>IF(B275="","",IF(IF(D275&lt;&gt;"",D275,IFERROR(INDEX('Dashboard Items'!$B$2:$B$495,MATCH(E275,'Dashboard Items'!$A$2:$A$495,0)),""))="Key Service",IF(O275="No","Key Service: shown, not counted","Counts in Key Service gauge"),IF(IF(D275&lt;&gt;"",D275,IFERROR(INDEX('Dashboard Items'!$B$2:$B$495,MATCH(E275,'Dashboard Items'!$A$2:$A$495,0)),""))="Program",IF(ISNUMBER(SEARCH("ks",G275)),IF(O275="No","Program, also at Key Service: not counted","Counts in Key Service gauge + sets Program chip"),IF(O275="No","Program: shown, no status chip","Sets Program status chip")),IF(IF(D275&lt;&gt;"",D275,IFERROR(INDEX('Dashboard Items'!$B$2:$B$495,MATCH(E275,'Dashboard Items'!$A$2:$A$495,0)),""))="Work System","Work System: shown, not counted","Check Level"))))</f>
        <v/>
      </c>
    </row>
    <row r="276" spans="2:21" ht="15" customHeight="1" x14ac:dyDescent="0.2">
      <c r="B276" s="137"/>
      <c r="C276" s="137"/>
      <c r="D276" s="137"/>
      <c r="E276" s="137"/>
      <c r="F276" s="138" t="str">
        <f>IF(E276="","",IFERROR(IF(INDEX('Dashboard Items'!$B$2:$B$495,MATCH(E276,'Dashboard Items'!$A$2:$A$495,0))="Objective","Objectives go in the next column",IF(OR(D276="",INDEX('Dashboard Items'!$B$2:$B$495,MATCH(E276,'Dashboard Items'!$A$2:$A$495,0))=D276),INDEX('Dashboard Items'!$C$2:$C$495,MATCH(E276,'Dashboard Items'!$A$2:$A$495,0)),"Level does not match ID")),"ID not found"))</f>
        <v/>
      </c>
      <c r="G276" s="139"/>
      <c r="H276" s="138" t="str">
        <f>IF(G276="","",IF(ISNUMBER(SEARCH(",",G276)),"Several items (the script lists them)",IFERROR(INDEX('Dashboard Items'!$B$2:$B$495,MATCH(G276,'Dashboard Items'!$A$2:$A$495,0))&amp;": "&amp;INDEX('Dashboard Items'!$C$2:$C$495,MATCH(G276,'Dashboard Items'!$A$2:$A$495,0)),"ID not found")))</f>
        <v/>
      </c>
      <c r="I276" s="137"/>
      <c r="J276" s="137"/>
      <c r="K276" s="137"/>
      <c r="L276" s="137"/>
      <c r="M276" s="137"/>
      <c r="N276" s="137"/>
      <c r="O276" s="137"/>
      <c r="P276" s="137"/>
      <c r="Q276" s="137"/>
      <c r="R276" s="137"/>
      <c r="S276" s="137"/>
      <c r="T276" s="137"/>
      <c r="U276" s="99" t="str">
        <f>IF(B276="","",IF(IF(D276&lt;&gt;"",D276,IFERROR(INDEX('Dashboard Items'!$B$2:$B$495,MATCH(E276,'Dashboard Items'!$A$2:$A$495,0)),""))="Key Service",IF(O276="No","Key Service: shown, not counted","Counts in Key Service gauge"),IF(IF(D276&lt;&gt;"",D276,IFERROR(INDEX('Dashboard Items'!$B$2:$B$495,MATCH(E276,'Dashboard Items'!$A$2:$A$495,0)),""))="Program",IF(ISNUMBER(SEARCH("ks",G276)),IF(O276="No","Program, also at Key Service: not counted","Counts in Key Service gauge + sets Program chip"),IF(O276="No","Program: shown, no status chip","Sets Program status chip")),IF(IF(D276&lt;&gt;"",D276,IFERROR(INDEX('Dashboard Items'!$B$2:$B$495,MATCH(E276,'Dashboard Items'!$A$2:$A$495,0)),""))="Work System","Work System: shown, not counted","Check Level"))))</f>
        <v/>
      </c>
    </row>
    <row r="277" spans="2:21" ht="15" customHeight="1" x14ac:dyDescent="0.2">
      <c r="B277" s="137"/>
      <c r="C277" s="137"/>
      <c r="D277" s="137"/>
      <c r="E277" s="137"/>
      <c r="F277" s="138" t="str">
        <f>IF(E277="","",IFERROR(IF(INDEX('Dashboard Items'!$B$2:$B$495,MATCH(E277,'Dashboard Items'!$A$2:$A$495,0))="Objective","Objectives go in the next column",IF(OR(D277="",INDEX('Dashboard Items'!$B$2:$B$495,MATCH(E277,'Dashboard Items'!$A$2:$A$495,0))=D277),INDEX('Dashboard Items'!$C$2:$C$495,MATCH(E277,'Dashboard Items'!$A$2:$A$495,0)),"Level does not match ID")),"ID not found"))</f>
        <v/>
      </c>
      <c r="G277" s="139"/>
      <c r="H277" s="138" t="str">
        <f>IF(G277="","",IF(ISNUMBER(SEARCH(",",G277)),"Several items (the script lists them)",IFERROR(INDEX('Dashboard Items'!$B$2:$B$495,MATCH(G277,'Dashboard Items'!$A$2:$A$495,0))&amp;": "&amp;INDEX('Dashboard Items'!$C$2:$C$495,MATCH(G277,'Dashboard Items'!$A$2:$A$495,0)),"ID not found")))</f>
        <v/>
      </c>
      <c r="I277" s="137"/>
      <c r="J277" s="137"/>
      <c r="K277" s="137"/>
      <c r="L277" s="137"/>
      <c r="M277" s="137"/>
      <c r="N277" s="137"/>
      <c r="O277" s="137"/>
      <c r="P277" s="137"/>
      <c r="Q277" s="137"/>
      <c r="R277" s="137"/>
      <c r="S277" s="137"/>
      <c r="T277" s="137"/>
      <c r="U277" s="99" t="str">
        <f>IF(B277="","",IF(IF(D277&lt;&gt;"",D277,IFERROR(INDEX('Dashboard Items'!$B$2:$B$495,MATCH(E277,'Dashboard Items'!$A$2:$A$495,0)),""))="Key Service",IF(O277="No","Key Service: shown, not counted","Counts in Key Service gauge"),IF(IF(D277&lt;&gt;"",D277,IFERROR(INDEX('Dashboard Items'!$B$2:$B$495,MATCH(E277,'Dashboard Items'!$A$2:$A$495,0)),""))="Program",IF(ISNUMBER(SEARCH("ks",G277)),IF(O277="No","Program, also at Key Service: not counted","Counts in Key Service gauge + sets Program chip"),IF(O277="No","Program: shown, no status chip","Sets Program status chip")),IF(IF(D277&lt;&gt;"",D277,IFERROR(INDEX('Dashboard Items'!$B$2:$B$495,MATCH(E277,'Dashboard Items'!$A$2:$A$495,0)),""))="Work System","Work System: shown, not counted","Check Level"))))</f>
        <v/>
      </c>
    </row>
    <row r="278" spans="2:21" ht="15" customHeight="1" x14ac:dyDescent="0.2">
      <c r="B278" s="137"/>
      <c r="C278" s="137"/>
      <c r="D278" s="137"/>
      <c r="E278" s="137"/>
      <c r="F278" s="138" t="str">
        <f>IF(E278="","",IFERROR(IF(INDEX('Dashboard Items'!$B$2:$B$495,MATCH(E278,'Dashboard Items'!$A$2:$A$495,0))="Objective","Objectives go in the next column",IF(OR(D278="",INDEX('Dashboard Items'!$B$2:$B$495,MATCH(E278,'Dashboard Items'!$A$2:$A$495,0))=D278),INDEX('Dashboard Items'!$C$2:$C$495,MATCH(E278,'Dashboard Items'!$A$2:$A$495,0)),"Level does not match ID")),"ID not found"))</f>
        <v/>
      </c>
      <c r="G278" s="139"/>
      <c r="H278" s="138" t="str">
        <f>IF(G278="","",IF(ISNUMBER(SEARCH(",",G278)),"Several items (the script lists them)",IFERROR(INDEX('Dashboard Items'!$B$2:$B$495,MATCH(G278,'Dashboard Items'!$A$2:$A$495,0))&amp;": "&amp;INDEX('Dashboard Items'!$C$2:$C$495,MATCH(G278,'Dashboard Items'!$A$2:$A$495,0)),"ID not found")))</f>
        <v/>
      </c>
      <c r="I278" s="137"/>
      <c r="J278" s="137"/>
      <c r="K278" s="137"/>
      <c r="L278" s="137"/>
      <c r="M278" s="137"/>
      <c r="N278" s="137"/>
      <c r="O278" s="137"/>
      <c r="P278" s="137"/>
      <c r="Q278" s="137"/>
      <c r="R278" s="137"/>
      <c r="S278" s="137"/>
      <c r="T278" s="137"/>
      <c r="U278" s="99" t="str">
        <f>IF(B278="","",IF(IF(D278&lt;&gt;"",D278,IFERROR(INDEX('Dashboard Items'!$B$2:$B$495,MATCH(E278,'Dashboard Items'!$A$2:$A$495,0)),""))="Key Service",IF(O278="No","Key Service: shown, not counted","Counts in Key Service gauge"),IF(IF(D278&lt;&gt;"",D278,IFERROR(INDEX('Dashboard Items'!$B$2:$B$495,MATCH(E278,'Dashboard Items'!$A$2:$A$495,0)),""))="Program",IF(ISNUMBER(SEARCH("ks",G278)),IF(O278="No","Program, also at Key Service: not counted","Counts in Key Service gauge + sets Program chip"),IF(O278="No","Program: shown, no status chip","Sets Program status chip")),IF(IF(D278&lt;&gt;"",D278,IFERROR(INDEX('Dashboard Items'!$B$2:$B$495,MATCH(E278,'Dashboard Items'!$A$2:$A$495,0)),""))="Work System","Work System: shown, not counted","Check Level"))))</f>
        <v/>
      </c>
    </row>
    <row r="279" spans="2:21" ht="15" customHeight="1" x14ac:dyDescent="0.2">
      <c r="B279" s="137"/>
      <c r="C279" s="137"/>
      <c r="D279" s="137"/>
      <c r="E279" s="137"/>
      <c r="F279" s="138" t="str">
        <f>IF(E279="","",IFERROR(IF(INDEX('Dashboard Items'!$B$2:$B$495,MATCH(E279,'Dashboard Items'!$A$2:$A$495,0))="Objective","Objectives go in the next column",IF(OR(D279="",INDEX('Dashboard Items'!$B$2:$B$495,MATCH(E279,'Dashboard Items'!$A$2:$A$495,0))=D279),INDEX('Dashboard Items'!$C$2:$C$495,MATCH(E279,'Dashboard Items'!$A$2:$A$495,0)),"Level does not match ID")),"ID not found"))</f>
        <v/>
      </c>
      <c r="G279" s="139"/>
      <c r="H279" s="138" t="str">
        <f>IF(G279="","",IF(ISNUMBER(SEARCH(",",G279)),"Several items (the script lists them)",IFERROR(INDEX('Dashboard Items'!$B$2:$B$495,MATCH(G279,'Dashboard Items'!$A$2:$A$495,0))&amp;": "&amp;INDEX('Dashboard Items'!$C$2:$C$495,MATCH(G279,'Dashboard Items'!$A$2:$A$495,0)),"ID not found")))</f>
        <v/>
      </c>
      <c r="I279" s="137"/>
      <c r="J279" s="137"/>
      <c r="K279" s="137"/>
      <c r="L279" s="137"/>
      <c r="M279" s="137"/>
      <c r="N279" s="137"/>
      <c r="O279" s="137"/>
      <c r="P279" s="137"/>
      <c r="Q279" s="137"/>
      <c r="R279" s="137"/>
      <c r="S279" s="137"/>
      <c r="T279" s="137"/>
      <c r="U279" s="99" t="str">
        <f>IF(B279="","",IF(IF(D279&lt;&gt;"",D279,IFERROR(INDEX('Dashboard Items'!$B$2:$B$495,MATCH(E279,'Dashboard Items'!$A$2:$A$495,0)),""))="Key Service",IF(O279="No","Key Service: shown, not counted","Counts in Key Service gauge"),IF(IF(D279&lt;&gt;"",D279,IFERROR(INDEX('Dashboard Items'!$B$2:$B$495,MATCH(E279,'Dashboard Items'!$A$2:$A$495,0)),""))="Program",IF(ISNUMBER(SEARCH("ks",G279)),IF(O279="No","Program, also at Key Service: not counted","Counts in Key Service gauge + sets Program chip"),IF(O279="No","Program: shown, no status chip","Sets Program status chip")),IF(IF(D279&lt;&gt;"",D279,IFERROR(INDEX('Dashboard Items'!$B$2:$B$495,MATCH(E279,'Dashboard Items'!$A$2:$A$495,0)),""))="Work System","Work System: shown, not counted","Check Level"))))</f>
        <v/>
      </c>
    </row>
    <row r="280" spans="2:21" ht="15" customHeight="1" x14ac:dyDescent="0.2">
      <c r="B280" s="137"/>
      <c r="C280" s="137"/>
      <c r="D280" s="137"/>
      <c r="E280" s="137"/>
      <c r="F280" s="138" t="str">
        <f>IF(E280="","",IFERROR(IF(INDEX('Dashboard Items'!$B$2:$B$495,MATCH(E280,'Dashboard Items'!$A$2:$A$495,0))="Objective","Objectives go in the next column",IF(OR(D280="",INDEX('Dashboard Items'!$B$2:$B$495,MATCH(E280,'Dashboard Items'!$A$2:$A$495,0))=D280),INDEX('Dashboard Items'!$C$2:$C$495,MATCH(E280,'Dashboard Items'!$A$2:$A$495,0)),"Level does not match ID")),"ID not found"))</f>
        <v/>
      </c>
      <c r="G280" s="139"/>
      <c r="H280" s="138" t="str">
        <f>IF(G280="","",IF(ISNUMBER(SEARCH(",",G280)),"Several items (the script lists them)",IFERROR(INDEX('Dashboard Items'!$B$2:$B$495,MATCH(G280,'Dashboard Items'!$A$2:$A$495,0))&amp;": "&amp;INDEX('Dashboard Items'!$C$2:$C$495,MATCH(G280,'Dashboard Items'!$A$2:$A$495,0)),"ID not found")))</f>
        <v/>
      </c>
      <c r="I280" s="137"/>
      <c r="J280" s="137"/>
      <c r="K280" s="137"/>
      <c r="L280" s="137"/>
      <c r="M280" s="137"/>
      <c r="N280" s="137"/>
      <c r="O280" s="137"/>
      <c r="P280" s="137"/>
      <c r="Q280" s="137"/>
      <c r="R280" s="137"/>
      <c r="S280" s="137"/>
      <c r="T280" s="137"/>
      <c r="U280" s="99" t="str">
        <f>IF(B280="","",IF(IF(D280&lt;&gt;"",D280,IFERROR(INDEX('Dashboard Items'!$B$2:$B$495,MATCH(E280,'Dashboard Items'!$A$2:$A$495,0)),""))="Key Service",IF(O280="No","Key Service: shown, not counted","Counts in Key Service gauge"),IF(IF(D280&lt;&gt;"",D280,IFERROR(INDEX('Dashboard Items'!$B$2:$B$495,MATCH(E280,'Dashboard Items'!$A$2:$A$495,0)),""))="Program",IF(ISNUMBER(SEARCH("ks",G280)),IF(O280="No","Program, also at Key Service: not counted","Counts in Key Service gauge + sets Program chip"),IF(O280="No","Program: shown, no status chip","Sets Program status chip")),IF(IF(D280&lt;&gt;"",D280,IFERROR(INDEX('Dashboard Items'!$B$2:$B$495,MATCH(E280,'Dashboard Items'!$A$2:$A$495,0)),""))="Work System","Work System: shown, not counted","Check Level"))))</f>
        <v/>
      </c>
    </row>
    <row r="281" spans="2:21" ht="15" customHeight="1" x14ac:dyDescent="0.2">
      <c r="B281" s="137"/>
      <c r="C281" s="137"/>
      <c r="D281" s="137"/>
      <c r="E281" s="137"/>
      <c r="F281" s="138" t="str">
        <f>IF(E281="","",IFERROR(IF(INDEX('Dashboard Items'!$B$2:$B$495,MATCH(E281,'Dashboard Items'!$A$2:$A$495,0))="Objective","Objectives go in the next column",IF(OR(D281="",INDEX('Dashboard Items'!$B$2:$B$495,MATCH(E281,'Dashboard Items'!$A$2:$A$495,0))=D281),INDEX('Dashboard Items'!$C$2:$C$495,MATCH(E281,'Dashboard Items'!$A$2:$A$495,0)),"Level does not match ID")),"ID not found"))</f>
        <v/>
      </c>
      <c r="G281" s="139"/>
      <c r="H281" s="138" t="str">
        <f>IF(G281="","",IF(ISNUMBER(SEARCH(",",G281)),"Several items (the script lists them)",IFERROR(INDEX('Dashboard Items'!$B$2:$B$495,MATCH(G281,'Dashboard Items'!$A$2:$A$495,0))&amp;": "&amp;INDEX('Dashboard Items'!$C$2:$C$495,MATCH(G281,'Dashboard Items'!$A$2:$A$495,0)),"ID not found")))</f>
        <v/>
      </c>
      <c r="I281" s="137"/>
      <c r="J281" s="137"/>
      <c r="K281" s="137"/>
      <c r="L281" s="137"/>
      <c r="M281" s="137"/>
      <c r="N281" s="137"/>
      <c r="O281" s="137"/>
      <c r="P281" s="137"/>
      <c r="Q281" s="137"/>
      <c r="R281" s="137"/>
      <c r="S281" s="137"/>
      <c r="T281" s="137"/>
      <c r="U281" s="99" t="str">
        <f>IF(B281="","",IF(IF(D281&lt;&gt;"",D281,IFERROR(INDEX('Dashboard Items'!$B$2:$B$495,MATCH(E281,'Dashboard Items'!$A$2:$A$495,0)),""))="Key Service",IF(O281="No","Key Service: shown, not counted","Counts in Key Service gauge"),IF(IF(D281&lt;&gt;"",D281,IFERROR(INDEX('Dashboard Items'!$B$2:$B$495,MATCH(E281,'Dashboard Items'!$A$2:$A$495,0)),""))="Program",IF(ISNUMBER(SEARCH("ks",G281)),IF(O281="No","Program, also at Key Service: not counted","Counts in Key Service gauge + sets Program chip"),IF(O281="No","Program: shown, no status chip","Sets Program status chip")),IF(IF(D281&lt;&gt;"",D281,IFERROR(INDEX('Dashboard Items'!$B$2:$B$495,MATCH(E281,'Dashboard Items'!$A$2:$A$495,0)),""))="Work System","Work System: shown, not counted","Check Level"))))</f>
        <v/>
      </c>
    </row>
    <row r="282" spans="2:21" ht="15" customHeight="1" x14ac:dyDescent="0.2">
      <c r="B282" s="137"/>
      <c r="C282" s="137"/>
      <c r="D282" s="137"/>
      <c r="E282" s="137"/>
      <c r="F282" s="138" t="str">
        <f>IF(E282="","",IFERROR(IF(INDEX('Dashboard Items'!$B$2:$B$495,MATCH(E282,'Dashboard Items'!$A$2:$A$495,0))="Objective","Objectives go in the next column",IF(OR(D282="",INDEX('Dashboard Items'!$B$2:$B$495,MATCH(E282,'Dashboard Items'!$A$2:$A$495,0))=D282),INDEX('Dashboard Items'!$C$2:$C$495,MATCH(E282,'Dashboard Items'!$A$2:$A$495,0)),"Level does not match ID")),"ID not found"))</f>
        <v/>
      </c>
      <c r="G282" s="139"/>
      <c r="H282" s="138" t="str">
        <f>IF(G282="","",IF(ISNUMBER(SEARCH(",",G282)),"Several items (the script lists them)",IFERROR(INDEX('Dashboard Items'!$B$2:$B$495,MATCH(G282,'Dashboard Items'!$A$2:$A$495,0))&amp;": "&amp;INDEX('Dashboard Items'!$C$2:$C$495,MATCH(G282,'Dashboard Items'!$A$2:$A$495,0)),"ID not found")))</f>
        <v/>
      </c>
      <c r="I282" s="137"/>
      <c r="J282" s="137"/>
      <c r="K282" s="137"/>
      <c r="L282" s="137"/>
      <c r="M282" s="137"/>
      <c r="N282" s="137"/>
      <c r="O282" s="137"/>
      <c r="P282" s="137"/>
      <c r="Q282" s="137"/>
      <c r="R282" s="137"/>
      <c r="S282" s="137"/>
      <c r="T282" s="137"/>
      <c r="U282" s="99" t="str">
        <f>IF(B282="","",IF(IF(D282&lt;&gt;"",D282,IFERROR(INDEX('Dashboard Items'!$B$2:$B$495,MATCH(E282,'Dashboard Items'!$A$2:$A$495,0)),""))="Key Service",IF(O282="No","Key Service: shown, not counted","Counts in Key Service gauge"),IF(IF(D282&lt;&gt;"",D282,IFERROR(INDEX('Dashboard Items'!$B$2:$B$495,MATCH(E282,'Dashboard Items'!$A$2:$A$495,0)),""))="Program",IF(ISNUMBER(SEARCH("ks",G282)),IF(O282="No","Program, also at Key Service: not counted","Counts in Key Service gauge + sets Program chip"),IF(O282="No","Program: shown, no status chip","Sets Program status chip")),IF(IF(D282&lt;&gt;"",D282,IFERROR(INDEX('Dashboard Items'!$B$2:$B$495,MATCH(E282,'Dashboard Items'!$A$2:$A$495,0)),""))="Work System","Work System: shown, not counted","Check Level"))))</f>
        <v/>
      </c>
    </row>
    <row r="283" spans="2:21" ht="15" customHeight="1" x14ac:dyDescent="0.2">
      <c r="B283" s="137"/>
      <c r="C283" s="137"/>
      <c r="D283" s="137"/>
      <c r="E283" s="137"/>
      <c r="F283" s="138" t="str">
        <f>IF(E283="","",IFERROR(IF(INDEX('Dashboard Items'!$B$2:$B$495,MATCH(E283,'Dashboard Items'!$A$2:$A$495,0))="Objective","Objectives go in the next column",IF(OR(D283="",INDEX('Dashboard Items'!$B$2:$B$495,MATCH(E283,'Dashboard Items'!$A$2:$A$495,0))=D283),INDEX('Dashboard Items'!$C$2:$C$495,MATCH(E283,'Dashboard Items'!$A$2:$A$495,0)),"Level does not match ID")),"ID not found"))</f>
        <v/>
      </c>
      <c r="G283" s="139"/>
      <c r="H283" s="138" t="str">
        <f>IF(G283="","",IF(ISNUMBER(SEARCH(",",G283)),"Several items (the script lists them)",IFERROR(INDEX('Dashboard Items'!$B$2:$B$495,MATCH(G283,'Dashboard Items'!$A$2:$A$495,0))&amp;": "&amp;INDEX('Dashboard Items'!$C$2:$C$495,MATCH(G283,'Dashboard Items'!$A$2:$A$495,0)),"ID not found")))</f>
        <v/>
      </c>
      <c r="I283" s="137"/>
      <c r="J283" s="137"/>
      <c r="K283" s="137"/>
      <c r="L283" s="137"/>
      <c r="M283" s="137"/>
      <c r="N283" s="137"/>
      <c r="O283" s="137"/>
      <c r="P283" s="137"/>
      <c r="Q283" s="137"/>
      <c r="R283" s="137"/>
      <c r="S283" s="137"/>
      <c r="T283" s="137"/>
      <c r="U283" s="99" t="str">
        <f>IF(B283="","",IF(IF(D283&lt;&gt;"",D283,IFERROR(INDEX('Dashboard Items'!$B$2:$B$495,MATCH(E283,'Dashboard Items'!$A$2:$A$495,0)),""))="Key Service",IF(O283="No","Key Service: shown, not counted","Counts in Key Service gauge"),IF(IF(D283&lt;&gt;"",D283,IFERROR(INDEX('Dashboard Items'!$B$2:$B$495,MATCH(E283,'Dashboard Items'!$A$2:$A$495,0)),""))="Program",IF(ISNUMBER(SEARCH("ks",G283)),IF(O283="No","Program, also at Key Service: not counted","Counts in Key Service gauge + sets Program chip"),IF(O283="No","Program: shown, no status chip","Sets Program status chip")),IF(IF(D283&lt;&gt;"",D283,IFERROR(INDEX('Dashboard Items'!$B$2:$B$495,MATCH(E283,'Dashboard Items'!$A$2:$A$495,0)),""))="Work System","Work System: shown, not counted","Check Level"))))</f>
        <v/>
      </c>
    </row>
    <row r="284" spans="2:21" ht="15" customHeight="1" x14ac:dyDescent="0.2">
      <c r="B284" s="137"/>
      <c r="C284" s="137"/>
      <c r="D284" s="137"/>
      <c r="E284" s="137"/>
      <c r="F284" s="138" t="str">
        <f>IF(E284="","",IFERROR(IF(INDEX('Dashboard Items'!$B$2:$B$495,MATCH(E284,'Dashboard Items'!$A$2:$A$495,0))="Objective","Objectives go in the next column",IF(OR(D284="",INDEX('Dashboard Items'!$B$2:$B$495,MATCH(E284,'Dashboard Items'!$A$2:$A$495,0))=D284),INDEX('Dashboard Items'!$C$2:$C$495,MATCH(E284,'Dashboard Items'!$A$2:$A$495,0)),"Level does not match ID")),"ID not found"))</f>
        <v/>
      </c>
      <c r="G284" s="139"/>
      <c r="H284" s="138" t="str">
        <f>IF(G284="","",IF(ISNUMBER(SEARCH(",",G284)),"Several items (the script lists them)",IFERROR(INDEX('Dashboard Items'!$B$2:$B$495,MATCH(G284,'Dashboard Items'!$A$2:$A$495,0))&amp;": "&amp;INDEX('Dashboard Items'!$C$2:$C$495,MATCH(G284,'Dashboard Items'!$A$2:$A$495,0)),"ID not found")))</f>
        <v/>
      </c>
      <c r="I284" s="137"/>
      <c r="J284" s="137"/>
      <c r="K284" s="137"/>
      <c r="L284" s="137"/>
      <c r="M284" s="137"/>
      <c r="N284" s="137"/>
      <c r="O284" s="137"/>
      <c r="P284" s="137"/>
      <c r="Q284" s="137"/>
      <c r="R284" s="137"/>
      <c r="S284" s="137"/>
      <c r="T284" s="137"/>
      <c r="U284" s="99" t="str">
        <f>IF(B284="","",IF(IF(D284&lt;&gt;"",D284,IFERROR(INDEX('Dashboard Items'!$B$2:$B$495,MATCH(E284,'Dashboard Items'!$A$2:$A$495,0)),""))="Key Service",IF(O284="No","Key Service: shown, not counted","Counts in Key Service gauge"),IF(IF(D284&lt;&gt;"",D284,IFERROR(INDEX('Dashboard Items'!$B$2:$B$495,MATCH(E284,'Dashboard Items'!$A$2:$A$495,0)),""))="Program",IF(ISNUMBER(SEARCH("ks",G284)),IF(O284="No","Program, also at Key Service: not counted","Counts in Key Service gauge + sets Program chip"),IF(O284="No","Program: shown, no status chip","Sets Program status chip")),IF(IF(D284&lt;&gt;"",D284,IFERROR(INDEX('Dashboard Items'!$B$2:$B$495,MATCH(E284,'Dashboard Items'!$A$2:$A$495,0)),""))="Work System","Work System: shown, not counted","Check Level"))))</f>
        <v/>
      </c>
    </row>
    <row r="285" spans="2:21" ht="15" customHeight="1" x14ac:dyDescent="0.2">
      <c r="B285" s="137"/>
      <c r="C285" s="137"/>
      <c r="D285" s="137"/>
      <c r="E285" s="137"/>
      <c r="F285" s="138" t="str">
        <f>IF(E285="","",IFERROR(IF(INDEX('Dashboard Items'!$B$2:$B$495,MATCH(E285,'Dashboard Items'!$A$2:$A$495,0))="Objective","Objectives go in the next column",IF(OR(D285="",INDEX('Dashboard Items'!$B$2:$B$495,MATCH(E285,'Dashboard Items'!$A$2:$A$495,0))=D285),INDEX('Dashboard Items'!$C$2:$C$495,MATCH(E285,'Dashboard Items'!$A$2:$A$495,0)),"Level does not match ID")),"ID not found"))</f>
        <v/>
      </c>
      <c r="G285" s="139"/>
      <c r="H285" s="138" t="str">
        <f>IF(G285="","",IF(ISNUMBER(SEARCH(",",G285)),"Several items (the script lists them)",IFERROR(INDEX('Dashboard Items'!$B$2:$B$495,MATCH(G285,'Dashboard Items'!$A$2:$A$495,0))&amp;": "&amp;INDEX('Dashboard Items'!$C$2:$C$495,MATCH(G285,'Dashboard Items'!$A$2:$A$495,0)),"ID not found")))</f>
        <v/>
      </c>
      <c r="I285" s="137"/>
      <c r="J285" s="137"/>
      <c r="K285" s="137"/>
      <c r="L285" s="137"/>
      <c r="M285" s="137"/>
      <c r="N285" s="137"/>
      <c r="O285" s="137"/>
      <c r="P285" s="137"/>
      <c r="Q285" s="137"/>
      <c r="R285" s="137"/>
      <c r="S285" s="137"/>
      <c r="T285" s="137"/>
      <c r="U285" s="99" t="str">
        <f>IF(B285="","",IF(IF(D285&lt;&gt;"",D285,IFERROR(INDEX('Dashboard Items'!$B$2:$B$495,MATCH(E285,'Dashboard Items'!$A$2:$A$495,0)),""))="Key Service",IF(O285="No","Key Service: shown, not counted","Counts in Key Service gauge"),IF(IF(D285&lt;&gt;"",D285,IFERROR(INDEX('Dashboard Items'!$B$2:$B$495,MATCH(E285,'Dashboard Items'!$A$2:$A$495,0)),""))="Program",IF(ISNUMBER(SEARCH("ks",G285)),IF(O285="No","Program, also at Key Service: not counted","Counts in Key Service gauge + sets Program chip"),IF(O285="No","Program: shown, no status chip","Sets Program status chip")),IF(IF(D285&lt;&gt;"",D285,IFERROR(INDEX('Dashboard Items'!$B$2:$B$495,MATCH(E285,'Dashboard Items'!$A$2:$A$495,0)),""))="Work System","Work System: shown, not counted","Check Level"))))</f>
        <v/>
      </c>
    </row>
    <row r="286" spans="2:21" ht="15" customHeight="1" x14ac:dyDescent="0.2">
      <c r="B286" s="137"/>
      <c r="C286" s="137"/>
      <c r="D286" s="137"/>
      <c r="E286" s="137"/>
      <c r="F286" s="138" t="str">
        <f>IF(E286="","",IFERROR(IF(INDEX('Dashboard Items'!$B$2:$B$495,MATCH(E286,'Dashboard Items'!$A$2:$A$495,0))="Objective","Objectives go in the next column",IF(OR(D286="",INDEX('Dashboard Items'!$B$2:$B$495,MATCH(E286,'Dashboard Items'!$A$2:$A$495,0))=D286),INDEX('Dashboard Items'!$C$2:$C$495,MATCH(E286,'Dashboard Items'!$A$2:$A$495,0)),"Level does not match ID")),"ID not found"))</f>
        <v/>
      </c>
      <c r="G286" s="139"/>
      <c r="H286" s="138" t="str">
        <f>IF(G286="","",IF(ISNUMBER(SEARCH(",",G286)),"Several items (the script lists them)",IFERROR(INDEX('Dashboard Items'!$B$2:$B$495,MATCH(G286,'Dashboard Items'!$A$2:$A$495,0))&amp;": "&amp;INDEX('Dashboard Items'!$C$2:$C$495,MATCH(G286,'Dashboard Items'!$A$2:$A$495,0)),"ID not found")))</f>
        <v/>
      </c>
      <c r="I286" s="137"/>
      <c r="J286" s="137"/>
      <c r="K286" s="137"/>
      <c r="L286" s="137"/>
      <c r="M286" s="137"/>
      <c r="N286" s="137"/>
      <c r="O286" s="137"/>
      <c r="P286" s="137"/>
      <c r="Q286" s="137"/>
      <c r="R286" s="137"/>
      <c r="S286" s="137"/>
      <c r="T286" s="137"/>
      <c r="U286" s="99" t="str">
        <f>IF(B286="","",IF(IF(D286&lt;&gt;"",D286,IFERROR(INDEX('Dashboard Items'!$B$2:$B$495,MATCH(E286,'Dashboard Items'!$A$2:$A$495,0)),""))="Key Service",IF(O286="No","Key Service: shown, not counted","Counts in Key Service gauge"),IF(IF(D286&lt;&gt;"",D286,IFERROR(INDEX('Dashboard Items'!$B$2:$B$495,MATCH(E286,'Dashboard Items'!$A$2:$A$495,0)),""))="Program",IF(ISNUMBER(SEARCH("ks",G286)),IF(O286="No","Program, also at Key Service: not counted","Counts in Key Service gauge + sets Program chip"),IF(O286="No","Program: shown, no status chip","Sets Program status chip")),IF(IF(D286&lt;&gt;"",D286,IFERROR(INDEX('Dashboard Items'!$B$2:$B$495,MATCH(E286,'Dashboard Items'!$A$2:$A$495,0)),""))="Work System","Work System: shown, not counted","Check Level"))))</f>
        <v/>
      </c>
    </row>
    <row r="287" spans="2:21" ht="15" customHeight="1" x14ac:dyDescent="0.2">
      <c r="B287" s="137"/>
      <c r="C287" s="137"/>
      <c r="D287" s="137"/>
      <c r="E287" s="137"/>
      <c r="F287" s="138" t="str">
        <f>IF(E287="","",IFERROR(IF(INDEX('Dashboard Items'!$B$2:$B$495,MATCH(E287,'Dashboard Items'!$A$2:$A$495,0))="Objective","Objectives go in the next column",IF(OR(D287="",INDEX('Dashboard Items'!$B$2:$B$495,MATCH(E287,'Dashboard Items'!$A$2:$A$495,0))=D287),INDEX('Dashboard Items'!$C$2:$C$495,MATCH(E287,'Dashboard Items'!$A$2:$A$495,0)),"Level does not match ID")),"ID not found"))</f>
        <v/>
      </c>
      <c r="G287" s="139"/>
      <c r="H287" s="138" t="str">
        <f>IF(G287="","",IF(ISNUMBER(SEARCH(",",G287)),"Several items (the script lists them)",IFERROR(INDEX('Dashboard Items'!$B$2:$B$495,MATCH(G287,'Dashboard Items'!$A$2:$A$495,0))&amp;": "&amp;INDEX('Dashboard Items'!$C$2:$C$495,MATCH(G287,'Dashboard Items'!$A$2:$A$495,0)),"ID not found")))</f>
        <v/>
      </c>
      <c r="I287" s="137"/>
      <c r="J287" s="137"/>
      <c r="K287" s="137"/>
      <c r="L287" s="137"/>
      <c r="M287" s="137"/>
      <c r="N287" s="137"/>
      <c r="O287" s="137"/>
      <c r="P287" s="137"/>
      <c r="Q287" s="137"/>
      <c r="R287" s="137"/>
      <c r="S287" s="137"/>
      <c r="T287" s="137"/>
      <c r="U287" s="99" t="str">
        <f>IF(B287="","",IF(IF(D287&lt;&gt;"",D287,IFERROR(INDEX('Dashboard Items'!$B$2:$B$495,MATCH(E287,'Dashboard Items'!$A$2:$A$495,0)),""))="Key Service",IF(O287="No","Key Service: shown, not counted","Counts in Key Service gauge"),IF(IF(D287&lt;&gt;"",D287,IFERROR(INDEX('Dashboard Items'!$B$2:$B$495,MATCH(E287,'Dashboard Items'!$A$2:$A$495,0)),""))="Program",IF(ISNUMBER(SEARCH("ks",G287)),IF(O287="No","Program, also at Key Service: not counted","Counts in Key Service gauge + sets Program chip"),IF(O287="No","Program: shown, no status chip","Sets Program status chip")),IF(IF(D287&lt;&gt;"",D287,IFERROR(INDEX('Dashboard Items'!$B$2:$B$495,MATCH(E287,'Dashboard Items'!$A$2:$A$495,0)),""))="Work System","Work System: shown, not counted","Check Level"))))</f>
        <v/>
      </c>
    </row>
    <row r="288" spans="2:21" ht="15" customHeight="1" x14ac:dyDescent="0.2">
      <c r="B288" s="137"/>
      <c r="C288" s="137"/>
      <c r="D288" s="137"/>
      <c r="E288" s="137"/>
      <c r="F288" s="138" t="str">
        <f>IF(E288="","",IFERROR(IF(INDEX('Dashboard Items'!$B$2:$B$495,MATCH(E288,'Dashboard Items'!$A$2:$A$495,0))="Objective","Objectives go in the next column",IF(OR(D288="",INDEX('Dashboard Items'!$B$2:$B$495,MATCH(E288,'Dashboard Items'!$A$2:$A$495,0))=D288),INDEX('Dashboard Items'!$C$2:$C$495,MATCH(E288,'Dashboard Items'!$A$2:$A$495,0)),"Level does not match ID")),"ID not found"))</f>
        <v/>
      </c>
      <c r="G288" s="139"/>
      <c r="H288" s="138" t="str">
        <f>IF(G288="","",IF(ISNUMBER(SEARCH(",",G288)),"Several items (the script lists them)",IFERROR(INDEX('Dashboard Items'!$B$2:$B$495,MATCH(G288,'Dashboard Items'!$A$2:$A$495,0))&amp;": "&amp;INDEX('Dashboard Items'!$C$2:$C$495,MATCH(G288,'Dashboard Items'!$A$2:$A$495,0)),"ID not found")))</f>
        <v/>
      </c>
      <c r="I288" s="137"/>
      <c r="J288" s="137"/>
      <c r="K288" s="137"/>
      <c r="L288" s="137"/>
      <c r="M288" s="137"/>
      <c r="N288" s="137"/>
      <c r="O288" s="137"/>
      <c r="P288" s="137"/>
      <c r="Q288" s="137"/>
      <c r="R288" s="137"/>
      <c r="S288" s="137"/>
      <c r="T288" s="137"/>
      <c r="U288" s="99" t="str">
        <f>IF(B288="","",IF(IF(D288&lt;&gt;"",D288,IFERROR(INDEX('Dashboard Items'!$B$2:$B$495,MATCH(E288,'Dashboard Items'!$A$2:$A$495,0)),""))="Key Service",IF(O288="No","Key Service: shown, not counted","Counts in Key Service gauge"),IF(IF(D288&lt;&gt;"",D288,IFERROR(INDEX('Dashboard Items'!$B$2:$B$495,MATCH(E288,'Dashboard Items'!$A$2:$A$495,0)),""))="Program",IF(ISNUMBER(SEARCH("ks",G288)),IF(O288="No","Program, also at Key Service: not counted","Counts in Key Service gauge + sets Program chip"),IF(O288="No","Program: shown, no status chip","Sets Program status chip")),IF(IF(D288&lt;&gt;"",D288,IFERROR(INDEX('Dashboard Items'!$B$2:$B$495,MATCH(E288,'Dashboard Items'!$A$2:$A$495,0)),""))="Work System","Work System: shown, not counted","Check Level"))))</f>
        <v/>
      </c>
    </row>
    <row r="289" spans="2:21" ht="15" customHeight="1" x14ac:dyDescent="0.2">
      <c r="B289" s="137"/>
      <c r="C289" s="137"/>
      <c r="D289" s="137"/>
      <c r="E289" s="137"/>
      <c r="F289" s="138" t="str">
        <f>IF(E289="","",IFERROR(IF(INDEX('Dashboard Items'!$B$2:$B$495,MATCH(E289,'Dashboard Items'!$A$2:$A$495,0))="Objective","Objectives go in the next column",IF(OR(D289="",INDEX('Dashboard Items'!$B$2:$B$495,MATCH(E289,'Dashboard Items'!$A$2:$A$495,0))=D289),INDEX('Dashboard Items'!$C$2:$C$495,MATCH(E289,'Dashboard Items'!$A$2:$A$495,0)),"Level does not match ID")),"ID not found"))</f>
        <v/>
      </c>
      <c r="G289" s="139"/>
      <c r="H289" s="138" t="str">
        <f>IF(G289="","",IF(ISNUMBER(SEARCH(",",G289)),"Several items (the script lists them)",IFERROR(INDEX('Dashboard Items'!$B$2:$B$495,MATCH(G289,'Dashboard Items'!$A$2:$A$495,0))&amp;": "&amp;INDEX('Dashboard Items'!$C$2:$C$495,MATCH(G289,'Dashboard Items'!$A$2:$A$495,0)),"ID not found")))</f>
        <v/>
      </c>
      <c r="I289" s="137"/>
      <c r="J289" s="137"/>
      <c r="K289" s="137"/>
      <c r="L289" s="137"/>
      <c r="M289" s="137"/>
      <c r="N289" s="137"/>
      <c r="O289" s="137"/>
      <c r="P289" s="137"/>
      <c r="Q289" s="137"/>
      <c r="R289" s="137"/>
      <c r="S289" s="137"/>
      <c r="T289" s="137"/>
      <c r="U289" s="99" t="str">
        <f>IF(B289="","",IF(IF(D289&lt;&gt;"",D289,IFERROR(INDEX('Dashboard Items'!$B$2:$B$495,MATCH(E289,'Dashboard Items'!$A$2:$A$495,0)),""))="Key Service",IF(O289="No","Key Service: shown, not counted","Counts in Key Service gauge"),IF(IF(D289&lt;&gt;"",D289,IFERROR(INDEX('Dashboard Items'!$B$2:$B$495,MATCH(E289,'Dashboard Items'!$A$2:$A$495,0)),""))="Program",IF(ISNUMBER(SEARCH("ks",G289)),IF(O289="No","Program, also at Key Service: not counted","Counts in Key Service gauge + sets Program chip"),IF(O289="No","Program: shown, no status chip","Sets Program status chip")),IF(IF(D289&lt;&gt;"",D289,IFERROR(INDEX('Dashboard Items'!$B$2:$B$495,MATCH(E289,'Dashboard Items'!$A$2:$A$495,0)),""))="Work System","Work System: shown, not counted","Check Level"))))</f>
        <v/>
      </c>
    </row>
    <row r="290" spans="2:21" ht="15" customHeight="1" x14ac:dyDescent="0.2">
      <c r="B290" s="137"/>
      <c r="C290" s="137"/>
      <c r="D290" s="137"/>
      <c r="E290" s="137"/>
      <c r="F290" s="138" t="str">
        <f>IF(E290="","",IFERROR(IF(INDEX('Dashboard Items'!$B$2:$B$495,MATCH(E290,'Dashboard Items'!$A$2:$A$495,0))="Objective","Objectives go in the next column",IF(OR(D290="",INDEX('Dashboard Items'!$B$2:$B$495,MATCH(E290,'Dashboard Items'!$A$2:$A$495,0))=D290),INDEX('Dashboard Items'!$C$2:$C$495,MATCH(E290,'Dashboard Items'!$A$2:$A$495,0)),"Level does not match ID")),"ID not found"))</f>
        <v/>
      </c>
      <c r="G290" s="139"/>
      <c r="H290" s="138" t="str">
        <f>IF(G290="","",IF(ISNUMBER(SEARCH(",",G290)),"Several items (the script lists them)",IFERROR(INDEX('Dashboard Items'!$B$2:$B$495,MATCH(G290,'Dashboard Items'!$A$2:$A$495,0))&amp;": "&amp;INDEX('Dashboard Items'!$C$2:$C$495,MATCH(G290,'Dashboard Items'!$A$2:$A$495,0)),"ID not found")))</f>
        <v/>
      </c>
      <c r="I290" s="137"/>
      <c r="J290" s="137"/>
      <c r="K290" s="137"/>
      <c r="L290" s="137"/>
      <c r="M290" s="137"/>
      <c r="N290" s="137"/>
      <c r="O290" s="137"/>
      <c r="P290" s="137"/>
      <c r="Q290" s="137"/>
      <c r="R290" s="137"/>
      <c r="S290" s="137"/>
      <c r="T290" s="137"/>
      <c r="U290" s="99" t="str">
        <f>IF(B290="","",IF(IF(D290&lt;&gt;"",D290,IFERROR(INDEX('Dashboard Items'!$B$2:$B$495,MATCH(E290,'Dashboard Items'!$A$2:$A$495,0)),""))="Key Service",IF(O290="No","Key Service: shown, not counted","Counts in Key Service gauge"),IF(IF(D290&lt;&gt;"",D290,IFERROR(INDEX('Dashboard Items'!$B$2:$B$495,MATCH(E290,'Dashboard Items'!$A$2:$A$495,0)),""))="Program",IF(ISNUMBER(SEARCH("ks",G290)),IF(O290="No","Program, also at Key Service: not counted","Counts in Key Service gauge + sets Program chip"),IF(O290="No","Program: shown, no status chip","Sets Program status chip")),IF(IF(D290&lt;&gt;"",D290,IFERROR(INDEX('Dashboard Items'!$B$2:$B$495,MATCH(E290,'Dashboard Items'!$A$2:$A$495,0)),""))="Work System","Work System: shown, not counted","Check Level"))))</f>
        <v/>
      </c>
    </row>
    <row r="291" spans="2:21" ht="15" customHeight="1" x14ac:dyDescent="0.2">
      <c r="B291" s="137"/>
      <c r="C291" s="137"/>
      <c r="D291" s="137"/>
      <c r="E291" s="137"/>
      <c r="F291" s="138" t="str">
        <f>IF(E291="","",IFERROR(IF(INDEX('Dashboard Items'!$B$2:$B$495,MATCH(E291,'Dashboard Items'!$A$2:$A$495,0))="Objective","Objectives go in the next column",IF(OR(D291="",INDEX('Dashboard Items'!$B$2:$B$495,MATCH(E291,'Dashboard Items'!$A$2:$A$495,0))=D291),INDEX('Dashboard Items'!$C$2:$C$495,MATCH(E291,'Dashboard Items'!$A$2:$A$495,0)),"Level does not match ID")),"ID not found"))</f>
        <v/>
      </c>
      <c r="G291" s="139"/>
      <c r="H291" s="138" t="str">
        <f>IF(G291="","",IF(ISNUMBER(SEARCH(",",G291)),"Several items (the script lists them)",IFERROR(INDEX('Dashboard Items'!$B$2:$B$495,MATCH(G291,'Dashboard Items'!$A$2:$A$495,0))&amp;": "&amp;INDEX('Dashboard Items'!$C$2:$C$495,MATCH(G291,'Dashboard Items'!$A$2:$A$495,0)),"ID not found")))</f>
        <v/>
      </c>
      <c r="I291" s="137"/>
      <c r="J291" s="137"/>
      <c r="K291" s="137"/>
      <c r="L291" s="137"/>
      <c r="M291" s="137"/>
      <c r="N291" s="137"/>
      <c r="O291" s="137"/>
      <c r="P291" s="137"/>
      <c r="Q291" s="137"/>
      <c r="R291" s="137"/>
      <c r="S291" s="137"/>
      <c r="T291" s="137"/>
      <c r="U291" s="99" t="str">
        <f>IF(B291="","",IF(IF(D291&lt;&gt;"",D291,IFERROR(INDEX('Dashboard Items'!$B$2:$B$495,MATCH(E291,'Dashboard Items'!$A$2:$A$495,0)),""))="Key Service",IF(O291="No","Key Service: shown, not counted","Counts in Key Service gauge"),IF(IF(D291&lt;&gt;"",D291,IFERROR(INDEX('Dashboard Items'!$B$2:$B$495,MATCH(E291,'Dashboard Items'!$A$2:$A$495,0)),""))="Program",IF(ISNUMBER(SEARCH("ks",G291)),IF(O291="No","Program, also at Key Service: not counted","Counts in Key Service gauge + sets Program chip"),IF(O291="No","Program: shown, no status chip","Sets Program status chip")),IF(IF(D291&lt;&gt;"",D291,IFERROR(INDEX('Dashboard Items'!$B$2:$B$495,MATCH(E291,'Dashboard Items'!$A$2:$A$495,0)),""))="Work System","Work System: shown, not counted","Check Level"))))</f>
        <v/>
      </c>
    </row>
    <row r="292" spans="2:21" ht="15" customHeight="1" x14ac:dyDescent="0.2">
      <c r="B292" s="137"/>
      <c r="C292" s="137"/>
      <c r="D292" s="137"/>
      <c r="E292" s="137"/>
      <c r="F292" s="138" t="str">
        <f>IF(E292="","",IFERROR(IF(INDEX('Dashboard Items'!$B$2:$B$495,MATCH(E292,'Dashboard Items'!$A$2:$A$495,0))="Objective","Objectives go in the next column",IF(OR(D292="",INDEX('Dashboard Items'!$B$2:$B$495,MATCH(E292,'Dashboard Items'!$A$2:$A$495,0))=D292),INDEX('Dashboard Items'!$C$2:$C$495,MATCH(E292,'Dashboard Items'!$A$2:$A$495,0)),"Level does not match ID")),"ID not found"))</f>
        <v/>
      </c>
      <c r="G292" s="139"/>
      <c r="H292" s="138" t="str">
        <f>IF(G292="","",IF(ISNUMBER(SEARCH(",",G292)),"Several items (the script lists them)",IFERROR(INDEX('Dashboard Items'!$B$2:$B$495,MATCH(G292,'Dashboard Items'!$A$2:$A$495,0))&amp;": "&amp;INDEX('Dashboard Items'!$C$2:$C$495,MATCH(G292,'Dashboard Items'!$A$2:$A$495,0)),"ID not found")))</f>
        <v/>
      </c>
      <c r="I292" s="137"/>
      <c r="J292" s="137"/>
      <c r="K292" s="137"/>
      <c r="L292" s="137"/>
      <c r="M292" s="137"/>
      <c r="N292" s="137"/>
      <c r="O292" s="137"/>
      <c r="P292" s="137"/>
      <c r="Q292" s="137"/>
      <c r="R292" s="137"/>
      <c r="S292" s="137"/>
      <c r="T292" s="137"/>
      <c r="U292" s="99" t="str">
        <f>IF(B292="","",IF(IF(D292&lt;&gt;"",D292,IFERROR(INDEX('Dashboard Items'!$B$2:$B$495,MATCH(E292,'Dashboard Items'!$A$2:$A$495,0)),""))="Key Service",IF(O292="No","Key Service: shown, not counted","Counts in Key Service gauge"),IF(IF(D292&lt;&gt;"",D292,IFERROR(INDEX('Dashboard Items'!$B$2:$B$495,MATCH(E292,'Dashboard Items'!$A$2:$A$495,0)),""))="Program",IF(ISNUMBER(SEARCH("ks",G292)),IF(O292="No","Program, also at Key Service: not counted","Counts in Key Service gauge + sets Program chip"),IF(O292="No","Program: shown, no status chip","Sets Program status chip")),IF(IF(D292&lt;&gt;"",D292,IFERROR(INDEX('Dashboard Items'!$B$2:$B$495,MATCH(E292,'Dashboard Items'!$A$2:$A$495,0)),""))="Work System","Work System: shown, not counted","Check Level"))))</f>
        <v/>
      </c>
    </row>
    <row r="293" spans="2:21" ht="15" customHeight="1" x14ac:dyDescent="0.2">
      <c r="B293" s="137"/>
      <c r="C293" s="137"/>
      <c r="D293" s="137"/>
      <c r="E293" s="137"/>
      <c r="F293" s="138" t="str">
        <f>IF(E293="","",IFERROR(IF(INDEX('Dashboard Items'!$B$2:$B$495,MATCH(E293,'Dashboard Items'!$A$2:$A$495,0))="Objective","Objectives go in the next column",IF(OR(D293="",INDEX('Dashboard Items'!$B$2:$B$495,MATCH(E293,'Dashboard Items'!$A$2:$A$495,0))=D293),INDEX('Dashboard Items'!$C$2:$C$495,MATCH(E293,'Dashboard Items'!$A$2:$A$495,0)),"Level does not match ID")),"ID not found"))</f>
        <v/>
      </c>
      <c r="G293" s="139"/>
      <c r="H293" s="138" t="str">
        <f>IF(G293="","",IF(ISNUMBER(SEARCH(",",G293)),"Several items (the script lists them)",IFERROR(INDEX('Dashboard Items'!$B$2:$B$495,MATCH(G293,'Dashboard Items'!$A$2:$A$495,0))&amp;": "&amp;INDEX('Dashboard Items'!$C$2:$C$495,MATCH(G293,'Dashboard Items'!$A$2:$A$495,0)),"ID not found")))</f>
        <v/>
      </c>
      <c r="I293" s="137"/>
      <c r="J293" s="137"/>
      <c r="K293" s="137"/>
      <c r="L293" s="137"/>
      <c r="M293" s="137"/>
      <c r="N293" s="137"/>
      <c r="O293" s="137"/>
      <c r="P293" s="137"/>
      <c r="Q293" s="137"/>
      <c r="R293" s="137"/>
      <c r="S293" s="137"/>
      <c r="T293" s="137"/>
      <c r="U293" s="99" t="str">
        <f>IF(B293="","",IF(IF(D293&lt;&gt;"",D293,IFERROR(INDEX('Dashboard Items'!$B$2:$B$495,MATCH(E293,'Dashboard Items'!$A$2:$A$495,0)),""))="Key Service",IF(O293="No","Key Service: shown, not counted","Counts in Key Service gauge"),IF(IF(D293&lt;&gt;"",D293,IFERROR(INDEX('Dashboard Items'!$B$2:$B$495,MATCH(E293,'Dashboard Items'!$A$2:$A$495,0)),""))="Program",IF(ISNUMBER(SEARCH("ks",G293)),IF(O293="No","Program, also at Key Service: not counted","Counts in Key Service gauge + sets Program chip"),IF(O293="No","Program: shown, no status chip","Sets Program status chip")),IF(IF(D293&lt;&gt;"",D293,IFERROR(INDEX('Dashboard Items'!$B$2:$B$495,MATCH(E293,'Dashboard Items'!$A$2:$A$495,0)),""))="Work System","Work System: shown, not counted","Check Level"))))</f>
        <v/>
      </c>
    </row>
    <row r="294" spans="2:21" ht="15" customHeight="1" x14ac:dyDescent="0.2">
      <c r="B294" s="137"/>
      <c r="C294" s="137"/>
      <c r="D294" s="137"/>
      <c r="E294" s="137"/>
      <c r="F294" s="138" t="str">
        <f>IF(E294="","",IFERROR(IF(INDEX('Dashboard Items'!$B$2:$B$495,MATCH(E294,'Dashboard Items'!$A$2:$A$495,0))="Objective","Objectives go in the next column",IF(OR(D294="",INDEX('Dashboard Items'!$B$2:$B$495,MATCH(E294,'Dashboard Items'!$A$2:$A$495,0))=D294),INDEX('Dashboard Items'!$C$2:$C$495,MATCH(E294,'Dashboard Items'!$A$2:$A$495,0)),"Level does not match ID")),"ID not found"))</f>
        <v/>
      </c>
      <c r="G294" s="139"/>
      <c r="H294" s="138" t="str">
        <f>IF(G294="","",IF(ISNUMBER(SEARCH(",",G294)),"Several items (the script lists them)",IFERROR(INDEX('Dashboard Items'!$B$2:$B$495,MATCH(G294,'Dashboard Items'!$A$2:$A$495,0))&amp;": "&amp;INDEX('Dashboard Items'!$C$2:$C$495,MATCH(G294,'Dashboard Items'!$A$2:$A$495,0)),"ID not found")))</f>
        <v/>
      </c>
      <c r="I294" s="137"/>
      <c r="J294" s="137"/>
      <c r="K294" s="137"/>
      <c r="L294" s="137"/>
      <c r="M294" s="137"/>
      <c r="N294" s="137"/>
      <c r="O294" s="137"/>
      <c r="P294" s="137"/>
      <c r="Q294" s="137"/>
      <c r="R294" s="137"/>
      <c r="S294" s="137"/>
      <c r="T294" s="137"/>
      <c r="U294" s="99" t="str">
        <f>IF(B294="","",IF(IF(D294&lt;&gt;"",D294,IFERROR(INDEX('Dashboard Items'!$B$2:$B$495,MATCH(E294,'Dashboard Items'!$A$2:$A$495,0)),""))="Key Service",IF(O294="No","Key Service: shown, not counted","Counts in Key Service gauge"),IF(IF(D294&lt;&gt;"",D294,IFERROR(INDEX('Dashboard Items'!$B$2:$B$495,MATCH(E294,'Dashboard Items'!$A$2:$A$495,0)),""))="Program",IF(ISNUMBER(SEARCH("ks",G294)),IF(O294="No","Program, also at Key Service: not counted","Counts in Key Service gauge + sets Program chip"),IF(O294="No","Program: shown, no status chip","Sets Program status chip")),IF(IF(D294&lt;&gt;"",D294,IFERROR(INDEX('Dashboard Items'!$B$2:$B$495,MATCH(E294,'Dashboard Items'!$A$2:$A$495,0)),""))="Work System","Work System: shown, not counted","Check Level"))))</f>
        <v/>
      </c>
    </row>
    <row r="295" spans="2:21" ht="15" customHeight="1" x14ac:dyDescent="0.2">
      <c r="B295" s="137"/>
      <c r="C295" s="137"/>
      <c r="D295" s="137"/>
      <c r="E295" s="137"/>
      <c r="F295" s="138" t="str">
        <f>IF(E295="","",IFERROR(IF(INDEX('Dashboard Items'!$B$2:$B$495,MATCH(E295,'Dashboard Items'!$A$2:$A$495,0))="Objective","Objectives go in the next column",IF(OR(D295="",INDEX('Dashboard Items'!$B$2:$B$495,MATCH(E295,'Dashboard Items'!$A$2:$A$495,0))=D295),INDEX('Dashboard Items'!$C$2:$C$495,MATCH(E295,'Dashboard Items'!$A$2:$A$495,0)),"Level does not match ID")),"ID not found"))</f>
        <v/>
      </c>
      <c r="G295" s="139"/>
      <c r="H295" s="138" t="str">
        <f>IF(G295="","",IF(ISNUMBER(SEARCH(",",G295)),"Several items (the script lists them)",IFERROR(INDEX('Dashboard Items'!$B$2:$B$495,MATCH(G295,'Dashboard Items'!$A$2:$A$495,0))&amp;": "&amp;INDEX('Dashboard Items'!$C$2:$C$495,MATCH(G295,'Dashboard Items'!$A$2:$A$495,0)),"ID not found")))</f>
        <v/>
      </c>
      <c r="I295" s="137"/>
      <c r="J295" s="137"/>
      <c r="K295" s="137"/>
      <c r="L295" s="137"/>
      <c r="M295" s="137"/>
      <c r="N295" s="137"/>
      <c r="O295" s="137"/>
      <c r="P295" s="137"/>
      <c r="Q295" s="137"/>
      <c r="R295" s="137"/>
      <c r="S295" s="137"/>
      <c r="T295" s="137"/>
      <c r="U295" s="99" t="str">
        <f>IF(B295="","",IF(IF(D295&lt;&gt;"",D295,IFERROR(INDEX('Dashboard Items'!$B$2:$B$495,MATCH(E295,'Dashboard Items'!$A$2:$A$495,0)),""))="Key Service",IF(O295="No","Key Service: shown, not counted","Counts in Key Service gauge"),IF(IF(D295&lt;&gt;"",D295,IFERROR(INDEX('Dashboard Items'!$B$2:$B$495,MATCH(E295,'Dashboard Items'!$A$2:$A$495,0)),""))="Program",IF(ISNUMBER(SEARCH("ks",G295)),IF(O295="No","Program, also at Key Service: not counted","Counts in Key Service gauge + sets Program chip"),IF(O295="No","Program: shown, no status chip","Sets Program status chip")),IF(IF(D295&lt;&gt;"",D295,IFERROR(INDEX('Dashboard Items'!$B$2:$B$495,MATCH(E295,'Dashboard Items'!$A$2:$A$495,0)),""))="Work System","Work System: shown, not counted","Check Level"))))</f>
        <v/>
      </c>
    </row>
    <row r="296" spans="2:21" ht="15" customHeight="1" x14ac:dyDescent="0.2">
      <c r="B296" s="137"/>
      <c r="C296" s="137"/>
      <c r="D296" s="137"/>
      <c r="E296" s="137"/>
      <c r="F296" s="138" t="str">
        <f>IF(E296="","",IFERROR(IF(INDEX('Dashboard Items'!$B$2:$B$495,MATCH(E296,'Dashboard Items'!$A$2:$A$495,0))="Objective","Objectives go in the next column",IF(OR(D296="",INDEX('Dashboard Items'!$B$2:$B$495,MATCH(E296,'Dashboard Items'!$A$2:$A$495,0))=D296),INDEX('Dashboard Items'!$C$2:$C$495,MATCH(E296,'Dashboard Items'!$A$2:$A$495,0)),"Level does not match ID")),"ID not found"))</f>
        <v/>
      </c>
      <c r="G296" s="139"/>
      <c r="H296" s="138" t="str">
        <f>IF(G296="","",IF(ISNUMBER(SEARCH(",",G296)),"Several items (the script lists them)",IFERROR(INDEX('Dashboard Items'!$B$2:$B$495,MATCH(G296,'Dashboard Items'!$A$2:$A$495,0))&amp;": "&amp;INDEX('Dashboard Items'!$C$2:$C$495,MATCH(G296,'Dashboard Items'!$A$2:$A$495,0)),"ID not found")))</f>
        <v/>
      </c>
      <c r="I296" s="137"/>
      <c r="J296" s="137"/>
      <c r="K296" s="137"/>
      <c r="L296" s="137"/>
      <c r="M296" s="137"/>
      <c r="N296" s="137"/>
      <c r="O296" s="137"/>
      <c r="P296" s="137"/>
      <c r="Q296" s="137"/>
      <c r="R296" s="137"/>
      <c r="S296" s="137"/>
      <c r="T296" s="137"/>
      <c r="U296" s="99" t="str">
        <f>IF(B296="","",IF(IF(D296&lt;&gt;"",D296,IFERROR(INDEX('Dashboard Items'!$B$2:$B$495,MATCH(E296,'Dashboard Items'!$A$2:$A$495,0)),""))="Key Service",IF(O296="No","Key Service: shown, not counted","Counts in Key Service gauge"),IF(IF(D296&lt;&gt;"",D296,IFERROR(INDEX('Dashboard Items'!$B$2:$B$495,MATCH(E296,'Dashboard Items'!$A$2:$A$495,0)),""))="Program",IF(ISNUMBER(SEARCH("ks",G296)),IF(O296="No","Program, also at Key Service: not counted","Counts in Key Service gauge + sets Program chip"),IF(O296="No","Program: shown, no status chip","Sets Program status chip")),IF(IF(D296&lt;&gt;"",D296,IFERROR(INDEX('Dashboard Items'!$B$2:$B$495,MATCH(E296,'Dashboard Items'!$A$2:$A$495,0)),""))="Work System","Work System: shown, not counted","Check Level"))))</f>
        <v/>
      </c>
    </row>
    <row r="297" spans="2:21" ht="15" customHeight="1" x14ac:dyDescent="0.2">
      <c r="B297" s="137"/>
      <c r="C297" s="137"/>
      <c r="D297" s="137"/>
      <c r="E297" s="137"/>
      <c r="F297" s="138" t="str">
        <f>IF(E297="","",IFERROR(IF(INDEX('Dashboard Items'!$B$2:$B$495,MATCH(E297,'Dashboard Items'!$A$2:$A$495,0))="Objective","Objectives go in the next column",IF(OR(D297="",INDEX('Dashboard Items'!$B$2:$B$495,MATCH(E297,'Dashboard Items'!$A$2:$A$495,0))=D297),INDEX('Dashboard Items'!$C$2:$C$495,MATCH(E297,'Dashboard Items'!$A$2:$A$495,0)),"Level does not match ID")),"ID not found"))</f>
        <v/>
      </c>
      <c r="G297" s="139"/>
      <c r="H297" s="138" t="str">
        <f>IF(G297="","",IF(ISNUMBER(SEARCH(",",G297)),"Several items (the script lists them)",IFERROR(INDEX('Dashboard Items'!$B$2:$B$495,MATCH(G297,'Dashboard Items'!$A$2:$A$495,0))&amp;": "&amp;INDEX('Dashboard Items'!$C$2:$C$495,MATCH(G297,'Dashboard Items'!$A$2:$A$495,0)),"ID not found")))</f>
        <v/>
      </c>
      <c r="I297" s="137"/>
      <c r="J297" s="137"/>
      <c r="K297" s="137"/>
      <c r="L297" s="137"/>
      <c r="M297" s="137"/>
      <c r="N297" s="137"/>
      <c r="O297" s="137"/>
      <c r="P297" s="137"/>
      <c r="Q297" s="137"/>
      <c r="R297" s="137"/>
      <c r="S297" s="137"/>
      <c r="T297" s="137"/>
      <c r="U297" s="99" t="str">
        <f>IF(B297="","",IF(IF(D297&lt;&gt;"",D297,IFERROR(INDEX('Dashboard Items'!$B$2:$B$495,MATCH(E297,'Dashboard Items'!$A$2:$A$495,0)),""))="Key Service",IF(O297="No","Key Service: shown, not counted","Counts in Key Service gauge"),IF(IF(D297&lt;&gt;"",D297,IFERROR(INDEX('Dashboard Items'!$B$2:$B$495,MATCH(E297,'Dashboard Items'!$A$2:$A$495,0)),""))="Program",IF(ISNUMBER(SEARCH("ks",G297)),IF(O297="No","Program, also at Key Service: not counted","Counts in Key Service gauge + sets Program chip"),IF(O297="No","Program: shown, no status chip","Sets Program status chip")),IF(IF(D297&lt;&gt;"",D297,IFERROR(INDEX('Dashboard Items'!$B$2:$B$495,MATCH(E297,'Dashboard Items'!$A$2:$A$495,0)),""))="Work System","Work System: shown, not counted","Check Level"))))</f>
        <v/>
      </c>
    </row>
    <row r="298" spans="2:21" ht="15" customHeight="1" x14ac:dyDescent="0.2">
      <c r="B298" s="137"/>
      <c r="C298" s="137"/>
      <c r="D298" s="137"/>
      <c r="E298" s="137"/>
      <c r="F298" s="138" t="str">
        <f>IF(E298="","",IFERROR(IF(INDEX('Dashboard Items'!$B$2:$B$495,MATCH(E298,'Dashboard Items'!$A$2:$A$495,0))="Objective","Objectives go in the next column",IF(OR(D298="",INDEX('Dashboard Items'!$B$2:$B$495,MATCH(E298,'Dashboard Items'!$A$2:$A$495,0))=D298),INDEX('Dashboard Items'!$C$2:$C$495,MATCH(E298,'Dashboard Items'!$A$2:$A$495,0)),"Level does not match ID")),"ID not found"))</f>
        <v/>
      </c>
      <c r="G298" s="139"/>
      <c r="H298" s="138" t="str">
        <f>IF(G298="","",IF(ISNUMBER(SEARCH(",",G298)),"Several items (the script lists them)",IFERROR(INDEX('Dashboard Items'!$B$2:$B$495,MATCH(G298,'Dashboard Items'!$A$2:$A$495,0))&amp;": "&amp;INDEX('Dashboard Items'!$C$2:$C$495,MATCH(G298,'Dashboard Items'!$A$2:$A$495,0)),"ID not found")))</f>
        <v/>
      </c>
      <c r="I298" s="137"/>
      <c r="J298" s="137"/>
      <c r="K298" s="137"/>
      <c r="L298" s="137"/>
      <c r="M298" s="137"/>
      <c r="N298" s="137"/>
      <c r="O298" s="137"/>
      <c r="P298" s="137"/>
      <c r="Q298" s="137"/>
      <c r="R298" s="137"/>
      <c r="S298" s="137"/>
      <c r="T298" s="137"/>
      <c r="U298" s="99" t="str">
        <f>IF(B298="","",IF(IF(D298&lt;&gt;"",D298,IFERROR(INDEX('Dashboard Items'!$B$2:$B$495,MATCH(E298,'Dashboard Items'!$A$2:$A$495,0)),""))="Key Service",IF(O298="No","Key Service: shown, not counted","Counts in Key Service gauge"),IF(IF(D298&lt;&gt;"",D298,IFERROR(INDEX('Dashboard Items'!$B$2:$B$495,MATCH(E298,'Dashboard Items'!$A$2:$A$495,0)),""))="Program",IF(ISNUMBER(SEARCH("ks",G298)),IF(O298="No","Program, also at Key Service: not counted","Counts in Key Service gauge + sets Program chip"),IF(O298="No","Program: shown, no status chip","Sets Program status chip")),IF(IF(D298&lt;&gt;"",D298,IFERROR(INDEX('Dashboard Items'!$B$2:$B$495,MATCH(E298,'Dashboard Items'!$A$2:$A$495,0)),""))="Work System","Work System: shown, not counted","Check Level"))))</f>
        <v/>
      </c>
    </row>
    <row r="299" spans="2:21" ht="15" customHeight="1" x14ac:dyDescent="0.2">
      <c r="B299" s="137"/>
      <c r="C299" s="137"/>
      <c r="D299" s="137"/>
      <c r="E299" s="137"/>
      <c r="F299" s="138" t="str">
        <f>IF(E299="","",IFERROR(IF(INDEX('Dashboard Items'!$B$2:$B$495,MATCH(E299,'Dashboard Items'!$A$2:$A$495,0))="Objective","Objectives go in the next column",IF(OR(D299="",INDEX('Dashboard Items'!$B$2:$B$495,MATCH(E299,'Dashboard Items'!$A$2:$A$495,0))=D299),INDEX('Dashboard Items'!$C$2:$C$495,MATCH(E299,'Dashboard Items'!$A$2:$A$495,0)),"Level does not match ID")),"ID not found"))</f>
        <v/>
      </c>
      <c r="G299" s="139"/>
      <c r="H299" s="138" t="str">
        <f>IF(G299="","",IF(ISNUMBER(SEARCH(",",G299)),"Several items (the script lists them)",IFERROR(INDEX('Dashboard Items'!$B$2:$B$495,MATCH(G299,'Dashboard Items'!$A$2:$A$495,0))&amp;": "&amp;INDEX('Dashboard Items'!$C$2:$C$495,MATCH(G299,'Dashboard Items'!$A$2:$A$495,0)),"ID not found")))</f>
        <v/>
      </c>
      <c r="I299" s="137"/>
      <c r="J299" s="137"/>
      <c r="K299" s="137"/>
      <c r="L299" s="137"/>
      <c r="M299" s="137"/>
      <c r="N299" s="137"/>
      <c r="O299" s="137"/>
      <c r="P299" s="137"/>
      <c r="Q299" s="137"/>
      <c r="R299" s="137"/>
      <c r="S299" s="137"/>
      <c r="T299" s="137"/>
      <c r="U299" s="99" t="str">
        <f>IF(B299="","",IF(IF(D299&lt;&gt;"",D299,IFERROR(INDEX('Dashboard Items'!$B$2:$B$495,MATCH(E299,'Dashboard Items'!$A$2:$A$495,0)),""))="Key Service",IF(O299="No","Key Service: shown, not counted","Counts in Key Service gauge"),IF(IF(D299&lt;&gt;"",D299,IFERROR(INDEX('Dashboard Items'!$B$2:$B$495,MATCH(E299,'Dashboard Items'!$A$2:$A$495,0)),""))="Program",IF(ISNUMBER(SEARCH("ks",G299)),IF(O299="No","Program, also at Key Service: not counted","Counts in Key Service gauge + sets Program chip"),IF(O299="No","Program: shown, no status chip","Sets Program status chip")),IF(IF(D299&lt;&gt;"",D299,IFERROR(INDEX('Dashboard Items'!$B$2:$B$495,MATCH(E299,'Dashboard Items'!$A$2:$A$495,0)),""))="Work System","Work System: shown, not counted","Check Level"))))</f>
        <v/>
      </c>
    </row>
    <row r="300" spans="2:21" ht="15" customHeight="1" x14ac:dyDescent="0.2">
      <c r="B300" s="137"/>
      <c r="C300" s="137"/>
      <c r="D300" s="137"/>
      <c r="E300" s="137"/>
      <c r="F300" s="138" t="str">
        <f>IF(E300="","",IFERROR(IF(INDEX('Dashboard Items'!$B$2:$B$495,MATCH(E300,'Dashboard Items'!$A$2:$A$495,0))="Objective","Objectives go in the next column",IF(OR(D300="",INDEX('Dashboard Items'!$B$2:$B$495,MATCH(E300,'Dashboard Items'!$A$2:$A$495,0))=D300),INDEX('Dashboard Items'!$C$2:$C$495,MATCH(E300,'Dashboard Items'!$A$2:$A$495,0)),"Level does not match ID")),"ID not found"))</f>
        <v/>
      </c>
      <c r="G300" s="139"/>
      <c r="H300" s="138" t="str">
        <f>IF(G300="","",IF(ISNUMBER(SEARCH(",",G300)),"Several items (the script lists them)",IFERROR(INDEX('Dashboard Items'!$B$2:$B$495,MATCH(G300,'Dashboard Items'!$A$2:$A$495,0))&amp;": "&amp;INDEX('Dashboard Items'!$C$2:$C$495,MATCH(G300,'Dashboard Items'!$A$2:$A$495,0)),"ID not found")))</f>
        <v/>
      </c>
      <c r="I300" s="137"/>
      <c r="J300" s="137"/>
      <c r="K300" s="137"/>
      <c r="L300" s="137"/>
      <c r="M300" s="137"/>
      <c r="N300" s="137"/>
      <c r="O300" s="137"/>
      <c r="P300" s="137"/>
      <c r="Q300" s="137"/>
      <c r="R300" s="137"/>
      <c r="S300" s="137"/>
      <c r="T300" s="137"/>
      <c r="U300" s="99" t="str">
        <f>IF(B300="","",IF(IF(D300&lt;&gt;"",D300,IFERROR(INDEX('Dashboard Items'!$B$2:$B$495,MATCH(E300,'Dashboard Items'!$A$2:$A$495,0)),""))="Key Service",IF(O300="No","Key Service: shown, not counted","Counts in Key Service gauge"),IF(IF(D300&lt;&gt;"",D300,IFERROR(INDEX('Dashboard Items'!$B$2:$B$495,MATCH(E300,'Dashboard Items'!$A$2:$A$495,0)),""))="Program",IF(ISNUMBER(SEARCH("ks",G300)),IF(O300="No","Program, also at Key Service: not counted","Counts in Key Service gauge + sets Program chip"),IF(O300="No","Program: shown, no status chip","Sets Program status chip")),IF(IF(D300&lt;&gt;"",D300,IFERROR(INDEX('Dashboard Items'!$B$2:$B$495,MATCH(E300,'Dashboard Items'!$A$2:$A$495,0)),""))="Work System","Work System: shown, not counted","Check Level"))))</f>
        <v/>
      </c>
    </row>
    <row r="301" spans="2:21" ht="15" customHeight="1" x14ac:dyDescent="0.2">
      <c r="B301" s="137"/>
      <c r="C301" s="137"/>
      <c r="D301" s="137"/>
      <c r="E301" s="137"/>
      <c r="F301" s="138" t="str">
        <f>IF(E301="","",IFERROR(IF(INDEX('Dashboard Items'!$B$2:$B$495,MATCH(E301,'Dashboard Items'!$A$2:$A$495,0))="Objective","Objectives go in the next column",IF(OR(D301="",INDEX('Dashboard Items'!$B$2:$B$495,MATCH(E301,'Dashboard Items'!$A$2:$A$495,0))=D301),INDEX('Dashboard Items'!$C$2:$C$495,MATCH(E301,'Dashboard Items'!$A$2:$A$495,0)),"Level does not match ID")),"ID not found"))</f>
        <v/>
      </c>
      <c r="G301" s="139"/>
      <c r="H301" s="138" t="str">
        <f>IF(G301="","",IF(ISNUMBER(SEARCH(",",G301)),"Several items (the script lists them)",IFERROR(INDEX('Dashboard Items'!$B$2:$B$495,MATCH(G301,'Dashboard Items'!$A$2:$A$495,0))&amp;": "&amp;INDEX('Dashboard Items'!$C$2:$C$495,MATCH(G301,'Dashboard Items'!$A$2:$A$495,0)),"ID not found")))</f>
        <v/>
      </c>
      <c r="I301" s="137"/>
      <c r="J301" s="137"/>
      <c r="K301" s="137"/>
      <c r="L301" s="137"/>
      <c r="M301" s="137"/>
      <c r="N301" s="137"/>
      <c r="O301" s="137"/>
      <c r="P301" s="137"/>
      <c r="Q301" s="137"/>
      <c r="R301" s="137"/>
      <c r="S301" s="137"/>
      <c r="T301" s="137"/>
      <c r="U301" s="99" t="str">
        <f>IF(B301="","",IF(IF(D301&lt;&gt;"",D301,IFERROR(INDEX('Dashboard Items'!$B$2:$B$495,MATCH(E301,'Dashboard Items'!$A$2:$A$495,0)),""))="Key Service",IF(O301="No","Key Service: shown, not counted","Counts in Key Service gauge"),IF(IF(D301&lt;&gt;"",D301,IFERROR(INDEX('Dashboard Items'!$B$2:$B$495,MATCH(E301,'Dashboard Items'!$A$2:$A$495,0)),""))="Program",IF(ISNUMBER(SEARCH("ks",G301)),IF(O301="No","Program, also at Key Service: not counted","Counts in Key Service gauge + sets Program chip"),IF(O301="No","Program: shown, no status chip","Sets Program status chip")),IF(IF(D301&lt;&gt;"",D301,IFERROR(INDEX('Dashboard Items'!$B$2:$B$495,MATCH(E301,'Dashboard Items'!$A$2:$A$495,0)),""))="Work System","Work System: shown, not counted","Check Level"))))</f>
        <v/>
      </c>
    </row>
    <row r="302" spans="2:21" ht="15" customHeight="1" x14ac:dyDescent="0.2">
      <c r="B302" s="137"/>
      <c r="C302" s="137"/>
      <c r="D302" s="137"/>
      <c r="E302" s="137"/>
      <c r="F302" s="138" t="str">
        <f>IF(E302="","",IFERROR(IF(INDEX('Dashboard Items'!$B$2:$B$495,MATCH(E302,'Dashboard Items'!$A$2:$A$495,0))="Objective","Objectives go in the next column",IF(OR(D302="",INDEX('Dashboard Items'!$B$2:$B$495,MATCH(E302,'Dashboard Items'!$A$2:$A$495,0))=D302),INDEX('Dashboard Items'!$C$2:$C$495,MATCH(E302,'Dashboard Items'!$A$2:$A$495,0)),"Level does not match ID")),"ID not found"))</f>
        <v/>
      </c>
      <c r="G302" s="139"/>
      <c r="H302" s="138" t="str">
        <f>IF(G302="","",IF(ISNUMBER(SEARCH(",",G302)),"Several items (the script lists them)",IFERROR(INDEX('Dashboard Items'!$B$2:$B$495,MATCH(G302,'Dashboard Items'!$A$2:$A$495,0))&amp;": "&amp;INDEX('Dashboard Items'!$C$2:$C$495,MATCH(G302,'Dashboard Items'!$A$2:$A$495,0)),"ID not found")))</f>
        <v/>
      </c>
      <c r="I302" s="137"/>
      <c r="J302" s="137"/>
      <c r="K302" s="137"/>
      <c r="L302" s="137"/>
      <c r="M302" s="137"/>
      <c r="N302" s="137"/>
      <c r="O302" s="137"/>
      <c r="P302" s="137"/>
      <c r="Q302" s="137"/>
      <c r="R302" s="137"/>
      <c r="S302" s="137"/>
      <c r="T302" s="137"/>
      <c r="U302" s="99" t="str">
        <f>IF(B302="","",IF(IF(D302&lt;&gt;"",D302,IFERROR(INDEX('Dashboard Items'!$B$2:$B$495,MATCH(E302,'Dashboard Items'!$A$2:$A$495,0)),""))="Key Service",IF(O302="No","Key Service: shown, not counted","Counts in Key Service gauge"),IF(IF(D302&lt;&gt;"",D302,IFERROR(INDEX('Dashboard Items'!$B$2:$B$495,MATCH(E302,'Dashboard Items'!$A$2:$A$495,0)),""))="Program",IF(ISNUMBER(SEARCH("ks",G302)),IF(O302="No","Program, also at Key Service: not counted","Counts in Key Service gauge + sets Program chip"),IF(O302="No","Program: shown, no status chip","Sets Program status chip")),IF(IF(D302&lt;&gt;"",D302,IFERROR(INDEX('Dashboard Items'!$B$2:$B$495,MATCH(E302,'Dashboard Items'!$A$2:$A$495,0)),""))="Work System","Work System: shown, not counted","Check Level"))))</f>
        <v/>
      </c>
    </row>
    <row r="303" spans="2:21" ht="15" customHeight="1" x14ac:dyDescent="0.2">
      <c r="B303" s="137"/>
      <c r="C303" s="137"/>
      <c r="D303" s="137"/>
      <c r="E303" s="137"/>
      <c r="F303" s="138" t="str">
        <f>IF(E303="","",IFERROR(IF(INDEX('Dashboard Items'!$B$2:$B$495,MATCH(E303,'Dashboard Items'!$A$2:$A$495,0))="Objective","Objectives go in the next column",IF(OR(D303="",INDEX('Dashboard Items'!$B$2:$B$495,MATCH(E303,'Dashboard Items'!$A$2:$A$495,0))=D303),INDEX('Dashboard Items'!$C$2:$C$495,MATCH(E303,'Dashboard Items'!$A$2:$A$495,0)),"Level does not match ID")),"ID not found"))</f>
        <v/>
      </c>
      <c r="G303" s="139"/>
      <c r="H303" s="138" t="str">
        <f>IF(G303="","",IF(ISNUMBER(SEARCH(",",G303)),"Several items (the script lists them)",IFERROR(INDEX('Dashboard Items'!$B$2:$B$495,MATCH(G303,'Dashboard Items'!$A$2:$A$495,0))&amp;": "&amp;INDEX('Dashboard Items'!$C$2:$C$495,MATCH(G303,'Dashboard Items'!$A$2:$A$495,0)),"ID not found")))</f>
        <v/>
      </c>
      <c r="I303" s="137"/>
      <c r="J303" s="137"/>
      <c r="K303" s="137"/>
      <c r="L303" s="137"/>
      <c r="M303" s="137"/>
      <c r="N303" s="137"/>
      <c r="O303" s="137"/>
      <c r="P303" s="137"/>
      <c r="Q303" s="137"/>
      <c r="R303" s="137"/>
      <c r="S303" s="137"/>
      <c r="T303" s="137"/>
      <c r="U303" s="99" t="str">
        <f>IF(B303="","",IF(IF(D303&lt;&gt;"",D303,IFERROR(INDEX('Dashboard Items'!$B$2:$B$495,MATCH(E303,'Dashboard Items'!$A$2:$A$495,0)),""))="Key Service",IF(O303="No","Key Service: shown, not counted","Counts in Key Service gauge"),IF(IF(D303&lt;&gt;"",D303,IFERROR(INDEX('Dashboard Items'!$B$2:$B$495,MATCH(E303,'Dashboard Items'!$A$2:$A$495,0)),""))="Program",IF(ISNUMBER(SEARCH("ks",G303)),IF(O303="No","Program, also at Key Service: not counted","Counts in Key Service gauge + sets Program chip"),IF(O303="No","Program: shown, no status chip","Sets Program status chip")),IF(IF(D303&lt;&gt;"",D303,IFERROR(INDEX('Dashboard Items'!$B$2:$B$495,MATCH(E303,'Dashboard Items'!$A$2:$A$495,0)),""))="Work System","Work System: shown, not counted","Check Level"))))</f>
        <v/>
      </c>
    </row>
    <row r="304" spans="2:21" ht="15" customHeight="1" x14ac:dyDescent="0.2">
      <c r="B304" s="137"/>
      <c r="C304" s="137"/>
      <c r="D304" s="137"/>
      <c r="E304" s="137"/>
      <c r="F304" s="138" t="str">
        <f>IF(E304="","",IFERROR(IF(INDEX('Dashboard Items'!$B$2:$B$495,MATCH(E304,'Dashboard Items'!$A$2:$A$495,0))="Objective","Objectives go in the next column",IF(OR(D304="",INDEX('Dashboard Items'!$B$2:$B$495,MATCH(E304,'Dashboard Items'!$A$2:$A$495,0))=D304),INDEX('Dashboard Items'!$C$2:$C$495,MATCH(E304,'Dashboard Items'!$A$2:$A$495,0)),"Level does not match ID")),"ID not found"))</f>
        <v/>
      </c>
      <c r="G304" s="139"/>
      <c r="H304" s="138" t="str">
        <f>IF(G304="","",IF(ISNUMBER(SEARCH(",",G304)),"Several items (the script lists them)",IFERROR(INDEX('Dashboard Items'!$B$2:$B$495,MATCH(G304,'Dashboard Items'!$A$2:$A$495,0))&amp;": "&amp;INDEX('Dashboard Items'!$C$2:$C$495,MATCH(G304,'Dashboard Items'!$A$2:$A$495,0)),"ID not found")))</f>
        <v/>
      </c>
      <c r="I304" s="137"/>
      <c r="J304" s="137"/>
      <c r="K304" s="137"/>
      <c r="L304" s="137"/>
      <c r="M304" s="137"/>
      <c r="N304" s="137"/>
      <c r="O304" s="137"/>
      <c r="P304" s="137"/>
      <c r="Q304" s="137"/>
      <c r="R304" s="137"/>
      <c r="S304" s="137"/>
      <c r="T304" s="137"/>
      <c r="U304" s="99" t="str">
        <f>IF(B304="","",IF(IF(D304&lt;&gt;"",D304,IFERROR(INDEX('Dashboard Items'!$B$2:$B$495,MATCH(E304,'Dashboard Items'!$A$2:$A$495,0)),""))="Key Service",IF(O304="No","Key Service: shown, not counted","Counts in Key Service gauge"),IF(IF(D304&lt;&gt;"",D304,IFERROR(INDEX('Dashboard Items'!$B$2:$B$495,MATCH(E304,'Dashboard Items'!$A$2:$A$495,0)),""))="Program",IF(ISNUMBER(SEARCH("ks",G304)),IF(O304="No","Program, also at Key Service: not counted","Counts in Key Service gauge + sets Program chip"),IF(O304="No","Program: shown, no status chip","Sets Program status chip")),IF(IF(D304&lt;&gt;"",D304,IFERROR(INDEX('Dashboard Items'!$B$2:$B$495,MATCH(E304,'Dashboard Items'!$A$2:$A$495,0)),""))="Work System","Work System: shown, not counted","Check Level"))))</f>
        <v/>
      </c>
    </row>
    <row r="305" spans="2:21" ht="15" customHeight="1" x14ac:dyDescent="0.2">
      <c r="B305" s="137"/>
      <c r="C305" s="137"/>
      <c r="D305" s="137"/>
      <c r="E305" s="137"/>
      <c r="F305" s="138" t="str">
        <f>IF(E305="","",IFERROR(IF(INDEX('Dashboard Items'!$B$2:$B$495,MATCH(E305,'Dashboard Items'!$A$2:$A$495,0))="Objective","Objectives go in the next column",IF(OR(D305="",INDEX('Dashboard Items'!$B$2:$B$495,MATCH(E305,'Dashboard Items'!$A$2:$A$495,0))=D305),INDEX('Dashboard Items'!$C$2:$C$495,MATCH(E305,'Dashboard Items'!$A$2:$A$495,0)),"Level does not match ID")),"ID not found"))</f>
        <v/>
      </c>
      <c r="G305" s="139"/>
      <c r="H305" s="138" t="str">
        <f>IF(G305="","",IF(ISNUMBER(SEARCH(",",G305)),"Several items (the script lists them)",IFERROR(INDEX('Dashboard Items'!$B$2:$B$495,MATCH(G305,'Dashboard Items'!$A$2:$A$495,0))&amp;": "&amp;INDEX('Dashboard Items'!$C$2:$C$495,MATCH(G305,'Dashboard Items'!$A$2:$A$495,0)),"ID not found")))</f>
        <v/>
      </c>
      <c r="I305" s="137"/>
      <c r="J305" s="137"/>
      <c r="K305" s="137"/>
      <c r="L305" s="137"/>
      <c r="M305" s="137"/>
      <c r="N305" s="137"/>
      <c r="O305" s="137"/>
      <c r="P305" s="137"/>
      <c r="Q305" s="137"/>
      <c r="R305" s="137"/>
      <c r="S305" s="137"/>
      <c r="T305" s="137"/>
      <c r="U305" s="99" t="str">
        <f>IF(B305="","",IF(IF(D305&lt;&gt;"",D305,IFERROR(INDEX('Dashboard Items'!$B$2:$B$495,MATCH(E305,'Dashboard Items'!$A$2:$A$495,0)),""))="Key Service",IF(O305="No","Key Service: shown, not counted","Counts in Key Service gauge"),IF(IF(D305&lt;&gt;"",D305,IFERROR(INDEX('Dashboard Items'!$B$2:$B$495,MATCH(E305,'Dashboard Items'!$A$2:$A$495,0)),""))="Program",IF(ISNUMBER(SEARCH("ks",G305)),IF(O305="No","Program, also at Key Service: not counted","Counts in Key Service gauge + sets Program chip"),IF(O305="No","Program: shown, no status chip","Sets Program status chip")),IF(IF(D305&lt;&gt;"",D305,IFERROR(INDEX('Dashboard Items'!$B$2:$B$495,MATCH(E305,'Dashboard Items'!$A$2:$A$495,0)),""))="Work System","Work System: shown, not counted","Check Level"))))</f>
        <v/>
      </c>
    </row>
  </sheetData>
  <autoFilter ref="A1:U1" xr:uid="{00000000-0009-0000-0000-000003000000}"/>
  <dataValidations count="3">
    <dataValidation type="list" allowBlank="1" errorTitle="Level" error="Choose Work System, Key Service or Program." sqref="D2:D30 E29 D31:D305" xr:uid="{00000000-0002-0000-0300-000000000000}">
      <formula1>"Work System,Key Service,Program"</formula1>
      <formula2>0</formula2>
    </dataValidation>
    <dataValidation type="list" allowBlank="1" sqref="K2:K305 O2:O305" xr:uid="{00000000-0002-0000-0300-000001000000}">
      <formula1>"Yes,No"</formula1>
      <formula2>0</formula2>
    </dataValidation>
    <dataValidation type="list" allowBlank="1" errorTitle="Status Based On" error="Choose Target or Benchmark." sqref="L2:L305" xr:uid="{00000000-0002-0000-0300-000002000000}">
      <formula1>"Target,Benchmark"</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2"/>
  <sheetViews>
    <sheetView zoomScale="90" zoomScaleNormal="90" workbookViewId="0">
      <pane ySplit="1" topLeftCell="A121" activePane="bottomLeft" state="frozen"/>
      <selection pane="bottomLeft" activeCell="C95" sqref="C95"/>
    </sheetView>
  </sheetViews>
  <sheetFormatPr baseColWidth="10" defaultColWidth="8.6640625" defaultRowHeight="15" x14ac:dyDescent="0.2"/>
  <cols>
    <col min="1" max="1" width="8.33203125" customWidth="1"/>
    <col min="2" max="2" width="22.1640625" customWidth="1"/>
    <col min="3" max="3" width="9.1640625" style="15" customWidth="1"/>
    <col min="4" max="4" width="24" style="15" customWidth="1"/>
    <col min="5" max="5" width="11.6640625" style="15" customWidth="1"/>
    <col min="6" max="6" width="9" style="15" customWidth="1"/>
    <col min="7" max="7" width="13" style="15" customWidth="1"/>
    <col min="8" max="8" width="20.33203125" customWidth="1"/>
  </cols>
  <sheetData>
    <row r="1" spans="1:8" ht="15" customHeight="1" x14ac:dyDescent="0.2">
      <c r="A1" s="93" t="s">
        <v>0</v>
      </c>
      <c r="B1" s="140" t="s">
        <v>529</v>
      </c>
      <c r="C1" s="93" t="s">
        <v>773</v>
      </c>
      <c r="D1" s="93" t="s">
        <v>774</v>
      </c>
      <c r="E1" s="93" t="s">
        <v>775</v>
      </c>
      <c r="F1" s="93" t="s">
        <v>552</v>
      </c>
      <c r="G1" s="93" t="s">
        <v>776</v>
      </c>
      <c r="H1" s="93" t="s">
        <v>38</v>
      </c>
    </row>
    <row r="2" spans="1:8" s="141" customFormat="1" ht="13.5" customHeight="1" x14ac:dyDescent="0.2">
      <c r="A2" s="141" t="str">
        <f t="shared" ref="A2:A65" si="0">LEFT(B2, FIND("-", B2) - 1)</f>
        <v>CLERK</v>
      </c>
      <c r="B2" s="141" t="s">
        <v>568</v>
      </c>
      <c r="C2" s="142" t="s">
        <v>777</v>
      </c>
      <c r="D2" s="142"/>
      <c r="E2" s="142"/>
      <c r="F2" s="142"/>
      <c r="G2" s="142"/>
    </row>
    <row r="3" spans="1:8" s="141" customFormat="1" ht="13.5" customHeight="1" x14ac:dyDescent="0.2">
      <c r="A3" s="141" t="str">
        <f t="shared" si="0"/>
        <v>CLERK</v>
      </c>
      <c r="B3" s="141" t="s">
        <v>572</v>
      </c>
      <c r="C3" s="142" t="s">
        <v>777</v>
      </c>
      <c r="D3" s="142"/>
      <c r="E3" s="142"/>
      <c r="F3" s="142"/>
      <c r="G3" s="142"/>
    </row>
    <row r="4" spans="1:8" s="141" customFormat="1" ht="13.5" customHeight="1" x14ac:dyDescent="0.2">
      <c r="A4" s="141" t="str">
        <f t="shared" si="0"/>
        <v>CLERK</v>
      </c>
      <c r="B4" s="141" t="s">
        <v>576</v>
      </c>
      <c r="C4" s="142" t="s">
        <v>777</v>
      </c>
      <c r="D4" s="142"/>
      <c r="E4" s="142"/>
      <c r="F4" s="142"/>
      <c r="G4" s="142"/>
    </row>
    <row r="5" spans="1:8" s="141" customFormat="1" ht="13.5" customHeight="1" x14ac:dyDescent="0.2">
      <c r="A5" s="141" t="str">
        <f t="shared" si="0"/>
        <v>CLERK</v>
      </c>
      <c r="B5" s="141" t="s">
        <v>571</v>
      </c>
      <c r="C5" s="142" t="s">
        <v>777</v>
      </c>
      <c r="D5" s="142"/>
      <c r="E5" s="142"/>
      <c r="F5" s="142"/>
      <c r="G5" s="142"/>
    </row>
    <row r="6" spans="1:8" s="141" customFormat="1" ht="13.5" customHeight="1" x14ac:dyDescent="0.2">
      <c r="A6" s="141" t="str">
        <f t="shared" si="0"/>
        <v>CLERK</v>
      </c>
      <c r="B6" s="141" t="s">
        <v>569</v>
      </c>
      <c r="C6" s="142" t="s">
        <v>777</v>
      </c>
      <c r="D6" s="142"/>
      <c r="E6" s="142"/>
      <c r="F6" s="142"/>
      <c r="G6" s="142"/>
    </row>
    <row r="7" spans="1:8" s="141" customFormat="1" ht="13.5" customHeight="1" x14ac:dyDescent="0.2">
      <c r="A7" s="141" t="str">
        <f t="shared" si="0"/>
        <v>CLERK</v>
      </c>
      <c r="B7" s="141" t="s">
        <v>565</v>
      </c>
      <c r="C7" s="142" t="s">
        <v>777</v>
      </c>
      <c r="D7" s="142"/>
      <c r="E7" s="142"/>
      <c r="F7" s="142"/>
      <c r="G7" s="142"/>
    </row>
    <row r="8" spans="1:8" s="141" customFormat="1" ht="13.5" customHeight="1" x14ac:dyDescent="0.2">
      <c r="A8" s="141" t="str">
        <f t="shared" si="0"/>
        <v>CLERK</v>
      </c>
      <c r="B8" s="141" t="s">
        <v>570</v>
      </c>
      <c r="C8" s="142" t="s">
        <v>777</v>
      </c>
      <c r="D8" s="142"/>
      <c r="E8" s="142"/>
      <c r="F8" s="142"/>
      <c r="G8" s="142"/>
    </row>
    <row r="9" spans="1:8" s="141" customFormat="1" ht="13.5" customHeight="1" x14ac:dyDescent="0.2">
      <c r="A9" s="141" t="str">
        <f t="shared" si="0"/>
        <v>CLERK</v>
      </c>
      <c r="B9" s="141" t="s">
        <v>567</v>
      </c>
      <c r="C9" s="142" t="s">
        <v>777</v>
      </c>
      <c r="D9" s="142"/>
      <c r="E9" s="142"/>
      <c r="F9" s="142"/>
      <c r="G9" s="142"/>
    </row>
    <row r="10" spans="1:8" s="108" customFormat="1" ht="13.5" customHeight="1" x14ac:dyDescent="0.2">
      <c r="A10" s="108" t="str">
        <f t="shared" si="0"/>
        <v>HR</v>
      </c>
      <c r="B10" s="108" t="s">
        <v>584</v>
      </c>
      <c r="C10" s="143" t="s">
        <v>778</v>
      </c>
      <c r="D10" s="143"/>
      <c r="E10" s="143">
        <v>69</v>
      </c>
      <c r="F10" s="143"/>
      <c r="G10" s="143">
        <v>76.599999999999994</v>
      </c>
      <c r="H10" s="108" t="s">
        <v>779</v>
      </c>
    </row>
    <row r="11" spans="1:8" s="108" customFormat="1" ht="13.5" customHeight="1" x14ac:dyDescent="0.2">
      <c r="A11" s="108" t="str">
        <f t="shared" si="0"/>
        <v>HR</v>
      </c>
      <c r="B11" s="108" t="s">
        <v>584</v>
      </c>
      <c r="C11" s="143" t="s">
        <v>780</v>
      </c>
      <c r="D11" s="143"/>
      <c r="E11" s="143">
        <v>81.3</v>
      </c>
      <c r="F11" s="143"/>
      <c r="G11" s="143">
        <v>75.099999999999994</v>
      </c>
      <c r="H11" s="108" t="s">
        <v>779</v>
      </c>
    </row>
    <row r="12" spans="1:8" s="108" customFormat="1" ht="13.5" customHeight="1" x14ac:dyDescent="0.2">
      <c r="A12" s="108" t="str">
        <f t="shared" si="0"/>
        <v>HR</v>
      </c>
      <c r="B12" s="108" t="s">
        <v>584</v>
      </c>
      <c r="C12" s="143" t="s">
        <v>781</v>
      </c>
      <c r="D12" s="143"/>
      <c r="E12" s="143">
        <v>79.3</v>
      </c>
      <c r="F12" s="143"/>
      <c r="G12" s="143">
        <v>76.599999999999994</v>
      </c>
    </row>
    <row r="13" spans="1:8" s="108" customFormat="1" ht="13.5" customHeight="1" x14ac:dyDescent="0.2">
      <c r="A13" s="108" t="str">
        <f t="shared" si="0"/>
        <v>HR</v>
      </c>
      <c r="B13" s="108" t="s">
        <v>584</v>
      </c>
      <c r="C13" s="143" t="s">
        <v>781</v>
      </c>
      <c r="D13" s="143" t="s">
        <v>782</v>
      </c>
      <c r="E13" s="143">
        <v>79.900000000000006</v>
      </c>
      <c r="F13" s="143"/>
      <c r="G13" s="143"/>
    </row>
    <row r="14" spans="1:8" s="108" customFormat="1" ht="13.5" customHeight="1" x14ac:dyDescent="0.2">
      <c r="A14" s="108" t="str">
        <f t="shared" si="0"/>
        <v>HR</v>
      </c>
      <c r="B14" s="108" t="s">
        <v>584</v>
      </c>
      <c r="C14" s="143" t="s">
        <v>781</v>
      </c>
      <c r="D14" s="143" t="s">
        <v>783</v>
      </c>
      <c r="E14" s="143">
        <v>78.2</v>
      </c>
      <c r="F14" s="143"/>
      <c r="G14" s="143"/>
    </row>
    <row r="15" spans="1:8" s="108" customFormat="1" ht="13.5" customHeight="1" x14ac:dyDescent="0.2">
      <c r="A15" s="108" t="str">
        <f t="shared" si="0"/>
        <v>HR</v>
      </c>
      <c r="B15" s="108" t="s">
        <v>584</v>
      </c>
      <c r="C15" s="143"/>
      <c r="D15" s="143"/>
      <c r="E15" s="143"/>
      <c r="F15" s="143"/>
      <c r="G15" s="143"/>
    </row>
    <row r="16" spans="1:8" s="108" customFormat="1" ht="13.5" customHeight="1" x14ac:dyDescent="0.2">
      <c r="A16" s="108" t="str">
        <f t="shared" si="0"/>
        <v>HR</v>
      </c>
      <c r="B16" s="108" t="s">
        <v>602</v>
      </c>
      <c r="C16" s="143"/>
      <c r="D16" s="143"/>
      <c r="E16" s="143"/>
      <c r="F16" s="143"/>
      <c r="G16" s="143"/>
    </row>
    <row r="17" spans="1:7" s="108" customFormat="1" ht="13.5" customHeight="1" x14ac:dyDescent="0.2">
      <c r="A17" s="108" t="str">
        <f t="shared" si="0"/>
        <v>HR</v>
      </c>
      <c r="B17" s="108" t="s">
        <v>605</v>
      </c>
      <c r="C17" s="143"/>
      <c r="D17" s="143"/>
      <c r="E17" s="143"/>
      <c r="F17" s="143"/>
      <c r="G17" s="143"/>
    </row>
    <row r="18" spans="1:7" s="108" customFormat="1" ht="13.5" customHeight="1" x14ac:dyDescent="0.2">
      <c r="A18" s="108" t="str">
        <f t="shared" si="0"/>
        <v>HR</v>
      </c>
      <c r="B18" s="108" t="s">
        <v>580</v>
      </c>
      <c r="C18" s="143"/>
      <c r="D18" s="143"/>
      <c r="E18" s="143"/>
      <c r="F18" s="143"/>
      <c r="G18" s="143"/>
    </row>
    <row r="19" spans="1:7" s="108" customFormat="1" ht="13.5" customHeight="1" x14ac:dyDescent="0.2">
      <c r="A19" s="108" t="str">
        <f t="shared" si="0"/>
        <v>HR</v>
      </c>
      <c r="B19" s="108" t="s">
        <v>604</v>
      </c>
      <c r="C19" s="143"/>
      <c r="D19" s="143"/>
      <c r="E19" s="143"/>
      <c r="F19" s="143"/>
      <c r="G19" s="143"/>
    </row>
    <row r="20" spans="1:7" s="108" customFormat="1" ht="13.5" customHeight="1" x14ac:dyDescent="0.2">
      <c r="A20" s="108" t="str">
        <f t="shared" si="0"/>
        <v>HR</v>
      </c>
      <c r="B20" s="108" t="s">
        <v>598</v>
      </c>
      <c r="C20" s="143"/>
      <c r="D20" s="143"/>
      <c r="E20" s="143"/>
      <c r="F20" s="143"/>
      <c r="G20" s="143"/>
    </row>
    <row r="21" spans="1:7" s="108" customFormat="1" ht="13.5" customHeight="1" x14ac:dyDescent="0.2">
      <c r="A21" s="108" t="str">
        <f t="shared" si="0"/>
        <v>HR</v>
      </c>
      <c r="B21" s="108" t="s">
        <v>594</v>
      </c>
      <c r="C21" s="143"/>
      <c r="D21" s="143"/>
      <c r="E21" s="143"/>
      <c r="F21" s="143"/>
      <c r="G21" s="143"/>
    </row>
    <row r="22" spans="1:7" s="108" customFormat="1" ht="13.5" customHeight="1" x14ac:dyDescent="0.2">
      <c r="A22" s="108" t="str">
        <f t="shared" si="0"/>
        <v>HR</v>
      </c>
      <c r="B22" s="108" t="s">
        <v>578</v>
      </c>
      <c r="C22" s="143"/>
      <c r="D22" s="143"/>
      <c r="E22" s="143"/>
      <c r="F22" s="143"/>
      <c r="G22" s="143"/>
    </row>
    <row r="23" spans="1:7" s="108" customFormat="1" ht="13.5" customHeight="1" x14ac:dyDescent="0.2">
      <c r="A23" s="108" t="str">
        <f t="shared" si="0"/>
        <v>HR</v>
      </c>
      <c r="B23" s="108" t="s">
        <v>603</v>
      </c>
      <c r="C23" s="143"/>
      <c r="D23" s="143"/>
      <c r="E23" s="143"/>
      <c r="F23" s="143"/>
      <c r="G23" s="143"/>
    </row>
    <row r="24" spans="1:7" s="108" customFormat="1" ht="13.5" customHeight="1" x14ac:dyDescent="0.2">
      <c r="A24" s="108" t="str">
        <f t="shared" si="0"/>
        <v>HR</v>
      </c>
      <c r="B24" s="108" t="s">
        <v>597</v>
      </c>
      <c r="C24" s="143"/>
      <c r="D24" s="143"/>
      <c r="E24" s="143"/>
      <c r="F24" s="143"/>
      <c r="G24" s="143"/>
    </row>
    <row r="25" spans="1:7" s="108" customFormat="1" ht="13.5" customHeight="1" x14ac:dyDescent="0.2">
      <c r="A25" s="108" t="str">
        <f t="shared" si="0"/>
        <v>HR</v>
      </c>
      <c r="B25" s="108" t="s">
        <v>607</v>
      </c>
      <c r="C25" s="143"/>
      <c r="D25" s="143"/>
      <c r="E25" s="143"/>
      <c r="F25" s="143"/>
      <c r="G25" s="143"/>
    </row>
    <row r="26" spans="1:7" s="108" customFormat="1" ht="13.5" customHeight="1" x14ac:dyDescent="0.2">
      <c r="A26" s="108" t="str">
        <f t="shared" si="0"/>
        <v>HR</v>
      </c>
      <c r="B26" s="108" t="s">
        <v>600</v>
      </c>
      <c r="C26" s="143"/>
      <c r="D26" s="143"/>
      <c r="E26" s="143"/>
      <c r="F26" s="143"/>
      <c r="G26" s="143"/>
    </row>
    <row r="27" spans="1:7" s="108" customFormat="1" ht="13.5" customHeight="1" x14ac:dyDescent="0.2">
      <c r="A27" s="108" t="str">
        <f t="shared" si="0"/>
        <v>HR</v>
      </c>
      <c r="B27" s="108" t="s">
        <v>593</v>
      </c>
      <c r="C27" s="143"/>
      <c r="D27" s="143"/>
      <c r="E27" s="143"/>
      <c r="F27" s="143"/>
      <c r="G27" s="143"/>
    </row>
    <row r="28" spans="1:7" s="108" customFormat="1" ht="13.5" customHeight="1" x14ac:dyDescent="0.2">
      <c r="A28" s="108" t="str">
        <f t="shared" si="0"/>
        <v>HR</v>
      </c>
      <c r="B28" s="108" t="s">
        <v>581</v>
      </c>
      <c r="C28" s="143"/>
      <c r="D28" s="143"/>
      <c r="E28" s="143"/>
      <c r="F28" s="143"/>
      <c r="G28" s="143"/>
    </row>
    <row r="29" spans="1:7" s="108" customFormat="1" ht="13.5" customHeight="1" x14ac:dyDescent="0.2">
      <c r="A29" s="108" t="str">
        <f t="shared" si="0"/>
        <v>HR</v>
      </c>
      <c r="B29" s="106" t="s">
        <v>582</v>
      </c>
      <c r="C29" s="143"/>
      <c r="D29" s="143"/>
      <c r="E29" s="143"/>
      <c r="F29" s="143"/>
      <c r="G29" s="143"/>
    </row>
    <row r="30" spans="1:7" s="108" customFormat="1" ht="13.5" customHeight="1" x14ac:dyDescent="0.2">
      <c r="A30" s="108" t="str">
        <f t="shared" si="0"/>
        <v>HR</v>
      </c>
      <c r="B30" s="108" t="s">
        <v>583</v>
      </c>
      <c r="C30" s="143"/>
      <c r="D30" s="143"/>
      <c r="E30" s="143"/>
      <c r="F30" s="143"/>
      <c r="G30" s="143"/>
    </row>
    <row r="31" spans="1:7" s="108" customFormat="1" ht="13.5" customHeight="1" x14ac:dyDescent="0.2">
      <c r="A31" s="108" t="str">
        <f t="shared" si="0"/>
        <v>HR</v>
      </c>
      <c r="B31" s="108" t="s">
        <v>596</v>
      </c>
      <c r="C31" s="143"/>
      <c r="D31" s="143"/>
      <c r="E31" s="143"/>
      <c r="F31" s="143"/>
      <c r="G31" s="143"/>
    </row>
    <row r="32" spans="1:7" s="108" customFormat="1" ht="13.5" customHeight="1" x14ac:dyDescent="0.2">
      <c r="A32" s="108" t="str">
        <f t="shared" si="0"/>
        <v>HR</v>
      </c>
      <c r="B32" s="108" t="s">
        <v>599</v>
      </c>
      <c r="C32" s="143"/>
      <c r="D32" s="143"/>
      <c r="E32" s="143"/>
      <c r="F32" s="143"/>
      <c r="G32" s="143"/>
    </row>
    <row r="33" spans="1:8" s="108" customFormat="1" ht="13.5" customHeight="1" x14ac:dyDescent="0.2">
      <c r="A33" s="108" t="str">
        <f t="shared" si="0"/>
        <v>HR</v>
      </c>
      <c r="B33" s="95" t="s">
        <v>577</v>
      </c>
      <c r="C33" s="143"/>
      <c r="D33" s="143"/>
      <c r="E33" s="143"/>
      <c r="F33" s="143"/>
      <c r="G33" s="143"/>
    </row>
    <row r="34" spans="1:8" s="108" customFormat="1" ht="13.5" customHeight="1" x14ac:dyDescent="0.2">
      <c r="A34" s="108" t="str">
        <f t="shared" si="0"/>
        <v>HR</v>
      </c>
      <c r="B34" s="95" t="s">
        <v>601</v>
      </c>
      <c r="C34" s="143"/>
      <c r="D34" s="143"/>
      <c r="E34" s="143"/>
      <c r="F34" s="143"/>
      <c r="G34" s="143"/>
    </row>
    <row r="35" spans="1:8" s="149" customFormat="1" ht="15" customHeight="1" x14ac:dyDescent="0.2">
      <c r="A35" s="144" t="str">
        <f t="shared" si="0"/>
        <v>IT</v>
      </c>
      <c r="B35" s="145" t="s">
        <v>618</v>
      </c>
      <c r="C35" s="146" t="s">
        <v>784</v>
      </c>
      <c r="D35" s="147"/>
      <c r="E35" s="147">
        <v>99.89</v>
      </c>
      <c r="F35" s="147">
        <v>99.99</v>
      </c>
      <c r="G35" s="147">
        <v>99.998999999999995</v>
      </c>
      <c r="H35" s="148"/>
    </row>
    <row r="36" spans="1:8" s="149" customFormat="1" ht="15" customHeight="1" x14ac:dyDescent="0.2">
      <c r="A36" s="144" t="str">
        <f t="shared" si="0"/>
        <v>IT</v>
      </c>
      <c r="B36" s="145" t="s">
        <v>618</v>
      </c>
      <c r="C36" s="146" t="s">
        <v>785</v>
      </c>
      <c r="D36" s="147"/>
      <c r="E36" s="147">
        <v>99.98</v>
      </c>
      <c r="F36" s="147">
        <v>99.99</v>
      </c>
      <c r="G36" s="147">
        <v>99.998999999999995</v>
      </c>
      <c r="H36" s="148"/>
    </row>
    <row r="37" spans="1:8" s="149" customFormat="1" ht="15" customHeight="1" x14ac:dyDescent="0.2">
      <c r="A37" s="144" t="str">
        <f t="shared" si="0"/>
        <v>IT</v>
      </c>
      <c r="B37" s="145" t="s">
        <v>618</v>
      </c>
      <c r="C37" s="146" t="s">
        <v>778</v>
      </c>
      <c r="D37" s="147"/>
      <c r="E37" s="147">
        <v>99.92</v>
      </c>
      <c r="F37" s="147">
        <v>99.99</v>
      </c>
      <c r="G37" s="147">
        <v>99.998999999999995</v>
      </c>
      <c r="H37" s="148"/>
    </row>
    <row r="38" spans="1:8" s="149" customFormat="1" ht="15" customHeight="1" x14ac:dyDescent="0.2">
      <c r="A38" s="144" t="str">
        <f t="shared" si="0"/>
        <v>IT</v>
      </c>
      <c r="B38" s="145" t="s">
        <v>618</v>
      </c>
      <c r="C38" s="146" t="s">
        <v>786</v>
      </c>
      <c r="D38" s="147"/>
      <c r="E38" s="147">
        <v>99.91</v>
      </c>
      <c r="F38" s="147">
        <v>99.99</v>
      </c>
      <c r="G38" s="147">
        <v>99.998999999999995</v>
      </c>
      <c r="H38" s="148"/>
    </row>
    <row r="39" spans="1:8" s="149" customFormat="1" ht="15" customHeight="1" x14ac:dyDescent="0.2">
      <c r="A39" s="144" t="str">
        <f t="shared" si="0"/>
        <v>IT</v>
      </c>
      <c r="B39" s="145" t="s">
        <v>618</v>
      </c>
      <c r="C39" s="146" t="s">
        <v>780</v>
      </c>
      <c r="D39" s="147"/>
      <c r="E39" s="147">
        <v>99.79</v>
      </c>
      <c r="F39" s="147">
        <v>99.99</v>
      </c>
      <c r="G39" s="147">
        <v>99.998999999999995</v>
      </c>
      <c r="H39" s="148"/>
    </row>
    <row r="40" spans="1:8" s="149" customFormat="1" ht="15" customHeight="1" x14ac:dyDescent="0.2">
      <c r="A40" s="144" t="str">
        <f t="shared" si="0"/>
        <v>IT</v>
      </c>
      <c r="B40" s="145" t="s">
        <v>618</v>
      </c>
      <c r="C40" s="146" t="s">
        <v>787</v>
      </c>
      <c r="D40" s="147"/>
      <c r="E40" s="147">
        <v>99.85</v>
      </c>
      <c r="F40" s="147">
        <v>99.99</v>
      </c>
      <c r="G40" s="147">
        <v>99.998999999999995</v>
      </c>
      <c r="H40" s="148"/>
    </row>
    <row r="41" spans="1:8" s="149" customFormat="1" ht="15" customHeight="1" x14ac:dyDescent="0.2">
      <c r="A41" s="144" t="str">
        <f t="shared" si="0"/>
        <v>IT</v>
      </c>
      <c r="B41" s="145" t="s">
        <v>613</v>
      </c>
      <c r="C41" s="146" t="s">
        <v>778</v>
      </c>
      <c r="D41" s="147"/>
      <c r="E41" s="147">
        <v>80</v>
      </c>
      <c r="F41" s="147">
        <v>85</v>
      </c>
      <c r="G41" s="147"/>
      <c r="H41" s="148"/>
    </row>
    <row r="42" spans="1:8" s="149" customFormat="1" ht="15" customHeight="1" x14ac:dyDescent="0.2">
      <c r="A42" s="144" t="str">
        <f t="shared" si="0"/>
        <v>IT</v>
      </c>
      <c r="B42" s="145" t="s">
        <v>613</v>
      </c>
      <c r="C42" s="146" t="s">
        <v>786</v>
      </c>
      <c r="D42" s="147"/>
      <c r="E42" s="147">
        <v>89.86</v>
      </c>
      <c r="F42" s="147">
        <v>85</v>
      </c>
      <c r="G42" s="147"/>
      <c r="H42" s="148"/>
    </row>
    <row r="43" spans="1:8" s="149" customFormat="1" ht="15" customHeight="1" x14ac:dyDescent="0.2">
      <c r="A43" s="144" t="str">
        <f t="shared" si="0"/>
        <v>IT</v>
      </c>
      <c r="B43" s="145" t="s">
        <v>613</v>
      </c>
      <c r="C43" s="146" t="s">
        <v>780</v>
      </c>
      <c r="D43" s="147"/>
      <c r="E43" s="147">
        <v>85.71</v>
      </c>
      <c r="F43" s="147">
        <v>85</v>
      </c>
      <c r="G43" s="147"/>
      <c r="H43" s="148"/>
    </row>
    <row r="44" spans="1:8" s="149" customFormat="1" ht="15" customHeight="1" x14ac:dyDescent="0.2">
      <c r="A44" s="144" t="str">
        <f t="shared" si="0"/>
        <v>IT</v>
      </c>
      <c r="B44" s="145" t="s">
        <v>613</v>
      </c>
      <c r="C44" s="146" t="s">
        <v>787</v>
      </c>
      <c r="D44" s="147"/>
      <c r="E44" s="147">
        <v>89.97</v>
      </c>
      <c r="F44" s="147">
        <v>85</v>
      </c>
      <c r="G44" s="147"/>
      <c r="H44" s="148"/>
    </row>
    <row r="45" spans="1:8" s="149" customFormat="1" ht="15" customHeight="1" x14ac:dyDescent="0.2">
      <c r="A45" s="144" t="str">
        <f t="shared" si="0"/>
        <v>IT</v>
      </c>
      <c r="B45" s="145" t="s">
        <v>616</v>
      </c>
      <c r="C45" s="146" t="s">
        <v>778</v>
      </c>
      <c r="D45" s="147" t="s">
        <v>788</v>
      </c>
      <c r="E45" s="147"/>
      <c r="F45" s="147">
        <v>95</v>
      </c>
      <c r="G45" s="147">
        <v>100</v>
      </c>
      <c r="H45" s="148"/>
    </row>
    <row r="46" spans="1:8" s="149" customFormat="1" ht="15" customHeight="1" x14ac:dyDescent="0.2">
      <c r="A46" s="144" t="str">
        <f t="shared" si="0"/>
        <v>IT</v>
      </c>
      <c r="B46" s="145" t="s">
        <v>616</v>
      </c>
      <c r="C46" s="146" t="s">
        <v>778</v>
      </c>
      <c r="D46" s="147" t="s">
        <v>789</v>
      </c>
      <c r="E46" s="147"/>
      <c r="F46" s="147">
        <v>95</v>
      </c>
      <c r="G46" s="147">
        <v>100</v>
      </c>
      <c r="H46" s="148"/>
    </row>
    <row r="47" spans="1:8" s="149" customFormat="1" ht="15" customHeight="1" x14ac:dyDescent="0.2">
      <c r="A47" s="144" t="str">
        <f t="shared" si="0"/>
        <v>IT</v>
      </c>
      <c r="B47" s="145" t="s">
        <v>616</v>
      </c>
      <c r="C47" s="146" t="s">
        <v>778</v>
      </c>
      <c r="D47" s="147" t="s">
        <v>790</v>
      </c>
      <c r="E47" s="147"/>
      <c r="F47" s="147">
        <v>95</v>
      </c>
      <c r="G47" s="147">
        <v>100</v>
      </c>
      <c r="H47" s="148"/>
    </row>
    <row r="48" spans="1:8" s="149" customFormat="1" ht="15" customHeight="1" x14ac:dyDescent="0.2">
      <c r="A48" s="144" t="str">
        <f t="shared" si="0"/>
        <v>IT</v>
      </c>
      <c r="B48" s="145" t="s">
        <v>616</v>
      </c>
      <c r="C48" s="146" t="s">
        <v>778</v>
      </c>
      <c r="D48" s="147" t="s">
        <v>791</v>
      </c>
      <c r="E48" s="147"/>
      <c r="F48" s="147">
        <v>95</v>
      </c>
      <c r="G48" s="147">
        <v>100</v>
      </c>
      <c r="H48" s="148"/>
    </row>
    <row r="49" spans="1:8" s="149" customFormat="1" ht="15" customHeight="1" x14ac:dyDescent="0.2">
      <c r="A49" s="144" t="str">
        <f t="shared" si="0"/>
        <v>IT</v>
      </c>
      <c r="B49" s="145" t="s">
        <v>616</v>
      </c>
      <c r="C49" s="146" t="s">
        <v>786</v>
      </c>
      <c r="D49" s="147" t="s">
        <v>788</v>
      </c>
      <c r="E49" s="147"/>
      <c r="F49" s="147">
        <v>95</v>
      </c>
      <c r="G49" s="147">
        <v>100</v>
      </c>
      <c r="H49" s="148"/>
    </row>
    <row r="50" spans="1:8" s="149" customFormat="1" ht="15" customHeight="1" x14ac:dyDescent="0.2">
      <c r="A50" s="144" t="str">
        <f t="shared" si="0"/>
        <v>IT</v>
      </c>
      <c r="B50" s="145" t="s">
        <v>616</v>
      </c>
      <c r="C50" s="146" t="s">
        <v>786</v>
      </c>
      <c r="D50" s="147" t="s">
        <v>789</v>
      </c>
      <c r="E50" s="147"/>
      <c r="F50" s="147">
        <v>95</v>
      </c>
      <c r="G50" s="147">
        <v>100</v>
      </c>
      <c r="H50" s="148"/>
    </row>
    <row r="51" spans="1:8" s="149" customFormat="1" ht="15" customHeight="1" x14ac:dyDescent="0.2">
      <c r="A51" s="144" t="str">
        <f t="shared" si="0"/>
        <v>IT</v>
      </c>
      <c r="B51" s="145" t="s">
        <v>616</v>
      </c>
      <c r="C51" s="146" t="s">
        <v>786</v>
      </c>
      <c r="D51" s="147" t="s">
        <v>790</v>
      </c>
      <c r="E51" s="147"/>
      <c r="F51" s="147">
        <v>95</v>
      </c>
      <c r="G51" s="147">
        <v>100</v>
      </c>
      <c r="H51" s="148"/>
    </row>
    <row r="52" spans="1:8" s="149" customFormat="1" ht="15" customHeight="1" x14ac:dyDescent="0.2">
      <c r="A52" s="144" t="str">
        <f t="shared" si="0"/>
        <v>IT</v>
      </c>
      <c r="B52" s="145" t="s">
        <v>616</v>
      </c>
      <c r="C52" s="146" t="s">
        <v>786</v>
      </c>
      <c r="D52" s="147" t="s">
        <v>791</v>
      </c>
      <c r="E52" s="147"/>
      <c r="F52" s="147">
        <v>95</v>
      </c>
      <c r="G52" s="147">
        <v>100</v>
      </c>
      <c r="H52" s="148"/>
    </row>
    <row r="53" spans="1:8" s="149" customFormat="1" ht="15" customHeight="1" x14ac:dyDescent="0.2">
      <c r="A53" s="144" t="str">
        <f t="shared" si="0"/>
        <v>IT</v>
      </c>
      <c r="B53" s="145" t="s">
        <v>616</v>
      </c>
      <c r="C53" s="146" t="s">
        <v>780</v>
      </c>
      <c r="D53" s="147" t="s">
        <v>788</v>
      </c>
      <c r="E53" s="147"/>
      <c r="F53" s="147">
        <v>95</v>
      </c>
      <c r="G53" s="147">
        <v>100</v>
      </c>
      <c r="H53" s="148"/>
    </row>
    <row r="54" spans="1:8" s="149" customFormat="1" ht="15" customHeight="1" x14ac:dyDescent="0.2">
      <c r="A54" s="144" t="str">
        <f t="shared" si="0"/>
        <v>IT</v>
      </c>
      <c r="B54" s="145" t="s">
        <v>616</v>
      </c>
      <c r="C54" s="146" t="s">
        <v>780</v>
      </c>
      <c r="D54" s="147" t="s">
        <v>789</v>
      </c>
      <c r="E54" s="147"/>
      <c r="F54" s="147">
        <v>95</v>
      </c>
      <c r="G54" s="147">
        <v>100</v>
      </c>
      <c r="H54" s="148"/>
    </row>
    <row r="55" spans="1:8" s="149" customFormat="1" ht="15" customHeight="1" x14ac:dyDescent="0.2">
      <c r="A55" s="144" t="str">
        <f t="shared" si="0"/>
        <v>IT</v>
      </c>
      <c r="B55" s="145" t="s">
        <v>616</v>
      </c>
      <c r="C55" s="146" t="s">
        <v>780</v>
      </c>
      <c r="D55" s="147" t="s">
        <v>790</v>
      </c>
      <c r="E55" s="147"/>
      <c r="F55" s="147">
        <v>95</v>
      </c>
      <c r="G55" s="147">
        <v>100</v>
      </c>
      <c r="H55" s="148"/>
    </row>
    <row r="56" spans="1:8" s="149" customFormat="1" ht="15" customHeight="1" x14ac:dyDescent="0.2">
      <c r="A56" s="144" t="str">
        <f t="shared" si="0"/>
        <v>IT</v>
      </c>
      <c r="B56" s="145" t="s">
        <v>616</v>
      </c>
      <c r="C56" s="146" t="s">
        <v>780</v>
      </c>
      <c r="D56" s="147" t="s">
        <v>791</v>
      </c>
      <c r="E56" s="147"/>
      <c r="F56" s="147">
        <v>95</v>
      </c>
      <c r="G56" s="147">
        <v>100</v>
      </c>
      <c r="H56" s="148"/>
    </row>
    <row r="57" spans="1:8" s="149" customFormat="1" ht="15" customHeight="1" x14ac:dyDescent="0.2">
      <c r="A57" s="144" t="str">
        <f t="shared" si="0"/>
        <v>IT</v>
      </c>
      <c r="B57" s="145" t="s">
        <v>616</v>
      </c>
      <c r="C57" s="146" t="s">
        <v>787</v>
      </c>
      <c r="D57" s="147" t="s">
        <v>788</v>
      </c>
      <c r="E57" s="147"/>
      <c r="F57" s="147">
        <v>95</v>
      </c>
      <c r="G57" s="147">
        <v>100</v>
      </c>
      <c r="H57" s="148"/>
    </row>
    <row r="58" spans="1:8" s="149" customFormat="1" ht="15" customHeight="1" x14ac:dyDescent="0.2">
      <c r="A58" s="144" t="str">
        <f t="shared" si="0"/>
        <v>IT</v>
      </c>
      <c r="B58" s="145" t="s">
        <v>616</v>
      </c>
      <c r="C58" s="146" t="s">
        <v>787</v>
      </c>
      <c r="D58" s="147" t="s">
        <v>789</v>
      </c>
      <c r="E58" s="147"/>
      <c r="F58" s="147">
        <v>95</v>
      </c>
      <c r="G58" s="147">
        <v>100</v>
      </c>
      <c r="H58" s="148"/>
    </row>
    <row r="59" spans="1:8" s="149" customFormat="1" ht="15" customHeight="1" x14ac:dyDescent="0.2">
      <c r="A59" s="144" t="str">
        <f t="shared" si="0"/>
        <v>IT</v>
      </c>
      <c r="B59" s="145" t="s">
        <v>616</v>
      </c>
      <c r="C59" s="146" t="s">
        <v>787</v>
      </c>
      <c r="D59" s="147" t="s">
        <v>790</v>
      </c>
      <c r="E59" s="147"/>
      <c r="F59" s="147">
        <v>95</v>
      </c>
      <c r="G59" s="147">
        <v>100</v>
      </c>
      <c r="H59" s="148"/>
    </row>
    <row r="60" spans="1:8" s="149" customFormat="1" ht="15" customHeight="1" x14ac:dyDescent="0.2">
      <c r="A60" s="144" t="str">
        <f t="shared" si="0"/>
        <v>IT</v>
      </c>
      <c r="B60" s="145" t="s">
        <v>616</v>
      </c>
      <c r="C60" s="146" t="s">
        <v>787</v>
      </c>
      <c r="D60" s="147" t="s">
        <v>791</v>
      </c>
      <c r="E60" s="147"/>
      <c r="F60" s="147">
        <v>95</v>
      </c>
      <c r="G60" s="147">
        <v>100</v>
      </c>
      <c r="H60" s="148"/>
    </row>
    <row r="61" spans="1:8" s="149" customFormat="1" ht="15" customHeight="1" x14ac:dyDescent="0.2">
      <c r="A61" s="144" t="str">
        <f t="shared" si="0"/>
        <v>IT</v>
      </c>
      <c r="B61" s="145" t="s">
        <v>608</v>
      </c>
      <c r="C61" s="146" t="s">
        <v>792</v>
      </c>
      <c r="D61" s="150"/>
      <c r="E61" s="147">
        <v>8.9</v>
      </c>
      <c r="F61" s="147">
        <v>3.9</v>
      </c>
      <c r="G61" s="147">
        <v>3.9</v>
      </c>
      <c r="H61" s="148"/>
    </row>
    <row r="62" spans="1:8" s="149" customFormat="1" ht="15" customHeight="1" x14ac:dyDescent="0.2">
      <c r="A62" s="144" t="str">
        <f t="shared" si="0"/>
        <v>IT</v>
      </c>
      <c r="B62" s="145" t="s">
        <v>608</v>
      </c>
      <c r="C62" s="146" t="s">
        <v>793</v>
      </c>
      <c r="D62" s="150"/>
      <c r="E62" s="147">
        <v>2.4</v>
      </c>
      <c r="F62" s="147">
        <v>3.9</v>
      </c>
      <c r="G62" s="147">
        <v>3.9</v>
      </c>
      <c r="H62" s="148"/>
    </row>
    <row r="63" spans="1:8" s="148" customFormat="1" ht="13.5" customHeight="1" x14ac:dyDescent="0.2">
      <c r="A63" s="148" t="str">
        <f t="shared" si="0"/>
        <v>IT</v>
      </c>
      <c r="B63" s="148" t="s">
        <v>608</v>
      </c>
      <c r="C63" s="151" t="s">
        <v>794</v>
      </c>
      <c r="D63" s="151"/>
      <c r="E63" s="151">
        <v>1.05</v>
      </c>
      <c r="F63" s="151">
        <v>3.9</v>
      </c>
      <c r="G63" s="151">
        <v>3.9</v>
      </c>
    </row>
    <row r="64" spans="1:8" s="148" customFormat="1" ht="13.5" customHeight="1" x14ac:dyDescent="0.2">
      <c r="A64" s="148" t="str">
        <f t="shared" si="0"/>
        <v>IT</v>
      </c>
      <c r="B64" s="148" t="s">
        <v>608</v>
      </c>
      <c r="C64" s="151" t="s">
        <v>795</v>
      </c>
      <c r="D64" s="151"/>
      <c r="E64" s="151">
        <v>0.9</v>
      </c>
      <c r="F64" s="151">
        <v>3.9</v>
      </c>
      <c r="G64" s="151">
        <v>3.9</v>
      </c>
    </row>
    <row r="65" spans="1:7" s="148" customFormat="1" ht="13.5" customHeight="1" x14ac:dyDescent="0.2">
      <c r="A65" s="148" t="str">
        <f t="shared" si="0"/>
        <v>IT</v>
      </c>
      <c r="B65" s="148" t="s">
        <v>608</v>
      </c>
      <c r="C65" s="151" t="s">
        <v>796</v>
      </c>
      <c r="D65" s="151"/>
      <c r="E65" s="151">
        <v>0.63333333333333297</v>
      </c>
      <c r="F65" s="151">
        <v>3.9</v>
      </c>
      <c r="G65" s="151">
        <v>3.9</v>
      </c>
    </row>
    <row r="66" spans="1:7" s="148" customFormat="1" ht="13.5" customHeight="1" x14ac:dyDescent="0.2">
      <c r="A66" s="148" t="str">
        <f t="shared" ref="A66:A129" si="1">LEFT(B66, FIND("-", B66) - 1)</f>
        <v>IT</v>
      </c>
      <c r="B66" s="148" t="s">
        <v>608</v>
      </c>
      <c r="C66" s="151" t="s">
        <v>797</v>
      </c>
      <c r="D66" s="151"/>
      <c r="E66" s="151">
        <v>0.7</v>
      </c>
      <c r="F66" s="151">
        <v>3.9</v>
      </c>
      <c r="G66" s="151">
        <v>3.9</v>
      </c>
    </row>
    <row r="67" spans="1:7" s="148" customFormat="1" ht="13.5" customHeight="1" x14ac:dyDescent="0.2">
      <c r="A67" s="148" t="str">
        <f t="shared" si="1"/>
        <v>IT</v>
      </c>
      <c r="B67" s="148" t="s">
        <v>608</v>
      </c>
      <c r="C67" s="151" t="s">
        <v>798</v>
      </c>
      <c r="D67" s="151"/>
      <c r="E67" s="151">
        <v>1.13333333333333</v>
      </c>
      <c r="F67" s="151">
        <v>3.9</v>
      </c>
      <c r="G67" s="151">
        <v>3.9</v>
      </c>
    </row>
    <row r="68" spans="1:7" s="148" customFormat="1" ht="13.5" customHeight="1" x14ac:dyDescent="0.2">
      <c r="A68" s="148" t="str">
        <f t="shared" si="1"/>
        <v>IT</v>
      </c>
      <c r="B68" s="148" t="s">
        <v>608</v>
      </c>
      <c r="C68" s="151" t="s">
        <v>799</v>
      </c>
      <c r="D68" s="151"/>
      <c r="E68" s="151">
        <v>0.56666666666666698</v>
      </c>
      <c r="F68" s="151">
        <v>3.9</v>
      </c>
      <c r="G68" s="151">
        <v>3.9</v>
      </c>
    </row>
    <row r="69" spans="1:7" s="148" customFormat="1" ht="13.5" customHeight="1" x14ac:dyDescent="0.2">
      <c r="A69" s="148" t="str">
        <f t="shared" si="1"/>
        <v>IT</v>
      </c>
      <c r="B69" s="148" t="s">
        <v>608</v>
      </c>
      <c r="C69" s="151" t="s">
        <v>800</v>
      </c>
      <c r="D69" s="151"/>
      <c r="E69" s="151">
        <v>0.83333333333333304</v>
      </c>
      <c r="F69" s="151">
        <v>3.9</v>
      </c>
      <c r="G69" s="151">
        <v>3.9</v>
      </c>
    </row>
    <row r="70" spans="1:7" s="148" customFormat="1" ht="13.5" customHeight="1" x14ac:dyDescent="0.2">
      <c r="A70" s="148" t="str">
        <f t="shared" si="1"/>
        <v>IT</v>
      </c>
      <c r="B70" s="148" t="s">
        <v>608</v>
      </c>
      <c r="C70" s="151" t="s">
        <v>801</v>
      </c>
      <c r="D70" s="151"/>
      <c r="E70" s="151">
        <v>1.5333333333333301</v>
      </c>
      <c r="F70" s="151">
        <v>3.9</v>
      </c>
      <c r="G70" s="151">
        <v>3.9</v>
      </c>
    </row>
    <row r="71" spans="1:7" s="148" customFormat="1" ht="13.5" customHeight="1" x14ac:dyDescent="0.2">
      <c r="A71" s="148" t="str">
        <f t="shared" si="1"/>
        <v>IT</v>
      </c>
      <c r="B71" s="148" t="s">
        <v>608</v>
      </c>
      <c r="C71" s="151" t="s">
        <v>802</v>
      </c>
      <c r="D71" s="151"/>
      <c r="E71" s="151">
        <v>1.1000000000000001</v>
      </c>
      <c r="F71" s="151">
        <v>3.9</v>
      </c>
      <c r="G71" s="151">
        <v>3.9</v>
      </c>
    </row>
    <row r="72" spans="1:7" s="148" customFormat="1" ht="13.5" customHeight="1" x14ac:dyDescent="0.2">
      <c r="A72" s="148" t="str">
        <f t="shared" si="1"/>
        <v>IT</v>
      </c>
      <c r="B72" s="148" t="s">
        <v>608</v>
      </c>
      <c r="C72" s="151" t="s">
        <v>803</v>
      </c>
      <c r="D72" s="151"/>
      <c r="E72" s="151">
        <v>0.66666666666666696</v>
      </c>
      <c r="F72" s="151">
        <v>3.9</v>
      </c>
      <c r="G72" s="151">
        <v>3.9</v>
      </c>
    </row>
    <row r="73" spans="1:7" s="148" customFormat="1" ht="13.5" customHeight="1" x14ac:dyDescent="0.2">
      <c r="A73" s="148" t="str">
        <f t="shared" si="1"/>
        <v>IT</v>
      </c>
      <c r="B73" s="148" t="s">
        <v>608</v>
      </c>
      <c r="C73" s="151" t="s">
        <v>804</v>
      </c>
      <c r="D73" s="151"/>
      <c r="E73" s="151">
        <v>0.73333333333333295</v>
      </c>
      <c r="F73" s="151">
        <v>3.9</v>
      </c>
      <c r="G73" s="151">
        <v>3.9</v>
      </c>
    </row>
    <row r="74" spans="1:7" s="148" customFormat="1" ht="13.5" customHeight="1" x14ac:dyDescent="0.2">
      <c r="A74" s="148" t="str">
        <f t="shared" si="1"/>
        <v>IT</v>
      </c>
      <c r="B74" s="148" t="s">
        <v>608</v>
      </c>
      <c r="C74" s="151" t="s">
        <v>805</v>
      </c>
      <c r="D74" s="151"/>
      <c r="E74" s="151">
        <v>0.75</v>
      </c>
      <c r="F74" s="151">
        <v>3.9</v>
      </c>
      <c r="G74" s="151">
        <v>3.9</v>
      </c>
    </row>
    <row r="75" spans="1:7" s="148" customFormat="1" ht="13.5" customHeight="1" x14ac:dyDescent="0.2">
      <c r="A75" s="148" t="str">
        <f t="shared" si="1"/>
        <v>IT</v>
      </c>
      <c r="B75" s="148" t="s">
        <v>608</v>
      </c>
      <c r="C75" s="151" t="s">
        <v>806</v>
      </c>
      <c r="D75" s="151"/>
      <c r="E75" s="151">
        <v>8.3666666666666707</v>
      </c>
      <c r="F75" s="151">
        <v>3.9</v>
      </c>
      <c r="G75" s="151">
        <v>3.9</v>
      </c>
    </row>
    <row r="76" spans="1:7" s="148" customFormat="1" ht="13.5" customHeight="1" x14ac:dyDescent="0.2">
      <c r="A76" s="148" t="str">
        <f t="shared" si="1"/>
        <v>IT</v>
      </c>
      <c r="B76" s="148" t="s">
        <v>608</v>
      </c>
      <c r="C76" s="151" t="s">
        <v>807</v>
      </c>
      <c r="D76" s="151"/>
      <c r="E76" s="151">
        <v>9.6999999999999993</v>
      </c>
      <c r="F76" s="151">
        <v>3.9</v>
      </c>
      <c r="G76" s="151">
        <v>3.9</v>
      </c>
    </row>
    <row r="77" spans="1:7" s="148" customFormat="1" ht="13.5" customHeight="1" x14ac:dyDescent="0.2">
      <c r="A77" s="148" t="str">
        <f t="shared" si="1"/>
        <v>IT</v>
      </c>
      <c r="B77" s="148" t="s">
        <v>608</v>
      </c>
      <c r="C77" s="151" t="s">
        <v>808</v>
      </c>
      <c r="D77" s="151"/>
      <c r="E77" s="151">
        <v>10.5666666666667</v>
      </c>
      <c r="F77" s="151">
        <v>3.9</v>
      </c>
      <c r="G77" s="151">
        <v>3.9</v>
      </c>
    </row>
    <row r="78" spans="1:7" s="148" customFormat="1" ht="13.5" customHeight="1" x14ac:dyDescent="0.2">
      <c r="A78" s="148" t="str">
        <f t="shared" si="1"/>
        <v>IT</v>
      </c>
      <c r="B78" s="148" t="s">
        <v>608</v>
      </c>
      <c r="C78" s="151" t="s">
        <v>809</v>
      </c>
      <c r="D78" s="151"/>
      <c r="E78" s="151">
        <v>1.7</v>
      </c>
      <c r="F78" s="151">
        <v>3.9</v>
      </c>
      <c r="G78" s="151">
        <v>3.9</v>
      </c>
    </row>
    <row r="79" spans="1:7" s="148" customFormat="1" ht="13.5" customHeight="1" x14ac:dyDescent="0.2">
      <c r="A79" s="148" t="str">
        <f t="shared" si="1"/>
        <v>IT</v>
      </c>
      <c r="B79" s="148" t="s">
        <v>608</v>
      </c>
      <c r="C79" s="151" t="s">
        <v>810</v>
      </c>
      <c r="D79" s="151"/>
      <c r="E79" s="151">
        <v>0.73333333333333295</v>
      </c>
      <c r="F79" s="151">
        <v>3.9</v>
      </c>
      <c r="G79" s="151">
        <v>3.9</v>
      </c>
    </row>
    <row r="80" spans="1:7" s="148" customFormat="1" ht="13.5" customHeight="1" x14ac:dyDescent="0.2">
      <c r="A80" s="148" t="str">
        <f t="shared" si="1"/>
        <v>IT</v>
      </c>
      <c r="B80" s="148" t="s">
        <v>608</v>
      </c>
      <c r="C80" s="151" t="s">
        <v>811</v>
      </c>
      <c r="D80" s="151"/>
      <c r="E80" s="151">
        <v>0.76666666666666705</v>
      </c>
      <c r="F80" s="151">
        <v>3.9</v>
      </c>
      <c r="G80" s="151">
        <v>3.9</v>
      </c>
    </row>
    <row r="81" spans="1:7" s="152" customFormat="1" ht="13.5" customHeight="1" x14ac:dyDescent="0.15">
      <c r="A81" s="152" t="str">
        <f t="shared" si="1"/>
        <v>LIB</v>
      </c>
      <c r="B81" s="152" t="s">
        <v>622</v>
      </c>
      <c r="C81" s="153" t="s">
        <v>785</v>
      </c>
      <c r="D81" s="153"/>
      <c r="E81" s="153">
        <v>143</v>
      </c>
      <c r="F81" s="153">
        <v>150</v>
      </c>
      <c r="G81" s="153">
        <v>150</v>
      </c>
    </row>
    <row r="82" spans="1:7" s="152" customFormat="1" ht="13.5" customHeight="1" x14ac:dyDescent="0.15">
      <c r="A82" s="152" t="str">
        <f t="shared" si="1"/>
        <v>LIB</v>
      </c>
      <c r="B82" s="152" t="s">
        <v>622</v>
      </c>
      <c r="C82" s="153" t="s">
        <v>778</v>
      </c>
      <c r="D82" s="153"/>
      <c r="E82" s="153">
        <v>146</v>
      </c>
      <c r="F82" s="153">
        <v>150</v>
      </c>
      <c r="G82" s="153">
        <v>150</v>
      </c>
    </row>
    <row r="83" spans="1:7" s="152" customFormat="1" ht="13.5" customHeight="1" x14ac:dyDescent="0.15">
      <c r="A83" s="152" t="str">
        <f t="shared" si="1"/>
        <v>LIB</v>
      </c>
      <c r="B83" s="152" t="s">
        <v>622</v>
      </c>
      <c r="C83" s="153" t="s">
        <v>786</v>
      </c>
      <c r="D83" s="153"/>
      <c r="E83" s="153">
        <v>47</v>
      </c>
      <c r="F83" s="153">
        <v>150</v>
      </c>
      <c r="G83" s="153">
        <v>150</v>
      </c>
    </row>
    <row r="84" spans="1:7" s="152" customFormat="1" ht="13.5" customHeight="1" x14ac:dyDescent="0.15">
      <c r="A84" s="152" t="str">
        <f t="shared" si="1"/>
        <v>LIB</v>
      </c>
      <c r="B84" s="152" t="s">
        <v>622</v>
      </c>
      <c r="C84" s="153" t="s">
        <v>780</v>
      </c>
      <c r="D84" s="153"/>
      <c r="E84" s="153">
        <v>122</v>
      </c>
      <c r="F84" s="153">
        <v>150</v>
      </c>
      <c r="G84" s="153">
        <v>150</v>
      </c>
    </row>
    <row r="85" spans="1:7" s="152" customFormat="1" ht="13.5" customHeight="1" x14ac:dyDescent="0.15">
      <c r="A85" s="152" t="str">
        <f t="shared" si="1"/>
        <v>LIB</v>
      </c>
      <c r="B85" s="152" t="s">
        <v>622</v>
      </c>
      <c r="C85" s="153" t="s">
        <v>787</v>
      </c>
      <c r="D85" s="153"/>
      <c r="E85" s="153">
        <v>112</v>
      </c>
      <c r="F85" s="153">
        <v>150</v>
      </c>
      <c r="G85" s="153">
        <v>150</v>
      </c>
    </row>
    <row r="86" spans="1:7" s="152" customFormat="1" ht="13.5" customHeight="1" x14ac:dyDescent="0.15">
      <c r="A86" s="152" t="str">
        <f t="shared" si="1"/>
        <v>LIB</v>
      </c>
      <c r="B86" s="152" t="s">
        <v>622</v>
      </c>
      <c r="C86" s="153" t="s">
        <v>785</v>
      </c>
      <c r="D86" s="153" t="s">
        <v>812</v>
      </c>
      <c r="E86" s="153">
        <v>55</v>
      </c>
      <c r="F86" s="153">
        <v>50</v>
      </c>
      <c r="G86" s="153">
        <v>50</v>
      </c>
    </row>
    <row r="87" spans="1:7" s="152" customFormat="1" ht="13.5" customHeight="1" x14ac:dyDescent="0.15">
      <c r="A87" s="152" t="str">
        <f t="shared" si="1"/>
        <v>LIB</v>
      </c>
      <c r="B87" s="152" t="s">
        <v>622</v>
      </c>
      <c r="C87" s="153" t="s">
        <v>778</v>
      </c>
      <c r="D87" s="153" t="s">
        <v>812</v>
      </c>
      <c r="E87" s="153">
        <v>48</v>
      </c>
      <c r="F87" s="153">
        <v>50</v>
      </c>
      <c r="G87" s="153">
        <v>50</v>
      </c>
    </row>
    <row r="88" spans="1:7" s="152" customFormat="1" ht="13.5" customHeight="1" x14ac:dyDescent="0.15">
      <c r="A88" s="152" t="str">
        <f t="shared" si="1"/>
        <v>LIB</v>
      </c>
      <c r="B88" s="152" t="s">
        <v>622</v>
      </c>
      <c r="C88" s="153" t="s">
        <v>786</v>
      </c>
      <c r="D88" s="153" t="s">
        <v>812</v>
      </c>
      <c r="E88" s="153">
        <v>25</v>
      </c>
      <c r="F88" s="153">
        <v>50</v>
      </c>
      <c r="G88" s="153">
        <v>50</v>
      </c>
    </row>
    <row r="89" spans="1:7" s="152" customFormat="1" ht="13.5" customHeight="1" x14ac:dyDescent="0.15">
      <c r="A89" s="152" t="str">
        <f t="shared" si="1"/>
        <v>LIB</v>
      </c>
      <c r="B89" s="152" t="s">
        <v>622</v>
      </c>
      <c r="C89" s="153" t="s">
        <v>780</v>
      </c>
      <c r="D89" s="153" t="s">
        <v>812</v>
      </c>
      <c r="E89" s="153">
        <v>68</v>
      </c>
      <c r="F89" s="153">
        <v>50</v>
      </c>
      <c r="G89" s="153">
        <v>50</v>
      </c>
    </row>
    <row r="90" spans="1:7" s="152" customFormat="1" ht="13.5" customHeight="1" x14ac:dyDescent="0.15">
      <c r="A90" s="152" t="str">
        <f t="shared" si="1"/>
        <v>LIB</v>
      </c>
      <c r="B90" s="152" t="s">
        <v>622</v>
      </c>
      <c r="C90" s="153" t="s">
        <v>787</v>
      </c>
      <c r="D90" s="153" t="s">
        <v>812</v>
      </c>
      <c r="E90" s="153">
        <v>54</v>
      </c>
      <c r="F90" s="153">
        <v>50</v>
      </c>
      <c r="G90" s="153">
        <v>50</v>
      </c>
    </row>
    <row r="91" spans="1:7" s="152" customFormat="1" ht="13.5" customHeight="1" x14ac:dyDescent="0.15">
      <c r="A91" s="152" t="str">
        <f t="shared" si="1"/>
        <v>LIB</v>
      </c>
      <c r="B91" s="152" t="s">
        <v>622</v>
      </c>
      <c r="C91" s="153" t="s">
        <v>785</v>
      </c>
      <c r="D91" s="153" t="s">
        <v>813</v>
      </c>
      <c r="E91" s="153">
        <v>88</v>
      </c>
      <c r="F91" s="153">
        <v>50</v>
      </c>
      <c r="G91" s="153">
        <v>50</v>
      </c>
    </row>
    <row r="92" spans="1:7" s="152" customFormat="1" ht="13.5" customHeight="1" x14ac:dyDescent="0.15">
      <c r="A92" s="152" t="str">
        <f t="shared" si="1"/>
        <v>LIB</v>
      </c>
      <c r="B92" s="152" t="s">
        <v>622</v>
      </c>
      <c r="C92" s="153" t="s">
        <v>778</v>
      </c>
      <c r="D92" s="153" t="s">
        <v>813</v>
      </c>
      <c r="E92" s="153">
        <v>98</v>
      </c>
      <c r="F92" s="153">
        <v>50</v>
      </c>
      <c r="G92" s="153">
        <v>50</v>
      </c>
    </row>
    <row r="93" spans="1:7" s="152" customFormat="1" ht="13.5" customHeight="1" x14ac:dyDescent="0.15">
      <c r="A93" s="152" t="str">
        <f t="shared" si="1"/>
        <v>LIB</v>
      </c>
      <c r="B93" s="152" t="s">
        <v>622</v>
      </c>
      <c r="C93" s="153" t="s">
        <v>786</v>
      </c>
      <c r="D93" s="153" t="s">
        <v>813</v>
      </c>
      <c r="E93" s="153">
        <v>22</v>
      </c>
      <c r="F93" s="153">
        <v>50</v>
      </c>
      <c r="G93" s="153">
        <v>50</v>
      </c>
    </row>
    <row r="94" spans="1:7" s="152" customFormat="1" ht="13.5" customHeight="1" x14ac:dyDescent="0.15">
      <c r="A94" s="152" t="str">
        <f t="shared" si="1"/>
        <v>LIB</v>
      </c>
      <c r="B94" s="152" t="s">
        <v>622</v>
      </c>
      <c r="C94" s="153" t="s">
        <v>780</v>
      </c>
      <c r="D94" s="153" t="s">
        <v>813</v>
      </c>
      <c r="E94" s="153">
        <v>54</v>
      </c>
      <c r="F94" s="153">
        <v>50</v>
      </c>
      <c r="G94" s="153">
        <v>50</v>
      </c>
    </row>
    <row r="95" spans="1:7" s="152" customFormat="1" ht="13.5" customHeight="1" x14ac:dyDescent="0.15">
      <c r="A95" s="152" t="str">
        <f t="shared" si="1"/>
        <v>LIB</v>
      </c>
      <c r="B95" s="152" t="s">
        <v>622</v>
      </c>
      <c r="C95" s="153" t="s">
        <v>787</v>
      </c>
      <c r="D95" s="153" t="s">
        <v>813</v>
      </c>
      <c r="E95" s="153">
        <v>58</v>
      </c>
      <c r="F95" s="153">
        <v>50</v>
      </c>
      <c r="G95" s="153">
        <v>50</v>
      </c>
    </row>
    <row r="96" spans="1:7" s="152" customFormat="1" ht="13.5" customHeight="1" x14ac:dyDescent="0.15">
      <c r="A96" s="152" t="str">
        <f t="shared" si="1"/>
        <v>LIB</v>
      </c>
      <c r="B96" s="152" t="s">
        <v>631</v>
      </c>
      <c r="C96" s="153" t="s">
        <v>777</v>
      </c>
      <c r="D96" s="153"/>
      <c r="E96" s="153"/>
      <c r="F96" s="153"/>
      <c r="G96" s="153"/>
    </row>
    <row r="97" spans="1:7" s="152" customFormat="1" ht="13.5" customHeight="1" x14ac:dyDescent="0.15">
      <c r="A97" s="152" t="str">
        <f t="shared" si="1"/>
        <v>LIB</v>
      </c>
      <c r="B97" s="152" t="s">
        <v>626</v>
      </c>
      <c r="C97" s="153" t="s">
        <v>777</v>
      </c>
      <c r="D97" s="153"/>
      <c r="E97" s="153"/>
      <c r="F97" s="153"/>
      <c r="G97" s="153"/>
    </row>
    <row r="98" spans="1:7" s="152" customFormat="1" ht="13.5" customHeight="1" x14ac:dyDescent="0.15">
      <c r="A98" s="152" t="str">
        <f t="shared" si="1"/>
        <v>LIB</v>
      </c>
      <c r="B98" s="152" t="s">
        <v>630</v>
      </c>
      <c r="C98" s="153" t="s">
        <v>777</v>
      </c>
      <c r="D98" s="153"/>
      <c r="E98" s="153"/>
      <c r="F98" s="153"/>
      <c r="G98" s="153"/>
    </row>
    <row r="99" spans="1:7" s="152" customFormat="1" ht="13.5" customHeight="1" x14ac:dyDescent="0.15">
      <c r="A99" s="152" t="str">
        <f t="shared" si="1"/>
        <v>LIB</v>
      </c>
      <c r="B99" s="152" t="s">
        <v>632</v>
      </c>
      <c r="C99" s="153" t="s">
        <v>777</v>
      </c>
      <c r="D99" s="153"/>
      <c r="E99" s="153"/>
      <c r="F99" s="153"/>
      <c r="G99" s="153"/>
    </row>
    <row r="100" spans="1:7" s="152" customFormat="1" ht="13.5" customHeight="1" x14ac:dyDescent="0.15">
      <c r="A100" s="152" t="str">
        <f t="shared" si="1"/>
        <v>LIB</v>
      </c>
      <c r="B100" s="152" t="s">
        <v>628</v>
      </c>
      <c r="C100" s="153" t="s">
        <v>777</v>
      </c>
      <c r="D100" s="153"/>
      <c r="E100" s="153"/>
      <c r="F100" s="153"/>
      <c r="G100" s="153"/>
    </row>
    <row r="101" spans="1:7" s="152" customFormat="1" ht="13.5" customHeight="1" x14ac:dyDescent="0.15">
      <c r="A101" s="152" t="str">
        <f t="shared" si="1"/>
        <v>LIB</v>
      </c>
      <c r="B101" s="152" t="s">
        <v>629</v>
      </c>
      <c r="C101" s="153" t="s">
        <v>777</v>
      </c>
      <c r="D101" s="153"/>
      <c r="E101" s="153"/>
      <c r="F101" s="153"/>
      <c r="G101" s="153"/>
    </row>
    <row r="102" spans="1:7" s="152" customFormat="1" ht="13.5" customHeight="1" x14ac:dyDescent="0.15">
      <c r="A102" s="152" t="str">
        <f t="shared" si="1"/>
        <v>LIB</v>
      </c>
      <c r="B102" s="152" t="s">
        <v>627</v>
      </c>
      <c r="C102" s="153" t="s">
        <v>777</v>
      </c>
      <c r="D102" s="153"/>
      <c r="E102" s="153"/>
      <c r="F102" s="153"/>
      <c r="G102" s="153"/>
    </row>
    <row r="103" spans="1:7" s="152" customFormat="1" ht="13.5" customHeight="1" x14ac:dyDescent="0.15">
      <c r="A103" s="152" t="str">
        <f t="shared" si="1"/>
        <v>LIB</v>
      </c>
      <c r="B103" s="152" t="s">
        <v>633</v>
      </c>
      <c r="C103" s="153" t="s">
        <v>784</v>
      </c>
      <c r="D103" s="153"/>
      <c r="E103" s="153">
        <v>65014</v>
      </c>
      <c r="F103" s="153">
        <v>71834</v>
      </c>
      <c r="G103" s="153">
        <v>62464</v>
      </c>
    </row>
    <row r="104" spans="1:7" s="152" customFormat="1" ht="13.5" customHeight="1" x14ac:dyDescent="0.15">
      <c r="A104" s="152" t="str">
        <f t="shared" si="1"/>
        <v>LIB</v>
      </c>
      <c r="B104" s="152" t="s">
        <v>633</v>
      </c>
      <c r="C104" s="153" t="s">
        <v>785</v>
      </c>
      <c r="D104" s="153"/>
      <c r="E104" s="153">
        <v>103774</v>
      </c>
      <c r="F104" s="153">
        <v>102033</v>
      </c>
      <c r="G104" s="153">
        <v>88724</v>
      </c>
    </row>
    <row r="105" spans="1:7" s="152" customFormat="1" ht="13.5" customHeight="1" x14ac:dyDescent="0.15">
      <c r="A105" s="152" t="str">
        <f t="shared" si="1"/>
        <v>LIB</v>
      </c>
      <c r="B105" s="152" t="s">
        <v>633</v>
      </c>
      <c r="C105" s="153" t="s">
        <v>778</v>
      </c>
      <c r="D105" s="153"/>
      <c r="E105" s="153">
        <v>211580</v>
      </c>
      <c r="F105" s="153">
        <v>150513</v>
      </c>
      <c r="G105" s="153">
        <v>130881</v>
      </c>
    </row>
    <row r="106" spans="1:7" s="152" customFormat="1" ht="13.5" customHeight="1" x14ac:dyDescent="0.15">
      <c r="A106" s="152" t="str">
        <f t="shared" si="1"/>
        <v>LIB</v>
      </c>
      <c r="B106" s="152" t="s">
        <v>633</v>
      </c>
      <c r="C106" s="153" t="s">
        <v>786</v>
      </c>
      <c r="D106" s="153"/>
      <c r="E106" s="153">
        <v>280116</v>
      </c>
      <c r="F106" s="153">
        <v>173234</v>
      </c>
      <c r="G106" s="153">
        <v>150638</v>
      </c>
    </row>
    <row r="107" spans="1:7" s="152" customFormat="1" ht="13.5" customHeight="1" x14ac:dyDescent="0.15">
      <c r="A107" s="152" t="str">
        <f t="shared" si="1"/>
        <v>LIB</v>
      </c>
      <c r="B107" s="152" t="s">
        <v>633</v>
      </c>
      <c r="C107" s="153" t="s">
        <v>780</v>
      </c>
      <c r="D107" s="153"/>
      <c r="E107" s="153">
        <v>287958</v>
      </c>
      <c r="F107" s="153">
        <v>197111</v>
      </c>
      <c r="G107" s="153">
        <v>171401</v>
      </c>
    </row>
    <row r="108" spans="1:7" s="152" customFormat="1" ht="13.5" customHeight="1" x14ac:dyDescent="0.15">
      <c r="A108" s="152" t="str">
        <f t="shared" si="1"/>
        <v>LIB</v>
      </c>
      <c r="B108" s="152" t="s">
        <v>633</v>
      </c>
      <c r="C108" s="153" t="s">
        <v>787</v>
      </c>
      <c r="D108" s="153"/>
      <c r="E108" s="153">
        <v>293189</v>
      </c>
      <c r="F108" s="153">
        <v>201250</v>
      </c>
      <c r="G108" s="153">
        <v>175000</v>
      </c>
    </row>
    <row r="109" spans="1:7" s="154" customFormat="1" ht="13.5" customHeight="1" x14ac:dyDescent="0.15">
      <c r="A109" s="154" t="str">
        <f t="shared" si="1"/>
        <v>PIO</v>
      </c>
      <c r="B109" s="154" t="s">
        <v>660</v>
      </c>
      <c r="C109" s="155" t="s">
        <v>785</v>
      </c>
      <c r="D109" s="155" t="s">
        <v>814</v>
      </c>
      <c r="E109" s="155">
        <v>4.1100000000000003</v>
      </c>
      <c r="F109" s="155">
        <v>5.9</v>
      </c>
      <c r="G109" s="155">
        <v>2.6</v>
      </c>
    </row>
    <row r="110" spans="1:7" s="154" customFormat="1" ht="13.5" customHeight="1" x14ac:dyDescent="0.15">
      <c r="A110" s="154" t="str">
        <f t="shared" si="1"/>
        <v>PIO</v>
      </c>
      <c r="B110" s="154" t="s">
        <v>660</v>
      </c>
      <c r="C110" s="155" t="s">
        <v>778</v>
      </c>
      <c r="D110" s="155" t="s">
        <v>814</v>
      </c>
      <c r="E110" s="155">
        <v>4.2</v>
      </c>
      <c r="F110" s="155">
        <v>5.9</v>
      </c>
      <c r="G110" s="155">
        <v>2.6</v>
      </c>
    </row>
    <row r="111" spans="1:7" s="154" customFormat="1" ht="13.5" customHeight="1" x14ac:dyDescent="0.15">
      <c r="A111" s="154" t="str">
        <f t="shared" si="1"/>
        <v>PIO</v>
      </c>
      <c r="B111" s="154" t="s">
        <v>660</v>
      </c>
      <c r="C111" s="155" t="s">
        <v>786</v>
      </c>
      <c r="D111" s="155" t="s">
        <v>814</v>
      </c>
      <c r="E111" s="155">
        <v>5.0999999999999996</v>
      </c>
      <c r="F111" s="155">
        <v>5.9</v>
      </c>
      <c r="G111" s="155">
        <v>2.6</v>
      </c>
    </row>
    <row r="112" spans="1:7" s="154" customFormat="1" ht="13.5" customHeight="1" x14ac:dyDescent="0.15">
      <c r="A112" s="154" t="str">
        <f t="shared" si="1"/>
        <v>PIO</v>
      </c>
      <c r="B112" s="154" t="s">
        <v>660</v>
      </c>
      <c r="C112" s="155" t="s">
        <v>780</v>
      </c>
      <c r="D112" s="155" t="s">
        <v>814</v>
      </c>
      <c r="E112" s="155">
        <v>5.7</v>
      </c>
      <c r="F112" s="155">
        <v>5.9</v>
      </c>
      <c r="G112" s="155">
        <v>2.6</v>
      </c>
    </row>
    <row r="113" spans="1:7" s="154" customFormat="1" ht="13.5" customHeight="1" x14ac:dyDescent="0.15">
      <c r="A113" s="154" t="str">
        <f t="shared" si="1"/>
        <v>PIO</v>
      </c>
      <c r="B113" s="154" t="s">
        <v>660</v>
      </c>
      <c r="C113" s="155" t="s">
        <v>787</v>
      </c>
      <c r="D113" s="155" t="s">
        <v>814</v>
      </c>
      <c r="E113" s="155">
        <v>3.5</v>
      </c>
      <c r="F113" s="155">
        <v>3.5</v>
      </c>
      <c r="G113" s="155">
        <v>3.5</v>
      </c>
    </row>
    <row r="114" spans="1:7" s="154" customFormat="1" ht="13.5" customHeight="1" x14ac:dyDescent="0.15">
      <c r="A114" s="154" t="str">
        <f t="shared" si="1"/>
        <v>PIO</v>
      </c>
      <c r="B114" s="154" t="s">
        <v>660</v>
      </c>
      <c r="C114" s="155" t="s">
        <v>785</v>
      </c>
      <c r="D114" s="155" t="s">
        <v>815</v>
      </c>
      <c r="E114" s="155">
        <v>8.4</v>
      </c>
      <c r="F114" s="155">
        <v>6.5</v>
      </c>
      <c r="G114" s="155">
        <v>2.5</v>
      </c>
    </row>
    <row r="115" spans="1:7" s="154" customFormat="1" ht="13.5" customHeight="1" x14ac:dyDescent="0.15">
      <c r="A115" s="154" t="str">
        <f t="shared" si="1"/>
        <v>PIO</v>
      </c>
      <c r="B115" s="154" t="s">
        <v>660</v>
      </c>
      <c r="C115" s="155" t="s">
        <v>778</v>
      </c>
      <c r="D115" s="155" t="s">
        <v>815</v>
      </c>
      <c r="E115" s="155">
        <v>6.9</v>
      </c>
      <c r="F115" s="155">
        <v>6.5</v>
      </c>
      <c r="G115" s="155">
        <v>2.5</v>
      </c>
    </row>
    <row r="116" spans="1:7" s="154" customFormat="1" ht="13.5" customHeight="1" x14ac:dyDescent="0.15">
      <c r="A116" s="154" t="str">
        <f t="shared" si="1"/>
        <v>PIO</v>
      </c>
      <c r="B116" s="154" t="s">
        <v>660</v>
      </c>
      <c r="C116" s="155" t="s">
        <v>786</v>
      </c>
      <c r="D116" s="155" t="s">
        <v>815</v>
      </c>
      <c r="E116" s="155">
        <v>7.7</v>
      </c>
      <c r="F116" s="155">
        <v>6.5</v>
      </c>
      <c r="G116" s="155">
        <v>2.5</v>
      </c>
    </row>
    <row r="117" spans="1:7" s="154" customFormat="1" ht="13.5" customHeight="1" x14ac:dyDescent="0.15">
      <c r="A117" s="154" t="str">
        <f t="shared" si="1"/>
        <v>PIO</v>
      </c>
      <c r="B117" s="154" t="s">
        <v>660</v>
      </c>
      <c r="C117" s="155" t="s">
        <v>780</v>
      </c>
      <c r="D117" s="155" t="s">
        <v>815</v>
      </c>
      <c r="E117" s="155">
        <v>6.3</v>
      </c>
      <c r="F117" s="155">
        <v>6.5</v>
      </c>
      <c r="G117" s="155">
        <v>2.5</v>
      </c>
    </row>
    <row r="118" spans="1:7" s="154" customFormat="1" ht="13.5" customHeight="1" x14ac:dyDescent="0.15">
      <c r="A118" s="154" t="str">
        <f t="shared" si="1"/>
        <v>PIO</v>
      </c>
      <c r="B118" s="154" t="s">
        <v>660</v>
      </c>
      <c r="C118" s="155" t="s">
        <v>787</v>
      </c>
      <c r="D118" s="155" t="s">
        <v>815</v>
      </c>
      <c r="E118" s="155">
        <v>7.9</v>
      </c>
      <c r="F118" s="155">
        <v>6.5</v>
      </c>
      <c r="G118" s="155">
        <v>3.2</v>
      </c>
    </row>
    <row r="119" spans="1:7" s="154" customFormat="1" ht="13.5" customHeight="1" x14ac:dyDescent="0.15">
      <c r="A119" s="154" t="str">
        <f t="shared" si="1"/>
        <v>PIO</v>
      </c>
      <c r="B119" s="154" t="s">
        <v>660</v>
      </c>
      <c r="C119" s="155" t="s">
        <v>786</v>
      </c>
      <c r="D119" s="155" t="s">
        <v>816</v>
      </c>
      <c r="E119" s="155">
        <v>3.7</v>
      </c>
      <c r="F119" s="155">
        <v>4.7</v>
      </c>
      <c r="G119" s="155">
        <v>1.6</v>
      </c>
    </row>
    <row r="120" spans="1:7" s="154" customFormat="1" ht="13.5" customHeight="1" x14ac:dyDescent="0.15">
      <c r="A120" s="154" t="str">
        <f t="shared" si="1"/>
        <v>PIO</v>
      </c>
      <c r="B120" s="154" t="s">
        <v>660</v>
      </c>
      <c r="C120" s="155" t="s">
        <v>780</v>
      </c>
      <c r="D120" s="155" t="s">
        <v>816</v>
      </c>
      <c r="E120" s="155">
        <v>4.5999999999999996</v>
      </c>
      <c r="F120" s="155">
        <v>4.7</v>
      </c>
      <c r="G120" s="155">
        <v>1.6</v>
      </c>
    </row>
    <row r="121" spans="1:7" s="154" customFormat="1" ht="13.5" customHeight="1" x14ac:dyDescent="0.15">
      <c r="A121" s="154" t="str">
        <f t="shared" si="1"/>
        <v>PIO</v>
      </c>
      <c r="B121" s="154" t="s">
        <v>660</v>
      </c>
      <c r="C121" s="155" t="s">
        <v>787</v>
      </c>
      <c r="D121" s="155" t="s">
        <v>816</v>
      </c>
      <c r="E121" s="155">
        <v>5.4</v>
      </c>
      <c r="F121" s="155">
        <v>4.7</v>
      </c>
      <c r="G121" s="155">
        <v>1.6</v>
      </c>
    </row>
    <row r="122" spans="1:7" s="154" customFormat="1" ht="13.5" customHeight="1" x14ac:dyDescent="0.15">
      <c r="A122" s="154" t="str">
        <f t="shared" si="1"/>
        <v>PIO</v>
      </c>
      <c r="B122" s="127" t="s">
        <v>664</v>
      </c>
      <c r="C122" s="156"/>
      <c r="D122" s="156"/>
      <c r="E122" s="156"/>
      <c r="F122" s="155">
        <v>15</v>
      </c>
      <c r="G122" s="155"/>
    </row>
    <row r="123" spans="1:7" s="154" customFormat="1" ht="13.5" customHeight="1" x14ac:dyDescent="0.15">
      <c r="A123" s="154" t="str">
        <f t="shared" si="1"/>
        <v>PIO</v>
      </c>
      <c r="B123" s="127" t="s">
        <v>665</v>
      </c>
      <c r="C123" s="156"/>
      <c r="D123" s="156"/>
      <c r="E123" s="156"/>
      <c r="F123" s="156" t="s">
        <v>817</v>
      </c>
      <c r="G123" s="155">
        <v>1115176</v>
      </c>
    </row>
    <row r="124" spans="1:7" s="154" customFormat="1" ht="13.5" customHeight="1" x14ac:dyDescent="0.15">
      <c r="A124" s="154" t="str">
        <f t="shared" si="1"/>
        <v>PIO</v>
      </c>
      <c r="B124" s="127" t="s">
        <v>659</v>
      </c>
      <c r="C124" s="156"/>
      <c r="D124" s="155" t="s">
        <v>815</v>
      </c>
      <c r="E124" s="156"/>
      <c r="F124" s="155">
        <v>2</v>
      </c>
      <c r="G124" s="155">
        <v>1.38</v>
      </c>
    </row>
    <row r="125" spans="1:7" s="154" customFormat="1" ht="13.5" customHeight="1" x14ac:dyDescent="0.15">
      <c r="A125" s="154" t="str">
        <f t="shared" si="1"/>
        <v>PIO</v>
      </c>
      <c r="B125" s="127" t="s">
        <v>659</v>
      </c>
      <c r="C125" s="156"/>
      <c r="D125" s="155" t="s">
        <v>814</v>
      </c>
      <c r="E125" s="156"/>
      <c r="F125" s="155">
        <v>2.5</v>
      </c>
      <c r="G125" s="155">
        <v>2.17</v>
      </c>
    </row>
    <row r="126" spans="1:7" s="154" customFormat="1" ht="13.5" customHeight="1" x14ac:dyDescent="0.15">
      <c r="A126" s="154" t="str">
        <f t="shared" si="1"/>
        <v>PIO</v>
      </c>
      <c r="B126" s="127" t="s">
        <v>659</v>
      </c>
      <c r="C126" s="156"/>
      <c r="D126" s="155" t="s">
        <v>816</v>
      </c>
      <c r="E126" s="156"/>
      <c r="F126" s="155">
        <v>1</v>
      </c>
      <c r="G126" s="155">
        <v>7.0000000000000007E-2</v>
      </c>
    </row>
    <row r="127" spans="1:7" s="157" customFormat="1" ht="12.75" customHeight="1" x14ac:dyDescent="0.2">
      <c r="A127" s="157" t="str">
        <f t="shared" si="1"/>
        <v>TRAN</v>
      </c>
      <c r="B127" s="157" t="s">
        <v>709</v>
      </c>
      <c r="C127" s="158"/>
      <c r="D127" s="158"/>
      <c r="E127" s="158"/>
      <c r="F127" s="158">
        <v>85</v>
      </c>
      <c r="G127" s="158"/>
    </row>
    <row r="128" spans="1:7" s="157" customFormat="1" ht="12.75" customHeight="1" x14ac:dyDescent="0.2">
      <c r="A128" s="157" t="str">
        <f t="shared" si="1"/>
        <v>TRAN</v>
      </c>
      <c r="B128" s="157" t="s">
        <v>697</v>
      </c>
      <c r="C128" s="158"/>
      <c r="D128" s="158"/>
      <c r="E128" s="158"/>
      <c r="F128" s="158">
        <v>100</v>
      </c>
      <c r="G128" s="158">
        <v>95</v>
      </c>
    </row>
    <row r="129" spans="1:7" s="157" customFormat="1" ht="12.75" customHeight="1" x14ac:dyDescent="0.2">
      <c r="A129" s="157" t="str">
        <f t="shared" si="1"/>
        <v>TRAN</v>
      </c>
      <c r="B129" s="157" t="s">
        <v>695</v>
      </c>
      <c r="C129" s="158"/>
      <c r="D129" s="158"/>
      <c r="E129" s="158"/>
      <c r="F129" s="158"/>
      <c r="G129" s="158"/>
    </row>
    <row r="130" spans="1:7" s="157" customFormat="1" ht="12.75" customHeight="1" x14ac:dyDescent="0.2">
      <c r="A130" s="157" t="str">
        <f t="shared" ref="A130:A193" si="2">LEFT(B130, FIND("-", B130) - 1)</f>
        <v>TRAN</v>
      </c>
      <c r="B130" s="157" t="s">
        <v>710</v>
      </c>
      <c r="C130" s="158"/>
      <c r="D130" s="158"/>
      <c r="E130" s="158"/>
      <c r="F130" s="158">
        <v>100</v>
      </c>
      <c r="G130" s="158"/>
    </row>
    <row r="131" spans="1:7" s="157" customFormat="1" ht="12.75" customHeight="1" x14ac:dyDescent="0.2">
      <c r="A131" s="157" t="str">
        <f t="shared" si="2"/>
        <v>TRAN</v>
      </c>
      <c r="B131" s="157" t="s">
        <v>693</v>
      </c>
      <c r="C131" s="158"/>
      <c r="D131" s="158"/>
      <c r="E131" s="158"/>
      <c r="F131" s="158"/>
      <c r="G131" s="158"/>
    </row>
    <row r="132" spans="1:7" s="157" customFormat="1" ht="12.75" customHeight="1" x14ac:dyDescent="0.2">
      <c r="A132" s="157" t="str">
        <f t="shared" si="2"/>
        <v>TRAN</v>
      </c>
      <c r="B132" s="157" t="s">
        <v>698</v>
      </c>
      <c r="C132" s="158"/>
      <c r="D132" s="158"/>
      <c r="E132" s="158"/>
      <c r="F132" s="158"/>
      <c r="G132" s="158"/>
    </row>
    <row r="133" spans="1:7" s="157" customFormat="1" ht="12.75" customHeight="1" x14ac:dyDescent="0.2">
      <c r="A133" s="157" t="str">
        <f t="shared" si="2"/>
        <v>TRAN</v>
      </c>
      <c r="B133" s="157" t="s">
        <v>690</v>
      </c>
      <c r="C133" s="158"/>
      <c r="D133" s="158"/>
      <c r="E133" s="158"/>
      <c r="F133" s="158"/>
      <c r="G133" s="158"/>
    </row>
    <row r="134" spans="1:7" s="130" customFormat="1" ht="12.75" customHeight="1" x14ac:dyDescent="0.2">
      <c r="A134" s="130" t="str">
        <f t="shared" si="2"/>
        <v>PROS</v>
      </c>
      <c r="B134" s="130" t="s">
        <v>677</v>
      </c>
      <c r="F134" s="130" t="str">
        <f t="array" ref="F134">IFERROR(_xlfn.XLOOKUP(B2&amp;"|"&amp;(C2-1)&amp;"|"&amp;D2, $B$2:$B$484&amp;"|"&amp;$C$2:$C$484&amp;"|"&amp;$D$2:$D$484, $E$2:$E$484), "")</f>
        <v/>
      </c>
      <c r="G134" s="130">
        <v>99</v>
      </c>
    </row>
    <row r="135" spans="1:7" s="130" customFormat="1" ht="12.75" customHeight="1" x14ac:dyDescent="0.2">
      <c r="A135" s="130" t="str">
        <f t="shared" si="2"/>
        <v>PROS</v>
      </c>
      <c r="B135" s="130" t="s">
        <v>683</v>
      </c>
      <c r="F135" s="130" t="str">
        <f t="array" ref="F135">IFERROR(_xlfn.XLOOKUP(B3&amp;"|"&amp;(C3-1)&amp;"|"&amp;D3, $B$2:$B$484&amp;"|"&amp;$C$2:$C$484&amp;"|"&amp;$D$2:$D$484, $E$2:$E$484), "")</f>
        <v/>
      </c>
      <c r="G135" s="130">
        <v>606</v>
      </c>
    </row>
    <row r="136" spans="1:8" ht="15" customHeight="1" x14ac:dyDescent="0.2">
      <c r="A136" s="130" t="str">
        <f t="shared" si="2"/>
        <v>PROS</v>
      </c>
      <c r="B136" s="130" t="s">
        <v>680</v>
      </c>
      <c r="C136" s="159" t="inlineStr">
        <is>
          <t>2016</t>
        </is>
      </c>
      <c r="D136" s="160"/>
      <c r="E136" s="160">
        <v>516</v>
      </c>
      <c r="F136" s="160"/>
      <c r="G136" s="160"/>
      <c r="H136" s="161"/>
    </row>
    <row r="137" spans="1:7" s="130" customFormat="1" ht="12.75" customHeight="1" x14ac:dyDescent="0.2">
      <c r="A137" s="130" t="str">
        <f t="shared" si="2"/>
        <v>PROS</v>
      </c>
      <c r="B137" s="130" t="s">
        <v>670</v>
      </c>
      <c r="F137" s="130">
        <v>96</v>
      </c>
    </row>
    <row r="138" spans="1:7" s="130" customFormat="1" ht="12.75" customHeight="1" x14ac:dyDescent="0.2">
      <c r="A138" s="130" t="str">
        <f t="shared" si="2"/>
        <v>PROS</v>
      </c>
      <c r="B138" s="130" t="s">
        <v>671</v>
      </c>
      <c r="F138" s="130">
        <v>368438</v>
      </c>
    </row>
    <row r="139" spans="1:7" s="130" customFormat="1" ht="12.75" customHeight="1" x14ac:dyDescent="0.2">
      <c r="A139" s="130" t="str">
        <f t="shared" si="2"/>
        <v>PROS</v>
      </c>
      <c r="B139" s="130" t="s">
        <v>685</v>
      </c>
    </row>
    <row r="140" spans="1:7" s="130" customFormat="1" ht="12.75" customHeight="1" x14ac:dyDescent="0.2">
      <c r="A140" s="130" t="str">
        <f t="shared" si="2"/>
        <v>PROS</v>
      </c>
      <c r="B140" s="130" t="s">
        <v>673</v>
      </c>
      <c r="F140" s="130">
        <v>65</v>
      </c>
    </row>
    <row r="141" spans="1:7" s="130" customFormat="1" ht="12.75" customHeight="1" x14ac:dyDescent="0.2">
      <c r="A141" s="130" t="str">
        <f t="shared" si="2"/>
        <v>PROS</v>
      </c>
      <c r="B141" s="130" t="s">
        <v>687</v>
      </c>
      <c r="F141" s="130" t="str">
        <f t="array" ref="F141">IFERROR(_xlfn.XLOOKUP(B3&amp;"|"&amp;(C3-1)&amp;"|"&amp;D3, $B$2:$B$484&amp;"|"&amp;$C$2:$C$484&amp;"|"&amp;$D$2:$D$484, $E$2:$E$484) * 1.01, "")</f>
        <v/>
      </c>
    </row>
    <row r="142" spans="1:7" s="130" customFormat="1" ht="12.75" customHeight="1" x14ac:dyDescent="0.2">
      <c r="A142" s="130" t="str">
        <f t="shared" si="2"/>
        <v>PROS</v>
      </c>
      <c r="B142" s="130" t="s">
        <v>672</v>
      </c>
      <c r="F142" s="130">
        <v>1000</v>
      </c>
    </row>
    <row r="143" spans="1:7" s="130" customFormat="1" ht="12.75" customHeight="1" x14ac:dyDescent="0.2">
      <c r="A143" s="130" t="str">
        <f t="shared" si="2"/>
        <v>PROS</v>
      </c>
      <c r="B143" s="130" t="s">
        <v>689</v>
      </c>
      <c r="F143" s="130" t="str">
        <f t="array" ref="F143">IFERROR(_xlfn.XLOOKUP(B2&amp;"|"&amp;(C2-1)&amp;"|"&amp;D2, $B$2:$B$484&amp;"|"&amp;$C$2:$C$484&amp;"|"&amp;$D$2:$D$484, $E$2:$E$484) * 1.02, "")</f>
        <v/>
      </c>
    </row>
    <row r="144" spans="1:7" s="130" customFormat="1" ht="12.75" customHeight="1" x14ac:dyDescent="0.2">
      <c r="A144" s="130" t="str">
        <f t="shared" si="2"/>
        <v>PROS</v>
      </c>
      <c r="B144" s="130" t="s">
        <v>666</v>
      </c>
      <c r="F144" s="130">
        <v>190</v>
      </c>
    </row>
    <row r="145" spans="1:6" s="130" customFormat="1" ht="12.75" customHeight="1" x14ac:dyDescent="0.2">
      <c r="A145" s="130" t="str">
        <f t="shared" si="2"/>
        <v>PROS</v>
      </c>
      <c r="B145" s="130" t="s">
        <v>676</v>
      </c>
      <c r="F145" s="130">
        <v>162</v>
      </c>
    </row>
    <row r="146" spans="1:6" s="130" customFormat="1" ht="12.75" customHeight="1" x14ac:dyDescent="0.2">
      <c r="A146" s="130" t="str">
        <f t="shared" si="2"/>
        <v>PROS</v>
      </c>
      <c r="B146" s="130" t="s">
        <v>669</v>
      </c>
    </row>
    <row r="147" spans="1:6" s="122" customFormat="1" ht="12.75" customHeight="1" x14ac:dyDescent="0.2">
      <c r="A147" s="122" t="str">
        <f t="shared" si="2"/>
        <v>PD</v>
      </c>
      <c r="B147" s="122" t="s">
        <v>657</v>
      </c>
    </row>
    <row r="148" spans="1:6" s="122" customFormat="1" ht="12.75" customHeight="1" x14ac:dyDescent="0.2">
      <c r="A148" s="122" t="str">
        <f t="shared" si="2"/>
        <v>PD</v>
      </c>
      <c r="B148" s="122" t="s">
        <v>656</v>
      </c>
    </row>
    <row r="149" spans="1:6" s="122" customFormat="1" ht="12.75" customHeight="1" x14ac:dyDescent="0.2">
      <c r="A149" s="122" t="str">
        <f t="shared" si="2"/>
        <v>PD</v>
      </c>
      <c r="B149" s="122" t="s">
        <v>647</v>
      </c>
    </row>
    <row r="150" spans="1:6" s="122" customFormat="1" ht="12.75" customHeight="1" x14ac:dyDescent="0.2">
      <c r="A150" s="122" t="str">
        <f t="shared" si="2"/>
        <v>PD</v>
      </c>
      <c r="B150" s="122" t="s">
        <v>653</v>
      </c>
    </row>
    <row r="151" spans="1:6" s="122" customFormat="1" ht="12.75" customHeight="1" x14ac:dyDescent="0.2">
      <c r="A151" s="122" t="str">
        <f t="shared" si="2"/>
        <v>PD</v>
      </c>
      <c r="B151" s="122" t="s">
        <v>635</v>
      </c>
    </row>
    <row r="152" spans="1:6" s="122" customFormat="1" ht="12.75" customHeight="1" x14ac:dyDescent="0.2">
      <c r="A152" s="122" t="str">
        <f t="shared" si="2"/>
        <v>PD</v>
      </c>
      <c r="B152" s="122" t="s">
        <v>642</v>
      </c>
    </row>
    <row r="153" spans="1:6" s="122" customFormat="1" ht="12.75" customHeight="1" x14ac:dyDescent="0.2">
      <c r="A153" s="122" t="str">
        <f t="shared" si="2"/>
        <v>PD</v>
      </c>
      <c r="B153" s="122" t="s">
        <v>658</v>
      </c>
    </row>
    <row r="154" spans="1:6" s="122" customFormat="1" ht="12.75" customHeight="1" x14ac:dyDescent="0.2">
      <c r="A154" s="122" t="str">
        <f t="shared" si="2"/>
        <v>PD</v>
      </c>
      <c r="B154" s="122" t="s">
        <v>639</v>
      </c>
    </row>
    <row r="155" spans="1:6" s="122" customFormat="1" ht="12.75" customHeight="1" x14ac:dyDescent="0.2">
      <c r="A155" s="122" t="str">
        <f t="shared" si="2"/>
        <v>PD</v>
      </c>
      <c r="B155" s="122" t="s">
        <v>638</v>
      </c>
    </row>
    <row r="156" spans="1:6" s="122" customFormat="1" ht="12.75" customHeight="1" x14ac:dyDescent="0.2">
      <c r="A156" s="122" t="str">
        <f t="shared" si="2"/>
        <v>PD</v>
      </c>
      <c r="B156" s="122" t="s">
        <v>641</v>
      </c>
    </row>
    <row r="157" spans="1:6" s="122" customFormat="1" ht="12.75" customHeight="1" x14ac:dyDescent="0.2">
      <c r="A157" s="122" t="str">
        <f t="shared" si="2"/>
        <v>PD</v>
      </c>
      <c r="B157" s="122" t="s">
        <v>655</v>
      </c>
    </row>
    <row r="158" spans="1:6" s="122" customFormat="1" ht="12.75" customHeight="1" x14ac:dyDescent="0.2">
      <c r="A158" s="122" t="str">
        <f t="shared" si="2"/>
        <v>PD</v>
      </c>
      <c r="B158" s="122" t="s">
        <v>649</v>
      </c>
    </row>
    <row r="159" spans="1:6" s="122" customFormat="1" ht="12.75" customHeight="1" x14ac:dyDescent="0.2">
      <c r="A159" s="122" t="str">
        <f t="shared" si="2"/>
        <v>PD</v>
      </c>
      <c r="B159" s="122" t="s">
        <v>651</v>
      </c>
    </row>
    <row r="160" spans="1:6" s="122" customFormat="1" ht="12.75" customHeight="1" x14ac:dyDescent="0.2">
      <c r="A160" s="122" t="str">
        <f t="shared" si="2"/>
        <v>PD</v>
      </c>
      <c r="B160" s="122" t="s">
        <v>650</v>
      </c>
    </row>
    <row r="161" spans="1:2" s="122" customFormat="1" ht="12.75" customHeight="1" x14ac:dyDescent="0.2">
      <c r="A161" s="122" t="str">
        <f t="shared" si="2"/>
        <v>PD</v>
      </c>
      <c r="B161" s="122" t="s">
        <v>645</v>
      </c>
    </row>
    <row r="162" spans="1:2" s="122" customFormat="1" ht="12.75" customHeight="1" x14ac:dyDescent="0.2">
      <c r="A162" s="122" t="str">
        <f t="shared" si="2"/>
        <v>PD</v>
      </c>
      <c r="B162" s="122" t="s">
        <v>643</v>
      </c>
    </row>
    <row r="163" spans="1:2" s="122" customFormat="1" ht="12.75" customHeight="1" x14ac:dyDescent="0.2">
      <c r="A163" s="122" t="str">
        <f t="shared" si="2"/>
        <v>PD</v>
      </c>
      <c r="B163" s="122" t="s">
        <v>636</v>
      </c>
    </row>
    <row r="164" spans="1:2" s="122" customFormat="1" ht="12.75" customHeight="1" x14ac:dyDescent="0.2">
      <c r="A164" s="122" t="str">
        <f t="shared" si="2"/>
        <v>PD</v>
      </c>
      <c r="B164" s="122" t="s">
        <v>648</v>
      </c>
    </row>
    <row r="165" spans="1:2" s="122" customFormat="1" ht="12.75" customHeight="1" x14ac:dyDescent="0.2">
      <c r="A165" s="122" t="str">
        <f t="shared" si="2"/>
        <v>PD</v>
      </c>
      <c r="B165" s="122" t="s">
        <v>640</v>
      </c>
    </row>
    <row r="166" spans="1:2" s="122" customFormat="1" ht="12.75" customHeight="1" x14ac:dyDescent="0.2">
      <c r="A166" s="122" t="str">
        <f t="shared" si="2"/>
        <v>PD</v>
      </c>
      <c r="B166" s="122" t="s">
        <v>646</v>
      </c>
    </row>
    <row r="167" spans="1:2" s="122" customFormat="1" ht="12.75" customHeight="1" x14ac:dyDescent="0.2">
      <c r="A167" s="122" t="str">
        <f t="shared" si="2"/>
        <v>PD</v>
      </c>
      <c r="B167" s="122" t="s">
        <v>637</v>
      </c>
    </row>
    <row r="168" spans="1:2" s="122" customFormat="1" ht="12.75" customHeight="1" x14ac:dyDescent="0.2">
      <c r="A168" s="122" t="str">
        <f t="shared" si="2"/>
        <v>PD</v>
      </c>
      <c r="B168" s="122" t="s">
        <v>652</v>
      </c>
    </row>
    <row r="169" spans="1:2" s="122" customFormat="1" ht="12.75" customHeight="1" x14ac:dyDescent="0.2">
      <c r="A169" s="122" t="str">
        <f t="shared" si="2"/>
        <v>PD</v>
      </c>
      <c r="B169" s="122" t="s">
        <v>634</v>
      </c>
    </row>
    <row r="170" spans="1:2" s="122" customFormat="1" ht="12.75" customHeight="1" x14ac:dyDescent="0.2">
      <c r="A170" s="122" t="str">
        <f t="shared" si="2"/>
        <v>PD</v>
      </c>
      <c r="B170" s="122" t="s">
        <v>644</v>
      </c>
    </row>
    <row r="171" spans="1:2" s="95" customFormat="1" ht="12.75" customHeight="1" x14ac:dyDescent="0.2">
      <c r="A171" s="95" t="str">
        <f t="shared" si="2"/>
        <v>911</v>
      </c>
      <c r="B171" s="95" t="s">
        <v>556</v>
      </c>
    </row>
    <row r="172" spans="1:2" s="95" customFormat="1" ht="12.75" customHeight="1" x14ac:dyDescent="0.2">
      <c r="A172" s="95" t="str">
        <f t="shared" si="2"/>
        <v>911</v>
      </c>
      <c r="B172" s="95" t="s">
        <v>560</v>
      </c>
    </row>
    <row r="173" spans="1:2" s="95" customFormat="1" ht="12.75" customHeight="1" x14ac:dyDescent="0.2">
      <c r="A173" s="95" t="str">
        <f t="shared" si="2"/>
        <v>911</v>
      </c>
      <c r="B173" s="95" t="s">
        <v>559</v>
      </c>
    </row>
    <row r="174" spans="1:2" s="95" customFormat="1" ht="12.75" customHeight="1" x14ac:dyDescent="0.2">
      <c r="A174" s="95" t="str">
        <f t="shared" si="2"/>
        <v>911</v>
      </c>
      <c r="B174" s="95" t="s">
        <v>549</v>
      </c>
    </row>
    <row r="175" spans="1:2" s="95" customFormat="1" ht="12.75" customHeight="1" x14ac:dyDescent="0.2">
      <c r="A175" s="95" t="str">
        <f t="shared" si="2"/>
        <v>911</v>
      </c>
      <c r="B175" s="95" t="s">
        <v>555</v>
      </c>
    </row>
    <row r="176" spans="1:2" s="95" customFormat="1" ht="12.75" customHeight="1" x14ac:dyDescent="0.2">
      <c r="A176" s="95" t="str">
        <f t="shared" si="2"/>
        <v>911</v>
      </c>
      <c r="B176" s="95" t="s">
        <v>561</v>
      </c>
    </row>
    <row r="177" spans="1:8" s="95" customFormat="1" ht="12.75" customHeight="1" x14ac:dyDescent="0.2">
      <c r="A177" s="95" t="str">
        <f t="shared" si="2"/>
        <v>911</v>
      </c>
      <c r="B177" s="95" t="s">
        <v>563</v>
      </c>
    </row>
    <row r="178" spans="1:8" ht="15" customHeight="1" x14ac:dyDescent="0.2">
      <c r="A178" s="130" t="str">
        <f t="shared" si="2"/>
        <v>PROS</v>
      </c>
      <c r="B178" s="130" t="s">
        <v>680</v>
      </c>
      <c r="C178" s="159" t="s">
        <v>818</v>
      </c>
      <c r="D178" s="160"/>
      <c r="E178" s="160">
        <v>516</v>
      </c>
      <c r="F178" s="160"/>
      <c r="G178" s="160"/>
      <c r="H178" s="161"/>
    </row>
    <row r="179" spans="1:8" ht="15" customHeight="1" x14ac:dyDescent="0.2">
      <c r="A179" s="130" t="str">
        <f t="shared" si="2"/>
        <v>PROS</v>
      </c>
      <c r="B179" s="130" t="s">
        <v>680</v>
      </c>
      <c r="C179" s="159" t="s">
        <v>819</v>
      </c>
      <c r="D179" s="160"/>
      <c r="E179" s="160">
        <v>552</v>
      </c>
      <c r="F179" s="160"/>
      <c r="G179" s="160"/>
      <c r="H179" s="161"/>
    </row>
    <row r="180" spans="1:8" ht="15" customHeight="1" x14ac:dyDescent="0.2">
      <c r="A180" s="130" t="str">
        <f t="shared" si="2"/>
        <v>PROS</v>
      </c>
      <c r="B180" s="130" t="s">
        <v>680</v>
      </c>
      <c r="C180" s="159" t="s">
        <v>820</v>
      </c>
      <c r="D180" s="160"/>
      <c r="E180" s="160">
        <v>605</v>
      </c>
      <c r="F180" s="160"/>
      <c r="G180" s="160"/>
      <c r="H180" s="161"/>
    </row>
    <row r="181" spans="1:8" ht="15" customHeight="1" x14ac:dyDescent="0.2">
      <c r="A181" s="130" t="str">
        <f t="shared" si="2"/>
        <v>PROS</v>
      </c>
      <c r="B181" s="130" t="s">
        <v>680</v>
      </c>
      <c r="C181" s="159" t="s">
        <v>785</v>
      </c>
      <c r="D181" s="160"/>
      <c r="E181" s="160">
        <v>645</v>
      </c>
      <c r="F181" s="160"/>
      <c r="G181" s="160"/>
      <c r="H181" s="161"/>
    </row>
    <row r="182" spans="1:8" ht="15" customHeight="1" x14ac:dyDescent="0.2">
      <c r="A182" s="130" t="str">
        <f t="shared" si="2"/>
        <v>PROS</v>
      </c>
      <c r="B182" s="130" t="s">
        <v>680</v>
      </c>
      <c r="C182" s="159" t="s">
        <v>778</v>
      </c>
      <c r="D182" s="160"/>
      <c r="E182" s="160">
        <v>654</v>
      </c>
      <c r="F182" s="160"/>
      <c r="G182" s="160"/>
      <c r="H182" s="161"/>
    </row>
    <row r="183" spans="1:8" ht="15" customHeight="1" x14ac:dyDescent="0.2">
      <c r="A183" s="130" t="str">
        <f t="shared" si="2"/>
        <v>PROS</v>
      </c>
      <c r="B183" s="130" t="s">
        <v>680</v>
      </c>
      <c r="C183" s="159" t="s">
        <v>786</v>
      </c>
      <c r="D183" s="160"/>
      <c r="E183" s="160">
        <v>672</v>
      </c>
      <c r="F183" s="160"/>
      <c r="G183" s="160"/>
      <c r="H183" s="161"/>
    </row>
    <row r="184" spans="1:8" ht="15" customHeight="1" x14ac:dyDescent="0.2">
      <c r="A184" s="130" t="str">
        <f t="shared" si="2"/>
        <v>PROS</v>
      </c>
      <c r="B184" s="130" t="s">
        <v>680</v>
      </c>
      <c r="C184" s="159" t="s">
        <v>780</v>
      </c>
      <c r="D184" s="160"/>
      <c r="E184" s="160">
        <v>672</v>
      </c>
      <c r="F184" s="160"/>
      <c r="G184" s="160"/>
      <c r="H184" s="161"/>
    </row>
    <row r="185" spans="1:8" ht="15" customHeight="1" x14ac:dyDescent="0.2">
      <c r="A185" s="130" t="str">
        <f t="shared" si="2"/>
        <v>PROS</v>
      </c>
      <c r="B185" s="130" t="s">
        <v>680</v>
      </c>
      <c r="C185" s="159" t="s">
        <v>787</v>
      </c>
      <c r="D185" s="160"/>
      <c r="E185" s="160">
        <v>792</v>
      </c>
      <c r="F185" s="160"/>
      <c r="G185" s="160"/>
      <c r="H185" s="161"/>
    </row>
    <row r="186" spans="1:8" ht="15" customHeight="1" x14ac:dyDescent="0.2">
      <c r="A186" s="130" t="str">
        <f t="shared" si="2"/>
        <v>PROS</v>
      </c>
      <c r="B186" s="130" t="s">
        <v>680</v>
      </c>
      <c r="C186" s="159" t="s">
        <v>781</v>
      </c>
      <c r="D186" s="160"/>
      <c r="E186" s="160">
        <v>792</v>
      </c>
      <c r="F186" s="160"/>
      <c r="G186" s="160"/>
      <c r="H186" s="161"/>
    </row>
    <row r="187" spans="1:8" ht="15" customHeight="1" x14ac:dyDescent="0.2">
      <c r="A187" s="134" t="str">
        <f t="shared" si="2"/>
        <v>TRAN</v>
      </c>
      <c r="B187" s="134" t="s">
        <v>693</v>
      </c>
      <c r="C187" s="159" t="s">
        <v>821</v>
      </c>
      <c r="D187" s="162" t="s">
        <v>822</v>
      </c>
      <c r="E187" s="15">
        <v>135.333333333333</v>
      </c>
      <c r="F187" s="160"/>
      <c r="G187" s="160"/>
      <c r="H187" s="161"/>
    </row>
    <row r="188" spans="1:8" ht="15" customHeight="1" x14ac:dyDescent="0.2">
      <c r="A188" s="134" t="str">
        <f t="shared" si="2"/>
        <v>TRAN</v>
      </c>
      <c r="B188" s="134" t="s">
        <v>693</v>
      </c>
      <c r="C188" s="159" t="s">
        <v>823</v>
      </c>
      <c r="D188" s="162" t="s">
        <v>822</v>
      </c>
      <c r="E188" s="15">
        <v>117.666666666667</v>
      </c>
      <c r="F188" s="160"/>
      <c r="G188" s="160"/>
      <c r="H188" s="161"/>
    </row>
    <row r="189" spans="1:8" ht="15" customHeight="1" x14ac:dyDescent="0.2">
      <c r="A189" s="134" t="str">
        <f t="shared" si="2"/>
        <v>TRAN</v>
      </c>
      <c r="B189" s="134" t="s">
        <v>693</v>
      </c>
      <c r="C189" s="159" t="s">
        <v>824</v>
      </c>
      <c r="D189" s="162" t="s">
        <v>822</v>
      </c>
      <c r="E189" s="15">
        <v>99.5</v>
      </c>
      <c r="F189" s="160"/>
      <c r="G189" s="160"/>
      <c r="H189" s="161"/>
    </row>
    <row r="190" spans="1:8" ht="15" customHeight="1" x14ac:dyDescent="0.2">
      <c r="A190" s="134" t="str">
        <f t="shared" si="2"/>
        <v>TRAN</v>
      </c>
      <c r="B190" s="134" t="s">
        <v>693</v>
      </c>
      <c r="C190" s="159" t="s">
        <v>818</v>
      </c>
      <c r="D190" s="162" t="s">
        <v>822</v>
      </c>
      <c r="E190" s="15">
        <v>142.857142857143</v>
      </c>
      <c r="F190" s="160"/>
      <c r="G190" s="160"/>
      <c r="H190" s="161"/>
    </row>
    <row r="191" spans="1:8" ht="15" customHeight="1" x14ac:dyDescent="0.2">
      <c r="A191" s="134" t="str">
        <f t="shared" si="2"/>
        <v>TRAN</v>
      </c>
      <c r="B191" s="134" t="s">
        <v>693</v>
      </c>
      <c r="C191" s="159" t="s">
        <v>825</v>
      </c>
      <c r="D191" s="162" t="s">
        <v>822</v>
      </c>
      <c r="E191" s="15">
        <v>172.11904761904799</v>
      </c>
      <c r="F191" s="160"/>
      <c r="G191" s="160"/>
      <c r="H191" s="161"/>
    </row>
    <row r="192" spans="1:8" ht="15" customHeight="1" x14ac:dyDescent="0.2">
      <c r="A192" s="134" t="str">
        <f t="shared" si="2"/>
        <v>TRAN</v>
      </c>
      <c r="B192" s="134" t="s">
        <v>693</v>
      </c>
      <c r="C192" s="159" t="s">
        <v>820</v>
      </c>
      <c r="D192" s="162" t="s">
        <v>822</v>
      </c>
      <c r="E192" s="15">
        <v>170.26984126984101</v>
      </c>
      <c r="F192" s="160"/>
      <c r="G192" s="160"/>
      <c r="H192" s="161"/>
    </row>
    <row r="193" spans="1:8" ht="15" customHeight="1" x14ac:dyDescent="0.2">
      <c r="A193" s="134" t="str">
        <f t="shared" si="2"/>
        <v>TRAN</v>
      </c>
      <c r="B193" s="134" t="s">
        <v>693</v>
      </c>
      <c r="C193" s="159" t="s">
        <v>785</v>
      </c>
      <c r="D193" s="162" t="s">
        <v>822</v>
      </c>
      <c r="E193" s="15">
        <v>205.68253968254001</v>
      </c>
      <c r="F193" s="160"/>
      <c r="G193" s="160"/>
      <c r="H193" s="161"/>
    </row>
    <row r="194" spans="1:8" ht="15" customHeight="1" x14ac:dyDescent="0.2">
      <c r="A194" s="134" t="str">
        <f t="shared" ref="A194:A257" si="3">LEFT(B194, FIND("-", B194) - 1)</f>
        <v>TRAN</v>
      </c>
      <c r="B194" s="134" t="s">
        <v>693</v>
      </c>
      <c r="C194" s="159" t="s">
        <v>786</v>
      </c>
      <c r="D194" s="162" t="s">
        <v>822</v>
      </c>
      <c r="E194" s="15">
        <v>148</v>
      </c>
      <c r="F194" s="160"/>
      <c r="G194" s="160"/>
      <c r="H194" s="161"/>
    </row>
    <row r="195" spans="1:8" ht="15" customHeight="1" x14ac:dyDescent="0.2">
      <c r="A195" s="134" t="str">
        <f t="shared" si="3"/>
        <v>TRAN</v>
      </c>
      <c r="B195" s="134" t="s">
        <v>693</v>
      </c>
      <c r="C195" s="159" t="s">
        <v>787</v>
      </c>
      <c r="D195" s="162" t="s">
        <v>822</v>
      </c>
      <c r="E195" s="15">
        <v>233</v>
      </c>
      <c r="F195" s="160"/>
      <c r="G195" s="160"/>
      <c r="H195" s="161"/>
    </row>
    <row r="196" spans="1:8" ht="27.75" customHeight="1" x14ac:dyDescent="0.2">
      <c r="A196" s="134" t="str">
        <f t="shared" si="3"/>
        <v>TRAN</v>
      </c>
      <c r="B196" s="134" t="s">
        <v>693</v>
      </c>
      <c r="C196" s="159" t="s">
        <v>821</v>
      </c>
      <c r="D196" s="161" t="s">
        <v>826</v>
      </c>
      <c r="E196" s="15">
        <v>102.166666666667</v>
      </c>
      <c r="F196" s="160"/>
      <c r="G196" s="160"/>
      <c r="H196" s="161"/>
    </row>
    <row r="197" spans="1:8" ht="27.75" customHeight="1" x14ac:dyDescent="0.2">
      <c r="A197" s="134" t="str">
        <f t="shared" si="3"/>
        <v>TRAN</v>
      </c>
      <c r="B197" s="134" t="s">
        <v>693</v>
      </c>
      <c r="C197" s="159" t="s">
        <v>823</v>
      </c>
      <c r="D197" s="161" t="s">
        <v>826</v>
      </c>
      <c r="E197" s="15">
        <v>117.166666666667</v>
      </c>
      <c r="F197" s="160"/>
      <c r="G197" s="160"/>
      <c r="H197" s="161"/>
    </row>
    <row r="198" spans="1:8" ht="27.75" customHeight="1" x14ac:dyDescent="0.2">
      <c r="A198" s="134" t="str">
        <f t="shared" si="3"/>
        <v>TRAN</v>
      </c>
      <c r="B198" s="134" t="s">
        <v>693</v>
      </c>
      <c r="C198" s="159" t="s">
        <v>824</v>
      </c>
      <c r="D198" s="161" t="s">
        <v>826</v>
      </c>
      <c r="E198" s="15">
        <v>83.3333333333333</v>
      </c>
      <c r="F198" s="160"/>
      <c r="G198" s="160"/>
      <c r="H198" s="161"/>
    </row>
    <row r="199" spans="1:8" ht="27.75" customHeight="1" x14ac:dyDescent="0.2">
      <c r="A199" s="134" t="str">
        <f t="shared" si="3"/>
        <v>TRAN</v>
      </c>
      <c r="B199" s="134" t="s">
        <v>693</v>
      </c>
      <c r="C199" s="159" t="s">
        <v>818</v>
      </c>
      <c r="D199" s="161" t="s">
        <v>826</v>
      </c>
      <c r="E199" s="15">
        <v>84</v>
      </c>
      <c r="F199" s="160"/>
      <c r="G199" s="160"/>
      <c r="H199" s="161"/>
    </row>
    <row r="200" spans="1:8" ht="27.75" customHeight="1" x14ac:dyDescent="0.2">
      <c r="A200" s="134" t="str">
        <f t="shared" si="3"/>
        <v>TRAN</v>
      </c>
      <c r="B200" s="134" t="s">
        <v>693</v>
      </c>
      <c r="C200" s="159" t="s">
        <v>825</v>
      </c>
      <c r="D200" s="161" t="s">
        <v>826</v>
      </c>
      <c r="E200" s="15">
        <v>125.47619047619099</v>
      </c>
      <c r="F200" s="160"/>
      <c r="G200" s="160"/>
      <c r="H200" s="161"/>
    </row>
    <row r="201" spans="1:8" ht="27.75" customHeight="1" x14ac:dyDescent="0.2">
      <c r="A201" s="134" t="str">
        <f t="shared" si="3"/>
        <v>TRAN</v>
      </c>
      <c r="B201" s="134" t="s">
        <v>693</v>
      </c>
      <c r="C201" s="159" t="s">
        <v>820</v>
      </c>
      <c r="D201" s="161" t="s">
        <v>826</v>
      </c>
      <c r="E201" s="15">
        <v>71.7777777777778</v>
      </c>
      <c r="F201" s="160"/>
      <c r="G201" s="160"/>
      <c r="H201" s="161"/>
    </row>
    <row r="202" spans="1:8" ht="27.75" customHeight="1" x14ac:dyDescent="0.2">
      <c r="A202" s="134" t="str">
        <f t="shared" si="3"/>
        <v>TRAN</v>
      </c>
      <c r="B202" s="134" t="s">
        <v>693</v>
      </c>
      <c r="C202" s="159" t="s">
        <v>785</v>
      </c>
      <c r="D202" s="161" t="s">
        <v>826</v>
      </c>
      <c r="E202" s="15">
        <v>88.5416666666667</v>
      </c>
      <c r="F202" s="160"/>
      <c r="G202" s="160"/>
      <c r="H202" s="161"/>
    </row>
    <row r="203" spans="1:8" ht="27.75" customHeight="1" x14ac:dyDescent="0.2">
      <c r="A203" s="134" t="str">
        <f t="shared" si="3"/>
        <v>TRAN</v>
      </c>
      <c r="B203" s="134" t="s">
        <v>693</v>
      </c>
      <c r="C203" s="159" t="s">
        <v>786</v>
      </c>
      <c r="D203" s="161" t="s">
        <v>826</v>
      </c>
      <c r="E203" s="15">
        <v>77</v>
      </c>
      <c r="F203" s="160"/>
      <c r="G203" s="160"/>
      <c r="H203" s="161"/>
    </row>
    <row r="204" spans="1:8" ht="27.75" customHeight="1" x14ac:dyDescent="0.2">
      <c r="A204" s="134" t="str">
        <f t="shared" si="3"/>
        <v>TRAN</v>
      </c>
      <c r="B204" s="134" t="s">
        <v>693</v>
      </c>
      <c r="C204" s="159" t="s">
        <v>787</v>
      </c>
      <c r="D204" s="161" t="s">
        <v>826</v>
      </c>
      <c r="E204" s="15">
        <v>76</v>
      </c>
      <c r="F204" s="160"/>
      <c r="G204" s="160"/>
      <c r="H204" s="161"/>
    </row>
    <row r="205" spans="1:8" ht="15" customHeight="1" x14ac:dyDescent="0.2">
      <c r="A205" s="134" t="str">
        <f t="shared" si="3"/>
        <v>TRAN</v>
      </c>
      <c r="B205" s="134" t="s">
        <v>693</v>
      </c>
      <c r="C205" s="159" t="s">
        <v>821</v>
      </c>
      <c r="D205" s="161" t="s">
        <v>827</v>
      </c>
      <c r="E205" s="15">
        <v>54.5</v>
      </c>
      <c r="F205" s="160"/>
      <c r="G205" s="160"/>
      <c r="H205" s="161"/>
    </row>
    <row r="206" spans="1:8" ht="15" customHeight="1" x14ac:dyDescent="0.2">
      <c r="A206" s="134" t="str">
        <f t="shared" si="3"/>
        <v>TRAN</v>
      </c>
      <c r="B206" s="134" t="s">
        <v>693</v>
      </c>
      <c r="C206" s="159" t="s">
        <v>823</v>
      </c>
      <c r="D206" s="161" t="s">
        <v>827</v>
      </c>
      <c r="E206" s="15">
        <v>58.5</v>
      </c>
      <c r="F206" s="160"/>
      <c r="G206" s="160"/>
      <c r="H206" s="161"/>
    </row>
    <row r="207" spans="1:8" ht="15" customHeight="1" x14ac:dyDescent="0.2">
      <c r="A207" s="134" t="str">
        <f t="shared" si="3"/>
        <v>TRAN</v>
      </c>
      <c r="B207" s="134" t="s">
        <v>693</v>
      </c>
      <c r="C207" s="159" t="s">
        <v>824</v>
      </c>
      <c r="D207" s="161" t="s">
        <v>827</v>
      </c>
      <c r="E207" s="15">
        <v>63.1666666666667</v>
      </c>
      <c r="F207" s="160"/>
      <c r="G207" s="160"/>
      <c r="H207" s="161"/>
    </row>
    <row r="208" spans="1:8" ht="15" customHeight="1" x14ac:dyDescent="0.2">
      <c r="A208" s="134" t="str">
        <f t="shared" si="3"/>
        <v>TRAN</v>
      </c>
      <c r="B208" s="134" t="s">
        <v>693</v>
      </c>
      <c r="C208" s="159" t="s">
        <v>818</v>
      </c>
      <c r="D208" s="161" t="s">
        <v>827</v>
      </c>
      <c r="E208" s="15">
        <v>77.1666666666667</v>
      </c>
      <c r="F208" s="160"/>
      <c r="G208" s="160"/>
      <c r="H208" s="161"/>
    </row>
    <row r="209" spans="1:8" ht="15" customHeight="1" x14ac:dyDescent="0.2">
      <c r="A209" s="134" t="str">
        <f t="shared" si="3"/>
        <v>TRAN</v>
      </c>
      <c r="B209" s="134" t="s">
        <v>693</v>
      </c>
      <c r="C209" s="159" t="s">
        <v>825</v>
      </c>
      <c r="D209" s="161" t="s">
        <v>827</v>
      </c>
      <c r="E209" s="15">
        <v>66.119047619047606</v>
      </c>
      <c r="F209" s="160"/>
      <c r="G209" s="160"/>
      <c r="H209" s="161"/>
    </row>
    <row r="210" spans="1:8" ht="15" customHeight="1" x14ac:dyDescent="0.2">
      <c r="A210" s="134" t="str">
        <f t="shared" si="3"/>
        <v>TRAN</v>
      </c>
      <c r="B210" s="134" t="s">
        <v>693</v>
      </c>
      <c r="C210" s="159" t="s">
        <v>820</v>
      </c>
      <c r="D210" s="161" t="s">
        <v>827</v>
      </c>
      <c r="E210" s="15">
        <v>82.158730158730194</v>
      </c>
      <c r="F210" s="160"/>
      <c r="G210" s="160"/>
      <c r="H210" s="161"/>
    </row>
    <row r="211" spans="1:8" ht="15" customHeight="1" x14ac:dyDescent="0.2">
      <c r="A211" s="134" t="str">
        <f t="shared" si="3"/>
        <v>TRAN</v>
      </c>
      <c r="B211" s="134" t="s">
        <v>693</v>
      </c>
      <c r="C211" s="159" t="s">
        <v>785</v>
      </c>
      <c r="D211" s="161" t="s">
        <v>827</v>
      </c>
      <c r="E211" s="15">
        <v>46</v>
      </c>
      <c r="F211" s="160"/>
      <c r="G211" s="160"/>
      <c r="H211" s="161"/>
    </row>
    <row r="212" spans="1:8" ht="15" customHeight="1" x14ac:dyDescent="0.2">
      <c r="A212" s="134" t="str">
        <f t="shared" si="3"/>
        <v>TRAN</v>
      </c>
      <c r="B212" s="134" t="s">
        <v>693</v>
      </c>
      <c r="C212" s="159" t="s">
        <v>786</v>
      </c>
      <c r="D212" s="161" t="s">
        <v>827</v>
      </c>
      <c r="E212" s="15">
        <v>75</v>
      </c>
      <c r="F212" s="160"/>
      <c r="G212" s="160"/>
      <c r="H212" s="161"/>
    </row>
    <row r="213" spans="1:8" ht="15" customHeight="1" x14ac:dyDescent="0.2">
      <c r="A213" s="134" t="str">
        <f t="shared" si="3"/>
        <v>TRAN</v>
      </c>
      <c r="B213" s="134" t="s">
        <v>693</v>
      </c>
      <c r="C213" s="159" t="s">
        <v>787</v>
      </c>
      <c r="D213" s="161" t="s">
        <v>827</v>
      </c>
      <c r="E213" s="15">
        <v>75</v>
      </c>
      <c r="F213" s="160"/>
      <c r="G213" s="160"/>
      <c r="H213" s="161"/>
    </row>
    <row r="214" spans="1:8" ht="27.75" customHeight="1" x14ac:dyDescent="0.2">
      <c r="A214" s="134" t="str">
        <f t="shared" si="3"/>
        <v>TRAN</v>
      </c>
      <c r="B214" s="134" t="s">
        <v>693</v>
      </c>
      <c r="C214" s="159" t="s">
        <v>821</v>
      </c>
      <c r="D214" s="161" t="s">
        <v>828</v>
      </c>
      <c r="E214" s="15">
        <v>61.5</v>
      </c>
      <c r="F214" s="160"/>
      <c r="G214" s="160"/>
      <c r="H214" s="161"/>
    </row>
    <row r="215" spans="1:8" ht="27.75" customHeight="1" x14ac:dyDescent="0.2">
      <c r="A215" s="134" t="str">
        <f t="shared" si="3"/>
        <v>TRAN</v>
      </c>
      <c r="B215" s="134" t="s">
        <v>693</v>
      </c>
      <c r="C215" s="159" t="s">
        <v>823</v>
      </c>
      <c r="D215" s="161" t="s">
        <v>828</v>
      </c>
      <c r="E215" s="15">
        <v>114</v>
      </c>
      <c r="F215" s="160"/>
      <c r="G215" s="160"/>
      <c r="H215" s="161"/>
    </row>
    <row r="216" spans="1:8" ht="27.75" customHeight="1" x14ac:dyDescent="0.2">
      <c r="A216" s="134" t="str">
        <f t="shared" si="3"/>
        <v>TRAN</v>
      </c>
      <c r="B216" s="134" t="s">
        <v>693</v>
      </c>
      <c r="C216" s="159" t="s">
        <v>824</v>
      </c>
      <c r="D216" s="161" t="s">
        <v>828</v>
      </c>
      <c r="E216" s="15">
        <v>72.8333333333333</v>
      </c>
      <c r="F216" s="160"/>
      <c r="G216" s="160"/>
      <c r="H216" s="161"/>
    </row>
    <row r="217" spans="1:8" ht="27.75" customHeight="1" x14ac:dyDescent="0.2">
      <c r="A217" s="134" t="str">
        <f t="shared" si="3"/>
        <v>TRAN</v>
      </c>
      <c r="B217" s="134" t="s">
        <v>693</v>
      </c>
      <c r="C217" s="159" t="s">
        <v>818</v>
      </c>
      <c r="D217" s="161" t="s">
        <v>828</v>
      </c>
      <c r="E217" s="15">
        <v>81.857142857142904</v>
      </c>
      <c r="F217" s="160"/>
      <c r="G217" s="160"/>
      <c r="H217" s="161"/>
    </row>
    <row r="218" spans="1:8" ht="27.75" customHeight="1" x14ac:dyDescent="0.2">
      <c r="A218" s="134" t="str">
        <f t="shared" si="3"/>
        <v>TRAN</v>
      </c>
      <c r="B218" s="134" t="s">
        <v>693</v>
      </c>
      <c r="C218" s="159" t="s">
        <v>825</v>
      </c>
      <c r="D218" s="161" t="s">
        <v>828</v>
      </c>
      <c r="E218" s="15">
        <v>101.738095238095</v>
      </c>
      <c r="F218" s="160"/>
      <c r="G218" s="160"/>
      <c r="H218" s="161"/>
    </row>
    <row r="219" spans="1:8" ht="27.75" customHeight="1" x14ac:dyDescent="0.2">
      <c r="A219" s="134" t="str">
        <f t="shared" si="3"/>
        <v>TRAN</v>
      </c>
      <c r="B219" s="134" t="s">
        <v>693</v>
      </c>
      <c r="C219" s="159" t="s">
        <v>820</v>
      </c>
      <c r="D219" s="161" t="s">
        <v>828</v>
      </c>
      <c r="E219" s="15">
        <v>110.650793650794</v>
      </c>
      <c r="F219" s="160"/>
      <c r="G219" s="160"/>
      <c r="H219" s="161"/>
    </row>
    <row r="220" spans="1:8" ht="27.75" customHeight="1" x14ac:dyDescent="0.2">
      <c r="A220" s="134" t="str">
        <f t="shared" si="3"/>
        <v>TRAN</v>
      </c>
      <c r="B220" s="134" t="s">
        <v>693</v>
      </c>
      <c r="C220" s="159" t="s">
        <v>785</v>
      </c>
      <c r="D220" s="161" t="s">
        <v>828</v>
      </c>
      <c r="E220" s="15">
        <v>116.166666666667</v>
      </c>
      <c r="F220" s="160"/>
      <c r="G220" s="160"/>
      <c r="H220" s="161"/>
    </row>
    <row r="221" spans="1:8" ht="27.75" customHeight="1" x14ac:dyDescent="0.2">
      <c r="A221" s="134" t="str">
        <f t="shared" si="3"/>
        <v>TRAN</v>
      </c>
      <c r="B221" s="134" t="s">
        <v>693</v>
      </c>
      <c r="C221" s="159" t="s">
        <v>786</v>
      </c>
      <c r="D221" s="161" t="s">
        <v>828</v>
      </c>
      <c r="E221" s="15">
        <v>105</v>
      </c>
      <c r="F221" s="160"/>
      <c r="G221" s="160"/>
      <c r="H221" s="161"/>
    </row>
    <row r="222" spans="1:8" ht="27.75" customHeight="1" x14ac:dyDescent="0.2">
      <c r="A222" s="134" t="str">
        <f t="shared" si="3"/>
        <v>TRAN</v>
      </c>
      <c r="B222" s="134" t="s">
        <v>693</v>
      </c>
      <c r="C222" s="159" t="s">
        <v>787</v>
      </c>
      <c r="D222" s="161" t="s">
        <v>828</v>
      </c>
      <c r="E222" s="15">
        <v>155</v>
      </c>
      <c r="F222" s="160"/>
      <c r="G222" s="160"/>
      <c r="H222" s="161"/>
    </row>
    <row r="223" spans="1:8" ht="15" customHeight="1" x14ac:dyDescent="0.2">
      <c r="A223" s="134" t="str">
        <f t="shared" si="3"/>
        <v>TRAN</v>
      </c>
      <c r="B223" s="134" t="s">
        <v>693</v>
      </c>
      <c r="C223" s="159" t="s">
        <v>821</v>
      </c>
      <c r="D223" s="161" t="s">
        <v>829</v>
      </c>
      <c r="E223" s="15">
        <v>135.333333333333</v>
      </c>
      <c r="F223" s="160"/>
      <c r="G223" s="160"/>
      <c r="H223" s="161"/>
    </row>
    <row r="224" spans="1:8" ht="15" customHeight="1" x14ac:dyDescent="0.2">
      <c r="A224" s="134" t="str">
        <f t="shared" si="3"/>
        <v>TRAN</v>
      </c>
      <c r="B224" s="134" t="s">
        <v>693</v>
      </c>
      <c r="C224" s="159" t="s">
        <v>823</v>
      </c>
      <c r="D224" s="161" t="s">
        <v>829</v>
      </c>
      <c r="E224" s="15">
        <v>141.833333333333</v>
      </c>
      <c r="F224" s="160"/>
      <c r="G224" s="160"/>
      <c r="H224" s="161"/>
    </row>
    <row r="225" spans="1:8" ht="15" customHeight="1" x14ac:dyDescent="0.2">
      <c r="A225" s="134" t="str">
        <f t="shared" si="3"/>
        <v>TRAN</v>
      </c>
      <c r="B225" s="134" t="s">
        <v>693</v>
      </c>
      <c r="C225" s="159" t="s">
        <v>824</v>
      </c>
      <c r="D225" s="161" t="s">
        <v>829</v>
      </c>
      <c r="E225" s="15">
        <v>157.666666666667</v>
      </c>
      <c r="F225" s="160"/>
      <c r="G225" s="160"/>
      <c r="H225" s="161"/>
    </row>
    <row r="226" spans="1:8" ht="15" customHeight="1" x14ac:dyDescent="0.2">
      <c r="A226" s="134" t="str">
        <f t="shared" si="3"/>
        <v>TRAN</v>
      </c>
      <c r="B226" s="134" t="s">
        <v>693</v>
      </c>
      <c r="C226" s="159" t="s">
        <v>818</v>
      </c>
      <c r="D226" s="161" t="s">
        <v>829</v>
      </c>
      <c r="E226" s="15">
        <v>165.42857142857099</v>
      </c>
      <c r="F226" s="160"/>
      <c r="G226" s="160"/>
      <c r="H226" s="161"/>
    </row>
    <row r="227" spans="1:8" ht="15" customHeight="1" x14ac:dyDescent="0.2">
      <c r="A227" s="134" t="str">
        <f t="shared" si="3"/>
        <v>TRAN</v>
      </c>
      <c r="B227" s="134" t="s">
        <v>693</v>
      </c>
      <c r="C227" s="159" t="s">
        <v>825</v>
      </c>
      <c r="D227" s="161" t="s">
        <v>829</v>
      </c>
      <c r="E227" s="15">
        <v>175.38095238095201</v>
      </c>
      <c r="F227" s="160"/>
      <c r="G227" s="160"/>
      <c r="H227" s="161"/>
    </row>
    <row r="228" spans="1:8" ht="15" customHeight="1" x14ac:dyDescent="0.2">
      <c r="A228" s="134" t="str">
        <f t="shared" si="3"/>
        <v>TRAN</v>
      </c>
      <c r="B228" s="134" t="s">
        <v>693</v>
      </c>
      <c r="C228" s="159" t="s">
        <v>820</v>
      </c>
      <c r="D228" s="161" t="s">
        <v>829</v>
      </c>
      <c r="E228" s="15">
        <v>156.857142857143</v>
      </c>
      <c r="F228" s="160"/>
      <c r="G228" s="160"/>
      <c r="H228" s="161"/>
    </row>
    <row r="229" spans="1:8" ht="15" customHeight="1" x14ac:dyDescent="0.2">
      <c r="A229" s="134" t="str">
        <f t="shared" si="3"/>
        <v>TRAN</v>
      </c>
      <c r="B229" s="134" t="s">
        <v>693</v>
      </c>
      <c r="C229" s="159" t="s">
        <v>785</v>
      </c>
      <c r="D229" s="161" t="s">
        <v>829</v>
      </c>
      <c r="E229" s="15">
        <v>163.58730158730199</v>
      </c>
      <c r="F229" s="160"/>
      <c r="G229" s="160"/>
      <c r="H229" s="161"/>
    </row>
    <row r="230" spans="1:8" ht="15" customHeight="1" x14ac:dyDescent="0.2">
      <c r="A230" s="134" t="str">
        <f t="shared" si="3"/>
        <v>TRAN</v>
      </c>
      <c r="B230" s="134" t="s">
        <v>693</v>
      </c>
      <c r="C230" s="159" t="s">
        <v>786</v>
      </c>
      <c r="D230" s="161" t="s">
        <v>829</v>
      </c>
      <c r="E230" s="15">
        <v>152</v>
      </c>
      <c r="F230" s="160"/>
      <c r="G230" s="160"/>
      <c r="H230" s="161"/>
    </row>
    <row r="231" spans="1:8" ht="15" customHeight="1" x14ac:dyDescent="0.2">
      <c r="A231" s="134" t="str">
        <f t="shared" si="3"/>
        <v>TRAN</v>
      </c>
      <c r="B231" s="134" t="s">
        <v>693</v>
      </c>
      <c r="C231" s="159" t="s">
        <v>787</v>
      </c>
      <c r="D231" s="161" t="s">
        <v>829</v>
      </c>
      <c r="E231" s="15">
        <v>225</v>
      </c>
      <c r="F231" s="160"/>
      <c r="G231" s="160"/>
      <c r="H231" s="161"/>
    </row>
    <row r="232" spans="1:8" ht="15" customHeight="1" x14ac:dyDescent="0.2">
      <c r="A232" s="134" t="str">
        <f t="shared" si="3"/>
        <v>TRAN</v>
      </c>
      <c r="B232" s="134" t="s">
        <v>693</v>
      </c>
      <c r="C232" s="159" t="s">
        <v>821</v>
      </c>
      <c r="D232" s="161" t="s">
        <v>830</v>
      </c>
      <c r="E232" s="15">
        <v>95.5</v>
      </c>
      <c r="F232" s="160"/>
      <c r="G232" s="160"/>
      <c r="H232" s="161"/>
    </row>
    <row r="233" spans="1:8" ht="15" customHeight="1" x14ac:dyDescent="0.2">
      <c r="A233" s="134" t="str">
        <f t="shared" si="3"/>
        <v>TRAN</v>
      </c>
      <c r="B233" s="134" t="s">
        <v>693</v>
      </c>
      <c r="C233" s="159" t="s">
        <v>823</v>
      </c>
      <c r="D233" s="161" t="s">
        <v>830</v>
      </c>
      <c r="E233" s="15">
        <v>102</v>
      </c>
      <c r="F233" s="160"/>
      <c r="G233" s="160"/>
      <c r="H233" s="161"/>
    </row>
    <row r="234" spans="1:8" ht="15" customHeight="1" x14ac:dyDescent="0.2">
      <c r="A234" s="134" t="str">
        <f t="shared" si="3"/>
        <v>TRAN</v>
      </c>
      <c r="B234" s="134" t="s">
        <v>693</v>
      </c>
      <c r="C234" s="159" t="s">
        <v>824</v>
      </c>
      <c r="D234" s="161" t="s">
        <v>830</v>
      </c>
      <c r="E234" s="15">
        <v>98</v>
      </c>
      <c r="F234" s="160"/>
      <c r="G234" s="160"/>
      <c r="H234" s="161"/>
    </row>
    <row r="235" spans="1:8" ht="15" customHeight="1" x14ac:dyDescent="0.2">
      <c r="A235" s="134" t="str">
        <f t="shared" si="3"/>
        <v>TRAN</v>
      </c>
      <c r="B235" s="134" t="s">
        <v>693</v>
      </c>
      <c r="C235" s="159" t="s">
        <v>818</v>
      </c>
      <c r="D235" s="161" t="s">
        <v>830</v>
      </c>
      <c r="E235" s="15">
        <v>127.28571428571399</v>
      </c>
      <c r="F235" s="160"/>
      <c r="G235" s="160"/>
      <c r="H235" s="161"/>
    </row>
    <row r="236" spans="1:8" ht="15" customHeight="1" x14ac:dyDescent="0.2">
      <c r="A236" s="134" t="str">
        <f t="shared" si="3"/>
        <v>TRAN</v>
      </c>
      <c r="B236" s="134" t="s">
        <v>693</v>
      </c>
      <c r="C236" s="159" t="s">
        <v>825</v>
      </c>
      <c r="D236" s="161" t="s">
        <v>830</v>
      </c>
      <c r="E236" s="15">
        <v>72.761904761904802</v>
      </c>
      <c r="F236" s="160"/>
      <c r="G236" s="160"/>
      <c r="H236" s="161"/>
    </row>
    <row r="237" spans="1:8" ht="15" customHeight="1" x14ac:dyDescent="0.2">
      <c r="A237" s="134" t="str">
        <f t="shared" si="3"/>
        <v>TRAN</v>
      </c>
      <c r="B237" s="134" t="s">
        <v>693</v>
      </c>
      <c r="C237" s="159" t="s">
        <v>820</v>
      </c>
      <c r="D237" s="161" t="s">
        <v>830</v>
      </c>
      <c r="E237" s="15">
        <v>84.571428571428598</v>
      </c>
      <c r="F237" s="160"/>
      <c r="G237" s="160"/>
      <c r="H237" s="161"/>
    </row>
    <row r="238" spans="1:8" ht="15" customHeight="1" x14ac:dyDescent="0.2">
      <c r="A238" s="134" t="str">
        <f t="shared" si="3"/>
        <v>TRAN</v>
      </c>
      <c r="B238" s="134" t="s">
        <v>693</v>
      </c>
      <c r="C238" s="159" t="s">
        <v>785</v>
      </c>
      <c r="D238" s="161" t="s">
        <v>830</v>
      </c>
      <c r="E238" s="15">
        <v>57</v>
      </c>
      <c r="F238" s="160"/>
      <c r="G238" s="160"/>
      <c r="H238" s="161"/>
    </row>
    <row r="239" spans="1:8" ht="15" customHeight="1" x14ac:dyDescent="0.2">
      <c r="A239" s="134" t="str">
        <f t="shared" si="3"/>
        <v>TRAN</v>
      </c>
      <c r="B239" s="134" t="s">
        <v>693</v>
      </c>
      <c r="C239" s="159" t="s">
        <v>786</v>
      </c>
      <c r="D239" s="161" t="s">
        <v>830</v>
      </c>
      <c r="E239" s="15">
        <v>60</v>
      </c>
      <c r="F239" s="160"/>
      <c r="G239" s="160"/>
      <c r="H239" s="161"/>
    </row>
    <row r="240" spans="1:8" ht="15" customHeight="1" x14ac:dyDescent="0.2">
      <c r="A240" s="134" t="str">
        <f t="shared" si="3"/>
        <v>TRAN</v>
      </c>
      <c r="B240" s="134" t="s">
        <v>693</v>
      </c>
      <c r="C240" s="159" t="s">
        <v>787</v>
      </c>
      <c r="D240" s="161" t="s">
        <v>830</v>
      </c>
      <c r="E240" s="15">
        <v>100</v>
      </c>
      <c r="F240" s="160"/>
      <c r="G240" s="160"/>
      <c r="H240" s="161"/>
    </row>
    <row r="241" spans="1:8" ht="15" customHeight="1" x14ac:dyDescent="0.2">
      <c r="A241" s="134" t="str">
        <f t="shared" si="3"/>
        <v>TRAN</v>
      </c>
      <c r="B241" s="134" t="s">
        <v>693</v>
      </c>
      <c r="C241" s="159" t="s">
        <v>821</v>
      </c>
      <c r="D241" s="161" t="s">
        <v>831</v>
      </c>
      <c r="E241" s="15">
        <v>136.833333333333</v>
      </c>
      <c r="F241" s="160"/>
      <c r="G241" s="160"/>
      <c r="H241" s="161"/>
    </row>
    <row r="242" spans="1:8" ht="15" customHeight="1" x14ac:dyDescent="0.2">
      <c r="A242" s="134" t="str">
        <f t="shared" si="3"/>
        <v>TRAN</v>
      </c>
      <c r="B242" s="134" t="s">
        <v>693</v>
      </c>
      <c r="C242" s="159" t="s">
        <v>823</v>
      </c>
      <c r="D242" s="161" t="s">
        <v>831</v>
      </c>
      <c r="E242" s="15">
        <v>133.166666666667</v>
      </c>
      <c r="F242" s="160"/>
      <c r="G242" s="160"/>
      <c r="H242" s="161"/>
    </row>
    <row r="243" spans="1:8" ht="15" customHeight="1" x14ac:dyDescent="0.2">
      <c r="A243" s="134" t="str">
        <f t="shared" si="3"/>
        <v>TRAN</v>
      </c>
      <c r="B243" s="134" t="s">
        <v>693</v>
      </c>
      <c r="C243" s="159" t="s">
        <v>824</v>
      </c>
      <c r="D243" s="161" t="s">
        <v>831</v>
      </c>
      <c r="E243" s="15">
        <v>137.5</v>
      </c>
      <c r="F243" s="160"/>
      <c r="G243" s="160"/>
      <c r="H243" s="161"/>
    </row>
    <row r="244" spans="1:8" ht="15" customHeight="1" x14ac:dyDescent="0.2">
      <c r="A244" s="134" t="str">
        <f t="shared" si="3"/>
        <v>TRAN</v>
      </c>
      <c r="B244" s="134" t="s">
        <v>693</v>
      </c>
      <c r="C244" s="159" t="s">
        <v>818</v>
      </c>
      <c r="D244" s="161" t="s">
        <v>831</v>
      </c>
      <c r="E244" s="15">
        <v>165.857142857143</v>
      </c>
      <c r="F244" s="160"/>
      <c r="G244" s="160"/>
      <c r="H244" s="161"/>
    </row>
    <row r="245" spans="1:8" ht="15" customHeight="1" x14ac:dyDescent="0.2">
      <c r="A245" s="134" t="str">
        <f t="shared" si="3"/>
        <v>TRAN</v>
      </c>
      <c r="B245" s="134" t="s">
        <v>693</v>
      </c>
      <c r="C245" s="159" t="s">
        <v>825</v>
      </c>
      <c r="D245" s="161" t="s">
        <v>831</v>
      </c>
      <c r="E245" s="15">
        <v>152.642857142857</v>
      </c>
      <c r="F245" s="160"/>
      <c r="G245" s="160"/>
      <c r="H245" s="161"/>
    </row>
    <row r="246" spans="1:8" ht="15" customHeight="1" x14ac:dyDescent="0.2">
      <c r="A246" s="134" t="str">
        <f t="shared" si="3"/>
        <v>TRAN</v>
      </c>
      <c r="B246" s="134" t="s">
        <v>693</v>
      </c>
      <c r="C246" s="159" t="s">
        <v>820</v>
      </c>
      <c r="D246" s="161" t="s">
        <v>831</v>
      </c>
      <c r="E246" s="15">
        <v>166.82539682539701</v>
      </c>
      <c r="F246" s="160"/>
      <c r="G246" s="160"/>
      <c r="H246" s="161"/>
    </row>
    <row r="247" spans="1:8" ht="15" customHeight="1" x14ac:dyDescent="0.2">
      <c r="A247" s="134" t="str">
        <f t="shared" si="3"/>
        <v>TRAN</v>
      </c>
      <c r="B247" s="134" t="s">
        <v>693</v>
      </c>
      <c r="C247" s="159" t="s">
        <v>785</v>
      </c>
      <c r="D247" s="161" t="s">
        <v>831</v>
      </c>
      <c r="E247" s="15">
        <v>113.2</v>
      </c>
      <c r="F247" s="160"/>
      <c r="G247" s="160"/>
      <c r="H247" s="161"/>
    </row>
    <row r="248" spans="1:8" ht="15" customHeight="1" x14ac:dyDescent="0.2">
      <c r="A248" s="134" t="str">
        <f t="shared" si="3"/>
        <v>TRAN</v>
      </c>
      <c r="B248" s="134" t="s">
        <v>693</v>
      </c>
      <c r="C248" s="159" t="s">
        <v>786</v>
      </c>
      <c r="D248" s="161" t="s">
        <v>831</v>
      </c>
      <c r="E248" s="15">
        <v>118</v>
      </c>
      <c r="F248" s="160"/>
      <c r="G248" s="160"/>
      <c r="H248" s="161"/>
    </row>
    <row r="249" spans="1:8" ht="15" customHeight="1" x14ac:dyDescent="0.2">
      <c r="A249" s="134" t="str">
        <f t="shared" si="3"/>
        <v>TRAN</v>
      </c>
      <c r="B249" s="134" t="s">
        <v>693</v>
      </c>
      <c r="C249" s="159" t="s">
        <v>787</v>
      </c>
      <c r="D249" s="161" t="s">
        <v>831</v>
      </c>
      <c r="E249" s="15">
        <v>129</v>
      </c>
      <c r="F249" s="160"/>
      <c r="G249" s="160"/>
      <c r="H249" s="161"/>
    </row>
    <row r="250" spans="1:8" ht="27.75" customHeight="1" x14ac:dyDescent="0.2">
      <c r="A250" s="134" t="str">
        <f t="shared" si="3"/>
        <v>TRAN</v>
      </c>
      <c r="B250" s="134" t="s">
        <v>693</v>
      </c>
      <c r="C250" s="159" t="s">
        <v>821</v>
      </c>
      <c r="D250" s="161" t="s">
        <v>832</v>
      </c>
      <c r="E250" s="15">
        <v>4.8333333333333304</v>
      </c>
      <c r="F250" s="160"/>
      <c r="G250" s="160"/>
      <c r="H250" s="161"/>
    </row>
    <row r="251" spans="1:8" ht="27.75" customHeight="1" x14ac:dyDescent="0.2">
      <c r="A251" s="134" t="str">
        <f t="shared" si="3"/>
        <v>TRAN</v>
      </c>
      <c r="B251" s="134" t="s">
        <v>693</v>
      </c>
      <c r="C251" s="159" t="s">
        <v>823</v>
      </c>
      <c r="D251" s="161" t="s">
        <v>832</v>
      </c>
      <c r="E251" s="15">
        <v>2.6666666666666701</v>
      </c>
      <c r="F251" s="160"/>
      <c r="G251" s="160"/>
      <c r="H251" s="161"/>
    </row>
    <row r="252" spans="1:8" ht="27.75" customHeight="1" x14ac:dyDescent="0.2">
      <c r="A252" s="134" t="str">
        <f t="shared" si="3"/>
        <v>TRAN</v>
      </c>
      <c r="B252" s="134" t="s">
        <v>693</v>
      </c>
      <c r="C252" s="159" t="s">
        <v>824</v>
      </c>
      <c r="D252" s="161" t="s">
        <v>832</v>
      </c>
      <c r="E252" s="15">
        <v>5.3333333333333304</v>
      </c>
      <c r="F252" s="160"/>
      <c r="G252" s="160"/>
      <c r="H252" s="161"/>
    </row>
    <row r="253" spans="1:8" ht="27.75" customHeight="1" x14ac:dyDescent="0.2">
      <c r="A253" s="134" t="str">
        <f t="shared" si="3"/>
        <v>TRAN</v>
      </c>
      <c r="B253" s="134" t="s">
        <v>693</v>
      </c>
      <c r="C253" s="159" t="s">
        <v>818</v>
      </c>
      <c r="D253" s="161" t="s">
        <v>832</v>
      </c>
      <c r="E253" s="15">
        <v>5.3333333333333304</v>
      </c>
      <c r="F253" s="160"/>
      <c r="G253" s="160"/>
      <c r="H253" s="161"/>
    </row>
    <row r="254" spans="1:8" ht="27.75" customHeight="1" x14ac:dyDescent="0.2">
      <c r="A254" s="134" t="str">
        <f t="shared" si="3"/>
        <v>TRAN</v>
      </c>
      <c r="B254" s="134" t="s">
        <v>693</v>
      </c>
      <c r="C254" s="159" t="s">
        <v>825</v>
      </c>
      <c r="D254" s="161" t="s">
        <v>832</v>
      </c>
      <c r="E254" s="15">
        <v>4.5</v>
      </c>
      <c r="F254" s="160"/>
      <c r="G254" s="160"/>
      <c r="H254" s="161"/>
    </row>
    <row r="255" spans="1:8" ht="27.75" customHeight="1" x14ac:dyDescent="0.2">
      <c r="A255" s="134" t="str">
        <f t="shared" si="3"/>
        <v>TRAN</v>
      </c>
      <c r="B255" s="134" t="s">
        <v>693</v>
      </c>
      <c r="C255" s="159" t="s">
        <v>820</v>
      </c>
      <c r="D255" s="161" t="s">
        <v>832</v>
      </c>
      <c r="E255" s="15">
        <v>5.1428571428571397</v>
      </c>
      <c r="F255" s="160"/>
      <c r="G255" s="160"/>
      <c r="H255" s="161"/>
    </row>
    <row r="256" spans="1:8" ht="27.75" customHeight="1" x14ac:dyDescent="0.2">
      <c r="A256" s="134" t="str">
        <f t="shared" si="3"/>
        <v>TRAN</v>
      </c>
      <c r="B256" s="134" t="s">
        <v>693</v>
      </c>
      <c r="C256" s="159" t="s">
        <v>785</v>
      </c>
      <c r="D256" s="161" t="s">
        <v>832</v>
      </c>
      <c r="E256" s="15">
        <v>4.6285714285714299</v>
      </c>
      <c r="F256" s="160"/>
      <c r="G256" s="160"/>
      <c r="H256" s="161"/>
    </row>
    <row r="257" spans="1:8" ht="27.75" customHeight="1" x14ac:dyDescent="0.2">
      <c r="A257" s="134" t="str">
        <f t="shared" si="3"/>
        <v>TRAN</v>
      </c>
      <c r="B257" s="134" t="s">
        <v>693</v>
      </c>
      <c r="C257" s="159" t="s">
        <v>786</v>
      </c>
      <c r="D257" s="161" t="s">
        <v>832</v>
      </c>
      <c r="E257" s="15">
        <v>8</v>
      </c>
      <c r="F257" s="160"/>
      <c r="G257" s="160"/>
      <c r="H257" s="161"/>
    </row>
    <row r="258" spans="1:8" ht="27.75" customHeight="1" x14ac:dyDescent="0.2">
      <c r="A258" s="134" t="str">
        <f t="shared" ref="A258:A321" si="4">LEFT(B258, FIND("-", B258) - 1)</f>
        <v>TRAN</v>
      </c>
      <c r="B258" s="134" t="s">
        <v>693</v>
      </c>
      <c r="C258" s="159" t="s">
        <v>787</v>
      </c>
      <c r="D258" s="161" t="s">
        <v>832</v>
      </c>
      <c r="E258" s="15">
        <v>3</v>
      </c>
      <c r="F258" s="160"/>
      <c r="G258" s="160"/>
      <c r="H258" s="161"/>
    </row>
    <row r="259" spans="1:8" ht="27.75" customHeight="1" x14ac:dyDescent="0.2">
      <c r="A259" s="134" t="str">
        <f t="shared" si="4"/>
        <v>TRAN</v>
      </c>
      <c r="B259" s="134" t="s">
        <v>693</v>
      </c>
      <c r="C259" s="159" t="s">
        <v>821</v>
      </c>
      <c r="D259" s="161" t="s">
        <v>833</v>
      </c>
      <c r="E259" s="15">
        <v>107.666666666667</v>
      </c>
      <c r="F259" s="160"/>
      <c r="G259" s="160"/>
      <c r="H259" s="161"/>
    </row>
    <row r="260" spans="1:8" ht="27.75" customHeight="1" x14ac:dyDescent="0.2">
      <c r="A260" s="134" t="str">
        <f t="shared" si="4"/>
        <v>TRAN</v>
      </c>
      <c r="B260" s="134" t="s">
        <v>693</v>
      </c>
      <c r="C260" s="159" t="s">
        <v>823</v>
      </c>
      <c r="D260" s="161" t="s">
        <v>833</v>
      </c>
      <c r="E260" s="15">
        <v>95.3333333333333</v>
      </c>
      <c r="F260" s="160"/>
      <c r="G260" s="160"/>
      <c r="H260" s="161"/>
    </row>
    <row r="261" spans="1:8" ht="27.75" customHeight="1" x14ac:dyDescent="0.2">
      <c r="A261" s="134" t="str">
        <f t="shared" si="4"/>
        <v>TRAN</v>
      </c>
      <c r="B261" s="134" t="s">
        <v>693</v>
      </c>
      <c r="C261" s="159" t="s">
        <v>824</v>
      </c>
      <c r="D261" s="161" t="s">
        <v>833</v>
      </c>
      <c r="E261" s="15">
        <v>96.1666666666667</v>
      </c>
      <c r="F261" s="160"/>
      <c r="G261" s="160"/>
      <c r="H261" s="161"/>
    </row>
    <row r="262" spans="1:8" ht="27.75" customHeight="1" x14ac:dyDescent="0.2">
      <c r="A262" s="134" t="str">
        <f t="shared" si="4"/>
        <v>TRAN</v>
      </c>
      <c r="B262" s="134" t="s">
        <v>693</v>
      </c>
      <c r="C262" s="159" t="s">
        <v>818</v>
      </c>
      <c r="D262" s="161" t="s">
        <v>833</v>
      </c>
      <c r="E262" s="15">
        <v>104.333333333333</v>
      </c>
      <c r="F262" s="160"/>
      <c r="G262" s="160"/>
      <c r="H262" s="161"/>
    </row>
    <row r="263" spans="1:8" ht="27.75" customHeight="1" x14ac:dyDescent="0.2">
      <c r="A263" s="134" t="str">
        <f t="shared" si="4"/>
        <v>TRAN</v>
      </c>
      <c r="B263" s="134" t="s">
        <v>693</v>
      </c>
      <c r="C263" s="159" t="s">
        <v>825</v>
      </c>
      <c r="D263" s="161" t="s">
        <v>833</v>
      </c>
      <c r="E263" s="15">
        <v>60.642857142857203</v>
      </c>
      <c r="F263" s="160"/>
      <c r="G263" s="160"/>
      <c r="H263" s="161"/>
    </row>
    <row r="264" spans="1:8" ht="27.75" customHeight="1" x14ac:dyDescent="0.2">
      <c r="A264" s="134" t="str">
        <f t="shared" si="4"/>
        <v>TRAN</v>
      </c>
      <c r="B264" s="134" t="s">
        <v>693</v>
      </c>
      <c r="C264" s="159" t="s">
        <v>820</v>
      </c>
      <c r="D264" s="161" t="s">
        <v>833</v>
      </c>
      <c r="E264" s="15">
        <v>85.301587301587304</v>
      </c>
      <c r="F264" s="160"/>
      <c r="G264" s="160"/>
      <c r="H264" s="161"/>
    </row>
    <row r="265" spans="1:8" ht="27.75" customHeight="1" x14ac:dyDescent="0.2">
      <c r="A265" s="134" t="str">
        <f t="shared" si="4"/>
        <v>TRAN</v>
      </c>
      <c r="B265" s="134" t="s">
        <v>693</v>
      </c>
      <c r="C265" s="159" t="s">
        <v>785</v>
      </c>
      <c r="D265" s="161" t="s">
        <v>833</v>
      </c>
      <c r="E265" s="15">
        <v>91.3333333333333</v>
      </c>
      <c r="F265" s="160"/>
      <c r="G265" s="160"/>
      <c r="H265" s="161"/>
    </row>
    <row r="266" spans="1:8" ht="27.75" customHeight="1" x14ac:dyDescent="0.2">
      <c r="A266" s="134" t="str">
        <f t="shared" si="4"/>
        <v>TRAN</v>
      </c>
      <c r="B266" s="134" t="s">
        <v>693</v>
      </c>
      <c r="C266" s="159" t="s">
        <v>786</v>
      </c>
      <c r="D266" s="161" t="s">
        <v>833</v>
      </c>
      <c r="E266" s="15">
        <v>92</v>
      </c>
      <c r="F266" s="160"/>
      <c r="G266" s="160"/>
      <c r="H266" s="161"/>
    </row>
    <row r="267" spans="1:8" ht="27.75" customHeight="1" x14ac:dyDescent="0.2">
      <c r="A267" s="134" t="str">
        <f t="shared" si="4"/>
        <v>TRAN</v>
      </c>
      <c r="B267" s="134" t="s">
        <v>693</v>
      </c>
      <c r="C267" s="159" t="s">
        <v>787</v>
      </c>
      <c r="D267" s="161" t="s">
        <v>833</v>
      </c>
      <c r="E267" s="15">
        <v>118</v>
      </c>
      <c r="F267" s="160"/>
      <c r="G267" s="160"/>
      <c r="H267" s="161"/>
    </row>
    <row r="268" spans="1:8" ht="27.75" customHeight="1" x14ac:dyDescent="0.2">
      <c r="A268" s="134" t="str">
        <f t="shared" si="4"/>
        <v>TRAN</v>
      </c>
      <c r="B268" s="134" t="s">
        <v>693</v>
      </c>
      <c r="C268" s="159" t="s">
        <v>821</v>
      </c>
      <c r="D268" s="161" t="s">
        <v>834</v>
      </c>
      <c r="F268" s="160"/>
      <c r="G268" s="160"/>
      <c r="H268" s="161" t="s">
        <v>835</v>
      </c>
    </row>
    <row r="269" spans="1:8" ht="27.75" customHeight="1" x14ac:dyDescent="0.2">
      <c r="A269" s="134" t="str">
        <f t="shared" si="4"/>
        <v>TRAN</v>
      </c>
      <c r="B269" s="134" t="s">
        <v>693</v>
      </c>
      <c r="C269" s="159" t="s">
        <v>823</v>
      </c>
      <c r="D269" s="161" t="s">
        <v>834</v>
      </c>
      <c r="F269" s="160"/>
      <c r="G269" s="160"/>
      <c r="H269" s="161" t="s">
        <v>835</v>
      </c>
    </row>
    <row r="270" spans="1:8" ht="27.75" customHeight="1" x14ac:dyDescent="0.2">
      <c r="A270" s="134" t="str">
        <f t="shared" si="4"/>
        <v>TRAN</v>
      </c>
      <c r="B270" s="134" t="s">
        <v>693</v>
      </c>
      <c r="C270" s="159" t="s">
        <v>824</v>
      </c>
      <c r="D270" s="161" t="s">
        <v>834</v>
      </c>
      <c r="F270" s="160"/>
      <c r="G270" s="160"/>
      <c r="H270" s="161" t="s">
        <v>835</v>
      </c>
    </row>
    <row r="271" spans="1:8" ht="27.75" customHeight="1" x14ac:dyDescent="0.2">
      <c r="A271" s="134" t="str">
        <f t="shared" si="4"/>
        <v>TRAN</v>
      </c>
      <c r="B271" s="134" t="s">
        <v>693</v>
      </c>
      <c r="C271" s="159" t="s">
        <v>818</v>
      </c>
      <c r="D271" s="161" t="s">
        <v>834</v>
      </c>
      <c r="E271" s="15">
        <v>83.8333333333333</v>
      </c>
      <c r="F271" s="160"/>
      <c r="G271" s="160"/>
      <c r="H271" s="161"/>
    </row>
    <row r="272" spans="1:8" ht="27.75" customHeight="1" x14ac:dyDescent="0.2">
      <c r="A272" s="134" t="str">
        <f t="shared" si="4"/>
        <v>TRAN</v>
      </c>
      <c r="B272" s="134" t="s">
        <v>693</v>
      </c>
      <c r="C272" s="159" t="s">
        <v>825</v>
      </c>
      <c r="D272" s="161" t="s">
        <v>834</v>
      </c>
      <c r="E272" s="15">
        <v>69.071428571428598</v>
      </c>
      <c r="F272" s="160"/>
      <c r="G272" s="160"/>
      <c r="H272" s="161"/>
    </row>
    <row r="273" spans="1:8" ht="27.75" customHeight="1" x14ac:dyDescent="0.2">
      <c r="A273" s="134" t="str">
        <f t="shared" si="4"/>
        <v>TRAN</v>
      </c>
      <c r="B273" s="134" t="s">
        <v>693</v>
      </c>
      <c r="C273" s="159" t="s">
        <v>820</v>
      </c>
      <c r="D273" s="161" t="s">
        <v>834</v>
      </c>
      <c r="E273" s="15">
        <v>102.04761904761899</v>
      </c>
      <c r="F273" s="160"/>
      <c r="G273" s="160"/>
      <c r="H273" s="161"/>
    </row>
    <row r="274" spans="1:8" ht="27.75" customHeight="1" x14ac:dyDescent="0.2">
      <c r="A274" s="134" t="str">
        <f t="shared" si="4"/>
        <v>TRAN</v>
      </c>
      <c r="B274" s="134" t="s">
        <v>693</v>
      </c>
      <c r="C274" s="159" t="s">
        <v>785</v>
      </c>
      <c r="D274" s="161" t="s">
        <v>834</v>
      </c>
      <c r="E274" s="15">
        <v>100.968253968254</v>
      </c>
      <c r="F274" s="160"/>
      <c r="G274" s="160"/>
      <c r="H274" s="161"/>
    </row>
    <row r="275" spans="1:8" ht="27.75" customHeight="1" x14ac:dyDescent="0.2">
      <c r="A275" s="134" t="str">
        <f t="shared" si="4"/>
        <v>TRAN</v>
      </c>
      <c r="B275" s="134" t="s">
        <v>693</v>
      </c>
      <c r="C275" s="159" t="s">
        <v>786</v>
      </c>
      <c r="D275" s="161" t="s">
        <v>834</v>
      </c>
      <c r="E275" s="15">
        <v>81</v>
      </c>
      <c r="F275" s="160"/>
      <c r="G275" s="160"/>
      <c r="H275" s="161"/>
    </row>
    <row r="276" spans="1:8" ht="27.75" customHeight="1" x14ac:dyDescent="0.2">
      <c r="A276" s="134" t="str">
        <f t="shared" si="4"/>
        <v>TRAN</v>
      </c>
      <c r="B276" s="134" t="s">
        <v>693</v>
      </c>
      <c r="C276" s="159" t="s">
        <v>787</v>
      </c>
      <c r="D276" s="161" t="s">
        <v>834</v>
      </c>
      <c r="E276" s="15">
        <v>98</v>
      </c>
      <c r="F276" s="160"/>
      <c r="G276" s="160"/>
      <c r="H276" s="161"/>
    </row>
    <row r="277" spans="1:8" ht="23.25" customHeight="1" x14ac:dyDescent="0.2">
      <c r="A277" s="134" t="str">
        <f t="shared" si="4"/>
        <v>TRAN</v>
      </c>
      <c r="B277" s="134" t="s">
        <v>693</v>
      </c>
      <c r="C277" s="159" t="s">
        <v>821</v>
      </c>
      <c r="D277" s="161" t="s">
        <v>836</v>
      </c>
      <c r="F277" s="160"/>
      <c r="G277" s="160"/>
      <c r="H277" s="161" t="s">
        <v>835</v>
      </c>
    </row>
    <row r="278" spans="1:8" ht="23.25" customHeight="1" x14ac:dyDescent="0.2">
      <c r="A278" s="134" t="str">
        <f t="shared" si="4"/>
        <v>TRAN</v>
      </c>
      <c r="B278" s="134" t="s">
        <v>693</v>
      </c>
      <c r="C278" s="159" t="s">
        <v>823</v>
      </c>
      <c r="D278" s="161" t="s">
        <v>836</v>
      </c>
      <c r="F278" s="160"/>
      <c r="G278" s="160"/>
      <c r="H278" s="161" t="s">
        <v>835</v>
      </c>
    </row>
    <row r="279" spans="1:8" ht="23.25" customHeight="1" x14ac:dyDescent="0.2">
      <c r="A279" s="134" t="str">
        <f t="shared" si="4"/>
        <v>TRAN</v>
      </c>
      <c r="B279" s="134" t="s">
        <v>693</v>
      </c>
      <c r="C279" s="159" t="s">
        <v>824</v>
      </c>
      <c r="D279" s="161" t="s">
        <v>836</v>
      </c>
      <c r="F279" s="160"/>
      <c r="G279" s="160"/>
      <c r="H279" s="161" t="s">
        <v>835</v>
      </c>
    </row>
    <row r="280" spans="1:8" ht="15" customHeight="1" x14ac:dyDescent="0.2">
      <c r="A280" s="134" t="str">
        <f t="shared" si="4"/>
        <v>TRAN</v>
      </c>
      <c r="B280" s="134" t="s">
        <v>693</v>
      </c>
      <c r="C280" s="159" t="s">
        <v>818</v>
      </c>
      <c r="D280" s="161" t="s">
        <v>836</v>
      </c>
      <c r="E280" s="15">
        <v>77.3333333333333</v>
      </c>
      <c r="F280" s="160"/>
      <c r="G280" s="160"/>
      <c r="H280" s="161"/>
    </row>
    <row r="281" spans="1:8" ht="15" customHeight="1" x14ac:dyDescent="0.2">
      <c r="A281" s="134" t="str">
        <f t="shared" si="4"/>
        <v>TRAN</v>
      </c>
      <c r="B281" s="134" t="s">
        <v>693</v>
      </c>
      <c r="C281" s="159" t="s">
        <v>825</v>
      </c>
      <c r="D281" s="161" t="s">
        <v>836</v>
      </c>
      <c r="E281" s="15">
        <v>65.6666666666667</v>
      </c>
      <c r="F281" s="160"/>
      <c r="G281" s="160"/>
      <c r="H281" s="161"/>
    </row>
    <row r="282" spans="1:8" ht="15" customHeight="1" x14ac:dyDescent="0.2">
      <c r="A282" s="134" t="str">
        <f t="shared" si="4"/>
        <v>TRAN</v>
      </c>
      <c r="B282" s="134" t="s">
        <v>693</v>
      </c>
      <c r="C282" s="159" t="s">
        <v>820</v>
      </c>
      <c r="D282" s="161" t="s">
        <v>836</v>
      </c>
      <c r="E282" s="15">
        <v>90.841269841269806</v>
      </c>
      <c r="F282" s="160"/>
      <c r="G282" s="160"/>
      <c r="H282" s="161"/>
    </row>
    <row r="283" spans="1:8" ht="15" customHeight="1" x14ac:dyDescent="0.2">
      <c r="A283" s="134" t="str">
        <f t="shared" si="4"/>
        <v>TRAN</v>
      </c>
      <c r="B283" s="134" t="s">
        <v>693</v>
      </c>
      <c r="C283" s="159" t="s">
        <v>785</v>
      </c>
      <c r="D283" s="161" t="s">
        <v>836</v>
      </c>
      <c r="E283" s="15">
        <v>106.333333333333</v>
      </c>
      <c r="F283" s="160"/>
      <c r="G283" s="160"/>
      <c r="H283" s="161"/>
    </row>
    <row r="284" spans="1:8" ht="15" customHeight="1" x14ac:dyDescent="0.2">
      <c r="A284" s="134" t="str">
        <f t="shared" si="4"/>
        <v>TRAN</v>
      </c>
      <c r="B284" s="134" t="s">
        <v>693</v>
      </c>
      <c r="C284" s="159" t="s">
        <v>786</v>
      </c>
      <c r="D284" s="161" t="s">
        <v>836</v>
      </c>
      <c r="E284" s="15">
        <v>99</v>
      </c>
      <c r="F284" s="160"/>
      <c r="G284" s="160"/>
      <c r="H284" s="161"/>
    </row>
    <row r="285" spans="1:8" ht="15" customHeight="1" x14ac:dyDescent="0.2">
      <c r="A285" s="134" t="str">
        <f t="shared" si="4"/>
        <v>TRAN</v>
      </c>
      <c r="B285" s="134" t="s">
        <v>693</v>
      </c>
      <c r="C285" s="159" t="s">
        <v>787</v>
      </c>
      <c r="D285" s="161" t="s">
        <v>836</v>
      </c>
      <c r="E285" s="15">
        <v>85</v>
      </c>
      <c r="F285" s="160"/>
      <c r="G285" s="160"/>
      <c r="H285" s="161"/>
    </row>
    <row r="286" spans="1:8" ht="34.5" customHeight="1" x14ac:dyDescent="0.2">
      <c r="A286" s="134" t="str">
        <f t="shared" si="4"/>
        <v>TRAN</v>
      </c>
      <c r="B286" s="134" t="s">
        <v>693</v>
      </c>
      <c r="C286" s="159" t="s">
        <v>818</v>
      </c>
      <c r="D286" s="161"/>
      <c r="E286" s="15">
        <f t="shared" ref="E286:E291" si="5">SUMIFS($E$187:$E$285,$B$187:$B$285,B286,$C$187:$C$285,C286)</f>
        <v>1115.2857142857135</v>
      </c>
      <c r="F286" s="160"/>
      <c r="G286" s="160"/>
      <c r="H286" s="161"/>
    </row>
    <row r="287" spans="1:8" ht="34.5" customHeight="1" x14ac:dyDescent="0.2">
      <c r="A287" s="134" t="str">
        <f t="shared" si="4"/>
        <v>TRAN</v>
      </c>
      <c r="B287" s="134" t="s">
        <v>693</v>
      </c>
      <c r="C287" s="159" t="s">
        <v>825</v>
      </c>
      <c r="D287" s="161"/>
      <c r="E287" s="15">
        <f t="shared" si="5"/>
        <v>1066.1190476190479</v>
      </c>
      <c r="F287" s="160"/>
      <c r="G287" s="160"/>
      <c r="H287" s="161"/>
    </row>
    <row r="288" spans="1:8" ht="34.5" customHeight="1" x14ac:dyDescent="0.2">
      <c r="A288" s="134" t="str">
        <f t="shared" si="4"/>
        <v>TRAN</v>
      </c>
      <c r="B288" s="134" t="s">
        <v>693</v>
      </c>
      <c r="C288" s="159" t="s">
        <v>820</v>
      </c>
      <c r="D288" s="161"/>
      <c r="E288" s="15">
        <f t="shared" si="5"/>
        <v>1126.4444444444448</v>
      </c>
      <c r="F288" s="160"/>
      <c r="G288" s="160"/>
      <c r="H288" s="161"/>
    </row>
    <row r="289" spans="1:8" ht="34.5" customHeight="1" x14ac:dyDescent="0.2">
      <c r="A289" s="134" t="str">
        <f t="shared" si="4"/>
        <v>TRAN</v>
      </c>
      <c r="B289" s="134" t="s">
        <v>693</v>
      </c>
      <c r="C289" s="159" t="s">
        <v>785</v>
      </c>
      <c r="D289" s="161"/>
      <c r="E289" s="15">
        <f t="shared" si="5"/>
        <v>1093.4416666666673</v>
      </c>
      <c r="F289" s="160"/>
      <c r="G289" s="160"/>
      <c r="H289" s="161"/>
    </row>
    <row r="290" spans="1:8" ht="34.5" customHeight="1" x14ac:dyDescent="0.2">
      <c r="A290" s="134" t="str">
        <f t="shared" si="4"/>
        <v>TRAN</v>
      </c>
      <c r="B290" s="134" t="s">
        <v>693</v>
      </c>
      <c r="C290" s="159" t="s">
        <v>786</v>
      </c>
      <c r="D290" s="161"/>
      <c r="E290" s="15">
        <f t="shared" si="5"/>
        <v>1015</v>
      </c>
      <c r="F290" s="160"/>
      <c r="G290" s="160"/>
      <c r="H290" s="161"/>
    </row>
    <row r="291" spans="1:8" ht="34.5" customHeight="1" x14ac:dyDescent="0.2">
      <c r="A291" s="134" t="str">
        <f t="shared" si="4"/>
        <v>TRAN</v>
      </c>
      <c r="B291" s="134" t="s">
        <v>693</v>
      </c>
      <c r="C291" s="159" t="s">
        <v>787</v>
      </c>
      <c r="D291" s="161"/>
      <c r="E291" s="15">
        <f t="shared" si="5"/>
        <v>1297</v>
      </c>
      <c r="F291" s="160"/>
      <c r="G291" s="160"/>
      <c r="H291" s="161"/>
    </row>
    <row r="292" spans="1:8" ht="15" customHeight="1" x14ac:dyDescent="0.2">
      <c r="A292" s="130" t="str">
        <f>LEFT(B292, FIND("-", B292) - 1)</f>
        <v>PROS</v>
      </c>
      <c r="B292" s="130" t="inlineStr">
        <is>
          <t>PROS-REGULATEDUNITS</t>
        </is>
      </c>
      <c r="C292" s="159" t="inlineStr">
        <is>
          <t>2017</t>
        </is>
      </c>
      <c r="D292" s="160"/>
      <c r="E292" s="160">
        <v>516</v>
      </c>
      <c r="F292" s="160"/>
      <c r="G292" s="160"/>
      <c r="H292" s="161"/>
    </row>
    <row r="293" spans="1:8" ht="15" customHeight="1" x14ac:dyDescent="0.2">
      <c r="A293" s="130" t="str">
        <f>LEFT(B293, FIND("-", B293) - 1)</f>
        <v>PROS</v>
      </c>
      <c r="B293" s="130" t="inlineStr">
        <is>
          <t>PROS-REGULATEDUNITS</t>
        </is>
      </c>
      <c r="C293" s="159" t="inlineStr">
        <is>
          <t>2020</t>
        </is>
      </c>
      <c r="D293" s="160"/>
      <c r="E293" s="160">
        <v>605</v>
      </c>
      <c r="F293" s="160"/>
      <c r="G293" s="160"/>
      <c r="H293" s="161"/>
    </row>
    <row r="294" spans="1:8" ht="15" customHeight="1" x14ac:dyDescent="0.2">
      <c r="B294" s="163"/>
      <c r="C294" s="159"/>
      <c r="D294" s="160"/>
      <c r="E294" s="160"/>
      <c r="F294" s="160"/>
      <c r="G294" s="160"/>
      <c r="H294" s="161"/>
    </row>
    <row r="295" spans="1:8" ht="15" customHeight="1" x14ac:dyDescent="0.2">
      <c r="B295" s="163"/>
      <c r="C295" s="159"/>
      <c r="D295" s="160"/>
      <c r="E295" s="160"/>
      <c r="F295" s="160"/>
      <c r="G295" s="160"/>
      <c r="H295" s="161"/>
    </row>
    <row r="296" spans="1:8" ht="15" customHeight="1" x14ac:dyDescent="0.2">
      <c r="B296" s="163"/>
      <c r="C296" s="159"/>
      <c r="D296" s="160"/>
      <c r="E296" s="160"/>
      <c r="F296" s="160"/>
      <c r="G296" s="160"/>
      <c r="H296" s="161"/>
    </row>
    <row r="297" spans="1:8" ht="15" customHeight="1" x14ac:dyDescent="0.2">
      <c r="B297" s="163"/>
      <c r="C297" s="159"/>
      <c r="D297" s="160"/>
      <c r="E297" s="160"/>
      <c r="F297" s="160"/>
      <c r="G297" s="160"/>
      <c r="H297" s="161"/>
    </row>
    <row r="298" spans="1:8" ht="15" customHeight="1" x14ac:dyDescent="0.2">
      <c r="B298" s="163"/>
      <c r="C298" s="159"/>
      <c r="D298" s="160"/>
      <c r="E298" s="160"/>
      <c r="F298" s="160"/>
      <c r="G298" s="160"/>
      <c r="H298" s="161"/>
    </row>
    <row r="299" spans="1:8" ht="15" customHeight="1" x14ac:dyDescent="0.2">
      <c r="B299" s="163"/>
      <c r="C299" s="159"/>
      <c r="D299" s="160"/>
      <c r="E299" s="160"/>
      <c r="F299" s="160"/>
      <c r="G299" s="160"/>
      <c r="H299" s="161"/>
    </row>
    <row r="300" spans="1:8" ht="15" customHeight="1" x14ac:dyDescent="0.2">
      <c r="B300" s="163"/>
      <c r="C300" s="159"/>
      <c r="D300" s="160"/>
      <c r="E300" s="160"/>
      <c r="F300" s="160"/>
      <c r="G300" s="160"/>
      <c r="H300" s="161"/>
    </row>
    <row r="301" spans="1:8" ht="15" customHeight="1" x14ac:dyDescent="0.2">
      <c r="B301" s="163"/>
      <c r="C301" s="159"/>
      <c r="D301" s="160"/>
      <c r="E301" s="160"/>
      <c r="F301" s="160"/>
      <c r="G301" s="160"/>
      <c r="H301" s="161"/>
    </row>
    <row r="302" spans="1:8" ht="15" customHeight="1" x14ac:dyDescent="0.2">
      <c r="B302" s="163"/>
      <c r="C302" s="159"/>
      <c r="D302" s="160"/>
      <c r="E302" s="160"/>
      <c r="F302" s="160"/>
      <c r="G302" s="160"/>
      <c r="H302" s="161"/>
    </row>
    <row r="303" spans="1:8" ht="15" customHeight="1" x14ac:dyDescent="0.2">
      <c r="B303" s="163"/>
      <c r="C303" s="159"/>
      <c r="D303" s="160"/>
      <c r="E303" s="160"/>
      <c r="F303" s="160"/>
      <c r="G303" s="160"/>
      <c r="H303" s="161"/>
    </row>
    <row r="304" spans="1:8" ht="15" customHeight="1" x14ac:dyDescent="0.2">
      <c r="B304" s="163"/>
      <c r="C304" s="159"/>
      <c r="D304" s="160"/>
      <c r="E304" s="160"/>
      <c r="F304" s="160"/>
      <c r="G304" s="160"/>
      <c r="H304" s="161"/>
    </row>
    <row r="305" spans="2:8" ht="15" customHeight="1" x14ac:dyDescent="0.2">
      <c r="B305" s="163"/>
      <c r="C305" s="159"/>
      <c r="D305" s="160"/>
      <c r="E305" s="160"/>
      <c r="F305" s="160"/>
      <c r="G305" s="160"/>
      <c r="H305" s="161"/>
    </row>
    <row r="306" spans="2:8" ht="15" customHeight="1" x14ac:dyDescent="0.2">
      <c r="B306" s="163"/>
      <c r="C306" s="159"/>
      <c r="D306" s="160"/>
      <c r="E306" s="160"/>
      <c r="F306" s="160"/>
      <c r="G306" s="160"/>
      <c r="H306" s="161"/>
    </row>
    <row r="307" spans="2:8" ht="15" customHeight="1" x14ac:dyDescent="0.2">
      <c r="B307" s="163"/>
      <c r="C307" s="159"/>
      <c r="D307" s="160"/>
      <c r="E307" s="160"/>
      <c r="F307" s="160"/>
      <c r="G307" s="160"/>
      <c r="H307" s="161"/>
    </row>
    <row r="308" spans="2:8" ht="15" customHeight="1" x14ac:dyDescent="0.2">
      <c r="B308" s="163"/>
      <c r="C308" s="159"/>
      <c r="D308" s="160"/>
      <c r="E308" s="160"/>
      <c r="F308" s="160"/>
      <c r="G308" s="160"/>
      <c r="H308" s="161"/>
    </row>
    <row r="309" spans="2:8" ht="15" customHeight="1" x14ac:dyDescent="0.2">
      <c r="B309" s="163"/>
      <c r="C309" s="159"/>
      <c r="D309" s="160"/>
      <c r="E309" s="160"/>
      <c r="F309" s="160"/>
      <c r="G309" s="160"/>
      <c r="H309" s="161"/>
    </row>
    <row r="310" spans="2:8" ht="15" customHeight="1" x14ac:dyDescent="0.2">
      <c r="B310" s="163"/>
      <c r="C310" s="159"/>
      <c r="D310" s="160"/>
      <c r="E310" s="160"/>
      <c r="F310" s="160"/>
      <c r="G310" s="160"/>
      <c r="H310" s="161"/>
    </row>
    <row r="311" spans="2:8" ht="15" customHeight="1" x14ac:dyDescent="0.2">
      <c r="B311" s="163"/>
      <c r="C311" s="159"/>
      <c r="D311" s="160"/>
      <c r="E311" s="160"/>
      <c r="F311" s="160"/>
      <c r="G311" s="160"/>
      <c r="H311" s="161"/>
    </row>
    <row r="312" spans="2:8" ht="15" customHeight="1" x14ac:dyDescent="0.2">
      <c r="B312" s="163"/>
      <c r="C312" s="159"/>
      <c r="D312" s="160"/>
      <c r="E312" s="160"/>
      <c r="F312" s="160"/>
      <c r="G312" s="160"/>
      <c r="H312" s="161"/>
    </row>
    <row r="313" spans="2:8" ht="15" customHeight="1" x14ac:dyDescent="0.2">
      <c r="B313" s="163"/>
      <c r="C313" s="159"/>
      <c r="D313" s="160"/>
      <c r="E313" s="160"/>
      <c r="F313" s="160"/>
      <c r="G313" s="160"/>
      <c r="H313" s="161"/>
    </row>
    <row r="314" spans="2:8" ht="15" customHeight="1" x14ac:dyDescent="0.2">
      <c r="B314" s="163"/>
      <c r="C314" s="159"/>
      <c r="D314" s="160"/>
      <c r="E314" s="160"/>
      <c r="F314" s="160"/>
      <c r="G314" s="160"/>
      <c r="H314" s="161"/>
    </row>
    <row r="315" spans="2:8" ht="15" customHeight="1" x14ac:dyDescent="0.2">
      <c r="B315" s="163"/>
      <c r="C315" s="159"/>
      <c r="D315" s="160"/>
      <c r="E315" s="160"/>
      <c r="F315" s="160"/>
      <c r="G315" s="160"/>
      <c r="H315" s="161"/>
    </row>
    <row r="316" spans="2:8" ht="15" customHeight="1" x14ac:dyDescent="0.2">
      <c r="B316" s="163"/>
      <c r="C316" s="159"/>
      <c r="D316" s="160"/>
      <c r="E316" s="160"/>
      <c r="F316" s="160"/>
      <c r="G316" s="160"/>
      <c r="H316" s="161"/>
    </row>
    <row r="317" spans="2:8" ht="15" customHeight="1" x14ac:dyDescent="0.2">
      <c r="B317" s="163"/>
      <c r="C317" s="159"/>
      <c r="D317" s="160"/>
      <c r="E317" s="160"/>
      <c r="F317" s="160"/>
      <c r="G317" s="160"/>
      <c r="H317" s="161"/>
    </row>
    <row r="318" spans="2:8" ht="15" customHeight="1" x14ac:dyDescent="0.2">
      <c r="B318" s="163"/>
      <c r="C318" s="159"/>
      <c r="D318" s="160"/>
      <c r="E318" s="160"/>
      <c r="F318" s="160"/>
      <c r="G318" s="160"/>
      <c r="H318" s="161"/>
    </row>
    <row r="319" spans="2:8" ht="15" customHeight="1" x14ac:dyDescent="0.2">
      <c r="B319" s="163"/>
      <c r="C319" s="159"/>
      <c r="D319" s="160"/>
      <c r="E319" s="160"/>
      <c r="F319" s="160"/>
      <c r="G319" s="160"/>
      <c r="H319" s="161"/>
    </row>
    <row r="320" spans="2:8" ht="15" customHeight="1" x14ac:dyDescent="0.2">
      <c r="B320" s="163"/>
      <c r="C320" s="159"/>
      <c r="D320" s="160"/>
      <c r="E320" s="160"/>
      <c r="F320" s="160"/>
      <c r="G320" s="160"/>
      <c r="H320" s="161"/>
    </row>
    <row r="321" spans="2:8" ht="15" customHeight="1" x14ac:dyDescent="0.2">
      <c r="B321" s="163"/>
      <c r="C321" s="159"/>
      <c r="D321" s="160"/>
      <c r="E321" s="160"/>
      <c r="F321" s="160"/>
      <c r="G321" s="160"/>
      <c r="H321" s="161"/>
    </row>
    <row r="322" spans="2:8" ht="15" customHeight="1" x14ac:dyDescent="0.2">
      <c r="B322" s="163"/>
      <c r="C322" s="159"/>
      <c r="D322" s="160"/>
      <c r="E322" s="160"/>
      <c r="F322" s="160"/>
      <c r="G322" s="160"/>
      <c r="H322" s="161"/>
    </row>
    <row r="323" spans="2:8" ht="15" customHeight="1" x14ac:dyDescent="0.2">
      <c r="B323" s="163"/>
      <c r="C323" s="159"/>
      <c r="D323" s="160"/>
      <c r="E323" s="160"/>
      <c r="F323" s="160"/>
      <c r="G323" s="160"/>
      <c r="H323" s="161"/>
    </row>
    <row r="324" spans="2:8" ht="15" customHeight="1" x14ac:dyDescent="0.2">
      <c r="B324" s="163"/>
      <c r="C324" s="159"/>
      <c r="D324" s="160"/>
      <c r="E324" s="160"/>
      <c r="F324" s="160"/>
      <c r="G324" s="160"/>
      <c r="H324" s="161"/>
    </row>
    <row r="325" spans="2:8" ht="15" customHeight="1" x14ac:dyDescent="0.2">
      <c r="B325" s="163"/>
      <c r="C325" s="159"/>
      <c r="D325" s="160"/>
      <c r="E325" s="160"/>
      <c r="F325" s="160"/>
      <c r="G325" s="160"/>
      <c r="H325" s="161"/>
    </row>
    <row r="326" spans="2:8" ht="15" customHeight="1" x14ac:dyDescent="0.2">
      <c r="B326" s="163"/>
      <c r="C326" s="159"/>
      <c r="D326" s="160"/>
      <c r="E326" s="160"/>
      <c r="F326" s="160"/>
      <c r="G326" s="160"/>
      <c r="H326" s="161"/>
    </row>
    <row r="327" spans="2:8" ht="15" customHeight="1" x14ac:dyDescent="0.2">
      <c r="B327" s="163"/>
      <c r="C327" s="159"/>
      <c r="D327" s="160"/>
      <c r="E327" s="160"/>
      <c r="F327" s="160"/>
      <c r="G327" s="160"/>
      <c r="H327" s="161"/>
    </row>
    <row r="328" spans="2:8" ht="15" customHeight="1" x14ac:dyDescent="0.2">
      <c r="B328" s="163"/>
      <c r="C328" s="159"/>
      <c r="D328" s="160"/>
      <c r="E328" s="160"/>
      <c r="F328" s="160"/>
      <c r="G328" s="160"/>
      <c r="H328" s="161"/>
    </row>
    <row r="329" spans="2:8" ht="15" customHeight="1" x14ac:dyDescent="0.2">
      <c r="B329" s="163"/>
      <c r="C329" s="159"/>
      <c r="D329" s="160"/>
      <c r="E329" s="160"/>
      <c r="F329" s="160"/>
      <c r="G329" s="160"/>
      <c r="H329" s="161"/>
    </row>
    <row r="330" spans="2:8" ht="15" customHeight="1" x14ac:dyDescent="0.2">
      <c r="B330" s="163"/>
      <c r="C330" s="159"/>
      <c r="D330" s="160"/>
      <c r="E330" s="160"/>
      <c r="F330" s="160"/>
      <c r="G330" s="160"/>
      <c r="H330" s="161"/>
    </row>
    <row r="331" spans="2:8" ht="15" customHeight="1" x14ac:dyDescent="0.2">
      <c r="B331" s="163"/>
      <c r="C331" s="159"/>
      <c r="D331" s="160"/>
      <c r="E331" s="160"/>
      <c r="F331" s="160"/>
      <c r="G331" s="160"/>
      <c r="H331" s="161"/>
    </row>
    <row r="332" spans="2:8" ht="15" customHeight="1" x14ac:dyDescent="0.2">
      <c r="B332" s="163"/>
      <c r="C332" s="159"/>
      <c r="D332" s="160"/>
      <c r="E332" s="160"/>
      <c r="F332" s="160"/>
      <c r="G332" s="160"/>
      <c r="H332" s="161"/>
    </row>
    <row r="333" spans="2:8" ht="15" customHeight="1" x14ac:dyDescent="0.2">
      <c r="B333" s="163"/>
      <c r="C333" s="159"/>
      <c r="D333" s="160"/>
      <c r="E333" s="160"/>
      <c r="F333" s="160"/>
      <c r="G333" s="160"/>
      <c r="H333" s="161"/>
    </row>
    <row r="334" spans="2:8" ht="15" customHeight="1" x14ac:dyDescent="0.2">
      <c r="B334" s="163"/>
      <c r="C334" s="159"/>
      <c r="D334" s="160"/>
      <c r="E334" s="160"/>
      <c r="F334" s="160"/>
      <c r="G334" s="160"/>
      <c r="H334" s="161"/>
    </row>
    <row r="335" spans="2:8" ht="15" customHeight="1" x14ac:dyDescent="0.2">
      <c r="B335" s="163"/>
      <c r="C335" s="159"/>
      <c r="D335" s="160"/>
      <c r="E335" s="160"/>
      <c r="F335" s="160"/>
      <c r="G335" s="160"/>
      <c r="H335" s="161"/>
    </row>
    <row r="336" spans="2:8" ht="15" customHeight="1" x14ac:dyDescent="0.2">
      <c r="B336" s="163"/>
      <c r="C336" s="159"/>
      <c r="D336" s="160"/>
      <c r="E336" s="160"/>
      <c r="F336" s="160"/>
      <c r="G336" s="160"/>
      <c r="H336" s="161"/>
    </row>
    <row r="337" spans="2:8" ht="15" customHeight="1" x14ac:dyDescent="0.2">
      <c r="B337" s="163"/>
      <c r="C337" s="159"/>
      <c r="D337" s="160"/>
      <c r="E337" s="160"/>
      <c r="F337" s="160"/>
      <c r="G337" s="160"/>
      <c r="H337" s="161"/>
    </row>
    <row r="338" spans="2:8" ht="15" customHeight="1" x14ac:dyDescent="0.2">
      <c r="B338" s="163"/>
      <c r="C338" s="159"/>
      <c r="D338" s="160"/>
      <c r="E338" s="160"/>
      <c r="F338" s="160"/>
      <c r="G338" s="160"/>
      <c r="H338" s="161"/>
    </row>
    <row r="339" spans="2:8" ht="15" customHeight="1" x14ac:dyDescent="0.2">
      <c r="B339" s="163"/>
      <c r="C339" s="159"/>
      <c r="D339" s="160"/>
      <c r="E339" s="160"/>
      <c r="F339" s="160"/>
      <c r="G339" s="160"/>
      <c r="H339" s="161"/>
    </row>
    <row r="340" spans="2:8" ht="15" customHeight="1" x14ac:dyDescent="0.2">
      <c r="B340" s="163"/>
      <c r="C340" s="159"/>
      <c r="D340" s="160"/>
      <c r="E340" s="160"/>
      <c r="F340" s="160"/>
      <c r="G340" s="160"/>
      <c r="H340" s="161"/>
    </row>
    <row r="341" spans="2:8" ht="15" customHeight="1" x14ac:dyDescent="0.2">
      <c r="B341" s="163"/>
      <c r="C341" s="159"/>
      <c r="D341" s="160"/>
      <c r="E341" s="160"/>
      <c r="F341" s="160"/>
      <c r="G341" s="160"/>
      <c r="H341" s="161"/>
    </row>
    <row r="342" spans="2:8" ht="15" customHeight="1" x14ac:dyDescent="0.2">
      <c r="B342" s="163"/>
      <c r="C342" s="159"/>
      <c r="D342" s="160"/>
      <c r="E342" s="160"/>
      <c r="F342" s="160"/>
      <c r="G342" s="160"/>
      <c r="H342" s="161"/>
    </row>
    <row r="343" spans="2:8" ht="15" customHeight="1" x14ac:dyDescent="0.2">
      <c r="B343" s="163"/>
      <c r="C343" s="159"/>
      <c r="D343" s="160"/>
      <c r="E343" s="160"/>
      <c r="F343" s="160"/>
      <c r="G343" s="160"/>
      <c r="H343" s="161"/>
    </row>
    <row r="344" spans="2:8" ht="15" customHeight="1" x14ac:dyDescent="0.2">
      <c r="B344" s="163"/>
      <c r="C344" s="159"/>
      <c r="D344" s="160"/>
      <c r="E344" s="160"/>
      <c r="F344" s="160"/>
      <c r="G344" s="160"/>
      <c r="H344" s="161"/>
    </row>
    <row r="345" spans="2:8" ht="15" customHeight="1" x14ac:dyDescent="0.2">
      <c r="B345" s="163"/>
      <c r="C345" s="159"/>
      <c r="D345" s="160"/>
      <c r="E345" s="160"/>
      <c r="F345" s="160"/>
      <c r="G345" s="160"/>
      <c r="H345" s="161"/>
    </row>
    <row r="346" spans="2:8" ht="15" customHeight="1" x14ac:dyDescent="0.2">
      <c r="B346" s="163"/>
      <c r="C346" s="159"/>
      <c r="D346" s="160"/>
      <c r="E346" s="160"/>
      <c r="F346" s="160"/>
      <c r="G346" s="160"/>
      <c r="H346" s="161"/>
    </row>
    <row r="347" spans="2:8" ht="15" customHeight="1" x14ac:dyDescent="0.2">
      <c r="B347" s="163"/>
      <c r="C347" s="159"/>
      <c r="D347" s="160"/>
      <c r="E347" s="160"/>
      <c r="F347" s="160"/>
      <c r="G347" s="160"/>
      <c r="H347" s="161"/>
    </row>
    <row r="348" spans="2:8" ht="15" customHeight="1" x14ac:dyDescent="0.2">
      <c r="B348" s="163"/>
      <c r="C348" s="159"/>
      <c r="D348" s="160"/>
      <c r="E348" s="160"/>
      <c r="F348" s="160"/>
      <c r="G348" s="160"/>
      <c r="H348" s="161"/>
    </row>
    <row r="349" spans="2:8" ht="15" customHeight="1" x14ac:dyDescent="0.2">
      <c r="B349" s="163"/>
      <c r="C349" s="159"/>
      <c r="D349" s="160"/>
      <c r="E349" s="160"/>
      <c r="F349" s="160"/>
      <c r="G349" s="160"/>
      <c r="H349" s="161"/>
    </row>
    <row r="350" spans="2:8" ht="15" customHeight="1" x14ac:dyDescent="0.2">
      <c r="B350" s="163"/>
      <c r="C350" s="159"/>
      <c r="D350" s="160"/>
      <c r="E350" s="160"/>
      <c r="F350" s="160"/>
      <c r="G350" s="160"/>
      <c r="H350" s="161"/>
    </row>
    <row r="351" spans="2:8" ht="15" customHeight="1" x14ac:dyDescent="0.2">
      <c r="B351" s="163"/>
      <c r="C351" s="159"/>
      <c r="D351" s="160"/>
      <c r="E351" s="160"/>
      <c r="F351" s="160"/>
      <c r="G351" s="160"/>
      <c r="H351" s="161"/>
    </row>
    <row r="352" spans="2:8" ht="15" customHeight="1" x14ac:dyDescent="0.2">
      <c r="B352" s="163"/>
      <c r="C352" s="159"/>
      <c r="D352" s="160"/>
      <c r="E352" s="160"/>
      <c r="F352" s="160"/>
      <c r="G352" s="160"/>
      <c r="H352" s="161"/>
    </row>
    <row r="353" spans="2:8" ht="15" customHeight="1" x14ac:dyDescent="0.2">
      <c r="B353" s="163"/>
      <c r="C353" s="159"/>
      <c r="D353" s="160"/>
      <c r="E353" s="160"/>
      <c r="F353" s="160"/>
      <c r="G353" s="160"/>
      <c r="H353" s="161"/>
    </row>
    <row r="354" spans="2:8" ht="15" customHeight="1" x14ac:dyDescent="0.2">
      <c r="B354" s="163"/>
      <c r="C354" s="159"/>
      <c r="D354" s="160"/>
      <c r="E354" s="160"/>
      <c r="F354" s="160"/>
      <c r="G354" s="160"/>
      <c r="H354" s="161"/>
    </row>
    <row r="355" spans="2:8" ht="15" customHeight="1" x14ac:dyDescent="0.2">
      <c r="B355" s="163"/>
      <c r="C355" s="159"/>
      <c r="D355" s="160"/>
      <c r="E355" s="160"/>
      <c r="F355" s="160"/>
      <c r="G355" s="160"/>
      <c r="H355" s="161"/>
    </row>
    <row r="356" spans="2:8" ht="15" customHeight="1" x14ac:dyDescent="0.2">
      <c r="B356" s="163"/>
      <c r="C356" s="159"/>
      <c r="D356" s="160"/>
      <c r="E356" s="160"/>
      <c r="F356" s="160"/>
      <c r="G356" s="160"/>
      <c r="H356" s="161"/>
    </row>
    <row r="357" spans="2:8" ht="15" customHeight="1" x14ac:dyDescent="0.2">
      <c r="B357" s="163"/>
      <c r="C357" s="159"/>
      <c r="D357" s="160"/>
      <c r="E357" s="160"/>
      <c r="F357" s="160"/>
      <c r="G357" s="160"/>
      <c r="H357" s="161"/>
    </row>
    <row r="358" spans="2:8" ht="15" customHeight="1" x14ac:dyDescent="0.2">
      <c r="B358" s="163"/>
      <c r="C358" s="159"/>
      <c r="D358" s="160"/>
      <c r="E358" s="160"/>
      <c r="F358" s="160"/>
      <c r="G358" s="160"/>
      <c r="H358" s="161"/>
    </row>
    <row r="359" spans="2:8" ht="15" customHeight="1" x14ac:dyDescent="0.2">
      <c r="B359" s="163"/>
      <c r="C359" s="159"/>
      <c r="D359" s="160"/>
      <c r="E359" s="160"/>
      <c r="F359" s="160"/>
      <c r="G359" s="160"/>
      <c r="H359" s="161"/>
    </row>
    <row r="360" spans="2:8" ht="15" customHeight="1" x14ac:dyDescent="0.2">
      <c r="B360" s="163"/>
      <c r="C360" s="159"/>
      <c r="D360" s="160"/>
      <c r="E360" s="160"/>
      <c r="F360" s="160"/>
      <c r="G360" s="160"/>
      <c r="H360" s="161"/>
    </row>
    <row r="361" spans="2:8" ht="15" customHeight="1" x14ac:dyDescent="0.2">
      <c r="B361" s="163"/>
      <c r="C361" s="159"/>
      <c r="D361" s="160"/>
      <c r="E361" s="160"/>
      <c r="F361" s="160"/>
      <c r="G361" s="160"/>
      <c r="H361" s="161"/>
    </row>
    <row r="362" spans="2:8" ht="15" customHeight="1" x14ac:dyDescent="0.2">
      <c r="B362" s="163"/>
      <c r="C362" s="159"/>
      <c r="D362" s="160"/>
      <c r="E362" s="160"/>
      <c r="F362" s="160"/>
      <c r="G362" s="160"/>
      <c r="H362" s="161"/>
    </row>
    <row r="363" spans="2:8" ht="15" customHeight="1" x14ac:dyDescent="0.2">
      <c r="B363" s="163"/>
      <c r="C363" s="159"/>
      <c r="D363" s="160"/>
      <c r="E363" s="160"/>
      <c r="F363" s="160"/>
      <c r="G363" s="160"/>
      <c r="H363" s="161"/>
    </row>
    <row r="364" spans="2:8" ht="15" customHeight="1" x14ac:dyDescent="0.2">
      <c r="B364" s="163"/>
      <c r="C364" s="159"/>
      <c r="D364" s="160"/>
      <c r="E364" s="160"/>
      <c r="F364" s="160"/>
      <c r="G364" s="160"/>
      <c r="H364" s="161"/>
    </row>
    <row r="365" spans="2:8" ht="15" customHeight="1" x14ac:dyDescent="0.2">
      <c r="B365" s="163"/>
      <c r="C365" s="159"/>
      <c r="D365" s="160"/>
      <c r="E365" s="160"/>
      <c r="F365" s="160"/>
      <c r="G365" s="160"/>
      <c r="H365" s="161"/>
    </row>
    <row r="366" spans="2:8" ht="15" customHeight="1" x14ac:dyDescent="0.2">
      <c r="B366" s="163"/>
      <c r="C366" s="159"/>
      <c r="D366" s="160"/>
      <c r="E366" s="160"/>
      <c r="F366" s="160"/>
      <c r="G366" s="160"/>
      <c r="H366" s="161"/>
    </row>
    <row r="367" spans="2:8" ht="15" customHeight="1" x14ac:dyDescent="0.2">
      <c r="B367" s="163"/>
      <c r="C367" s="159"/>
      <c r="D367" s="160"/>
      <c r="E367" s="160"/>
      <c r="F367" s="160"/>
      <c r="G367" s="160"/>
      <c r="H367" s="161"/>
    </row>
    <row r="368" spans="2:8" ht="15" customHeight="1" x14ac:dyDescent="0.2">
      <c r="B368" s="163"/>
      <c r="C368" s="159"/>
      <c r="D368" s="160"/>
      <c r="E368" s="160"/>
      <c r="F368" s="160"/>
      <c r="G368" s="160"/>
      <c r="H368" s="161"/>
    </row>
    <row r="369" spans="2:8" ht="15" customHeight="1" x14ac:dyDescent="0.2">
      <c r="B369" s="163"/>
      <c r="C369" s="159"/>
      <c r="D369" s="160"/>
      <c r="E369" s="160"/>
      <c r="F369" s="160"/>
      <c r="G369" s="160"/>
      <c r="H369" s="161"/>
    </row>
    <row r="370" spans="2:8" ht="15" customHeight="1" x14ac:dyDescent="0.2">
      <c r="B370" s="163"/>
      <c r="C370" s="159"/>
      <c r="D370" s="160"/>
      <c r="E370" s="160"/>
      <c r="F370" s="160"/>
      <c r="G370" s="160"/>
      <c r="H370" s="161"/>
    </row>
    <row r="371" spans="2:8" ht="15" customHeight="1" x14ac:dyDescent="0.2">
      <c r="B371" s="163"/>
      <c r="C371" s="159"/>
      <c r="D371" s="160"/>
      <c r="E371" s="160"/>
      <c r="F371" s="160"/>
      <c r="G371" s="160"/>
      <c r="H371" s="161"/>
    </row>
    <row r="372" spans="2:8" ht="15" customHeight="1" x14ac:dyDescent="0.2">
      <c r="B372" s="163"/>
      <c r="C372" s="159"/>
      <c r="D372" s="160"/>
      <c r="E372" s="160"/>
      <c r="F372" s="160"/>
      <c r="G372" s="160"/>
      <c r="H372" s="161"/>
    </row>
    <row r="373" spans="2:8" ht="15" customHeight="1" x14ac:dyDescent="0.2">
      <c r="B373" s="163"/>
      <c r="C373" s="159"/>
      <c r="D373" s="160"/>
      <c r="E373" s="160"/>
      <c r="F373" s="160"/>
      <c r="G373" s="160"/>
      <c r="H373" s="161"/>
    </row>
    <row r="374" spans="2:8" ht="15" customHeight="1" x14ac:dyDescent="0.2">
      <c r="B374" s="163"/>
      <c r="C374" s="159"/>
      <c r="D374" s="160"/>
      <c r="E374" s="160"/>
      <c r="F374" s="160"/>
      <c r="G374" s="160"/>
      <c r="H374" s="161"/>
    </row>
    <row r="375" spans="2:8" ht="15" customHeight="1" x14ac:dyDescent="0.2">
      <c r="B375" s="163"/>
      <c r="C375" s="159"/>
      <c r="D375" s="160"/>
      <c r="E375" s="160"/>
      <c r="F375" s="160"/>
      <c r="G375" s="160"/>
      <c r="H375" s="161"/>
    </row>
    <row r="376" spans="2:8" ht="15" customHeight="1" x14ac:dyDescent="0.2">
      <c r="B376" s="163"/>
      <c r="C376" s="159"/>
      <c r="D376" s="160"/>
      <c r="E376" s="160"/>
      <c r="F376" s="160"/>
      <c r="G376" s="160"/>
      <c r="H376" s="161"/>
    </row>
    <row r="377" spans="2:8" ht="15" customHeight="1" x14ac:dyDescent="0.2">
      <c r="B377" s="163"/>
      <c r="C377" s="159"/>
      <c r="D377" s="160"/>
      <c r="E377" s="160"/>
      <c r="F377" s="160"/>
      <c r="G377" s="160"/>
      <c r="H377" s="161"/>
    </row>
    <row r="378" spans="2:8" ht="15" customHeight="1" x14ac:dyDescent="0.2">
      <c r="B378" s="163"/>
      <c r="C378" s="159"/>
      <c r="D378" s="160"/>
      <c r="E378" s="160"/>
      <c r="F378" s="160"/>
      <c r="G378" s="160"/>
      <c r="H378" s="161"/>
    </row>
    <row r="379" spans="2:8" ht="15" customHeight="1" x14ac:dyDescent="0.2">
      <c r="B379" s="163"/>
      <c r="C379" s="159"/>
      <c r="D379" s="160"/>
      <c r="E379" s="160"/>
      <c r="F379" s="160"/>
      <c r="G379" s="160"/>
      <c r="H379" s="161"/>
    </row>
    <row r="380" spans="2:8" ht="15" customHeight="1" x14ac:dyDescent="0.2">
      <c r="B380" s="163"/>
      <c r="C380" s="159"/>
      <c r="D380" s="160"/>
      <c r="E380" s="160"/>
      <c r="F380" s="160"/>
      <c r="G380" s="160"/>
      <c r="H380" s="161"/>
    </row>
    <row r="381" spans="2:8" ht="15" customHeight="1" x14ac:dyDescent="0.2">
      <c r="B381" s="163"/>
      <c r="C381" s="159"/>
      <c r="D381" s="160"/>
      <c r="E381" s="160"/>
      <c r="F381" s="160"/>
      <c r="G381" s="160"/>
      <c r="H381" s="161"/>
    </row>
    <row r="382" spans="2:8" ht="15" customHeight="1" x14ac:dyDescent="0.2">
      <c r="B382" s="163"/>
      <c r="C382" s="159"/>
      <c r="D382" s="160"/>
      <c r="E382" s="160"/>
      <c r="F382" s="160"/>
      <c r="G382" s="160"/>
      <c r="H382" s="161"/>
    </row>
    <row r="383" spans="2:8" ht="15" customHeight="1" x14ac:dyDescent="0.2">
      <c r="B383" s="163"/>
      <c r="C383" s="159"/>
      <c r="D383" s="160"/>
      <c r="E383" s="160"/>
      <c r="F383" s="160"/>
      <c r="G383" s="160"/>
      <c r="H383" s="161"/>
    </row>
    <row r="384" spans="2:8" ht="15" customHeight="1" x14ac:dyDescent="0.2">
      <c r="B384" s="163"/>
      <c r="C384" s="159"/>
      <c r="D384" s="160"/>
      <c r="E384" s="160"/>
      <c r="F384" s="160"/>
      <c r="G384" s="160"/>
      <c r="H384" s="161"/>
    </row>
    <row r="385" spans="2:8" ht="15" customHeight="1" x14ac:dyDescent="0.2">
      <c r="B385" s="163"/>
      <c r="C385" s="159"/>
      <c r="D385" s="160"/>
      <c r="E385" s="160"/>
      <c r="F385" s="160"/>
      <c r="G385" s="160"/>
      <c r="H385" s="161"/>
    </row>
    <row r="386" spans="2:8" ht="15" customHeight="1" x14ac:dyDescent="0.2">
      <c r="B386" s="163"/>
      <c r="C386" s="159"/>
      <c r="D386" s="160"/>
      <c r="E386" s="160"/>
      <c r="F386" s="160"/>
      <c r="G386" s="160"/>
      <c r="H386" s="161"/>
    </row>
    <row r="387" spans="2:8" ht="15" customHeight="1" x14ac:dyDescent="0.2">
      <c r="B387" s="163"/>
      <c r="C387" s="159"/>
      <c r="D387" s="160"/>
      <c r="E387" s="160"/>
      <c r="F387" s="160"/>
      <c r="G387" s="160"/>
      <c r="H387" s="161"/>
    </row>
    <row r="388" spans="2:8" ht="15" customHeight="1" x14ac:dyDescent="0.2">
      <c r="B388" s="163"/>
      <c r="C388" s="159"/>
      <c r="D388" s="160"/>
      <c r="E388" s="160"/>
      <c r="F388" s="160"/>
      <c r="G388" s="160"/>
      <c r="H388" s="161"/>
    </row>
    <row r="389" spans="2:8" ht="15" customHeight="1" x14ac:dyDescent="0.2">
      <c r="B389" s="163"/>
      <c r="C389" s="159"/>
      <c r="D389" s="160"/>
      <c r="E389" s="160"/>
      <c r="F389" s="160"/>
      <c r="G389" s="160"/>
      <c r="H389" s="161"/>
    </row>
    <row r="390" spans="2:8" ht="15" customHeight="1" x14ac:dyDescent="0.2">
      <c r="B390" s="163"/>
      <c r="C390" s="159"/>
      <c r="D390" s="160"/>
      <c r="E390" s="160"/>
      <c r="F390" s="160"/>
      <c r="G390" s="160"/>
      <c r="H390" s="161"/>
    </row>
    <row r="391" spans="2:8" ht="15" customHeight="1" x14ac:dyDescent="0.2">
      <c r="B391" s="163"/>
      <c r="C391" s="159"/>
      <c r="D391" s="160"/>
      <c r="E391" s="160"/>
      <c r="F391" s="160"/>
      <c r="G391" s="160"/>
      <c r="H391" s="161"/>
    </row>
    <row r="392" spans="2:8" ht="15" customHeight="1" x14ac:dyDescent="0.2">
      <c r="B392" s="163"/>
      <c r="C392" s="159"/>
      <c r="D392" s="160"/>
      <c r="E392" s="160"/>
      <c r="F392" s="160"/>
      <c r="G392" s="160"/>
      <c r="H392" s="161"/>
    </row>
    <row r="393" spans="2:8" ht="15" customHeight="1" x14ac:dyDescent="0.2">
      <c r="B393" s="163"/>
      <c r="C393" s="159"/>
      <c r="D393" s="160"/>
      <c r="E393" s="160"/>
      <c r="F393" s="160"/>
      <c r="G393" s="160"/>
      <c r="H393" s="161"/>
    </row>
    <row r="394" spans="2:8" ht="15" customHeight="1" x14ac:dyDescent="0.2">
      <c r="B394" s="163"/>
      <c r="C394" s="159"/>
      <c r="D394" s="160"/>
      <c r="E394" s="160"/>
      <c r="F394" s="160"/>
      <c r="G394" s="160"/>
      <c r="H394" s="161"/>
    </row>
    <row r="395" spans="2:8" ht="15" customHeight="1" x14ac:dyDescent="0.2">
      <c r="B395" s="163"/>
      <c r="C395" s="159"/>
      <c r="D395" s="160"/>
      <c r="E395" s="160"/>
      <c r="F395" s="160"/>
      <c r="G395" s="160"/>
      <c r="H395" s="161"/>
    </row>
    <row r="396" spans="2:8" ht="15" customHeight="1" x14ac:dyDescent="0.2">
      <c r="B396" s="163"/>
      <c r="C396" s="159"/>
      <c r="D396" s="160"/>
      <c r="E396" s="160"/>
      <c r="F396" s="160"/>
      <c r="G396" s="160"/>
      <c r="H396" s="161"/>
    </row>
    <row r="397" spans="2:8" ht="15" customHeight="1" x14ac:dyDescent="0.2">
      <c r="B397" s="163"/>
      <c r="C397" s="159"/>
      <c r="D397" s="160"/>
      <c r="E397" s="160"/>
      <c r="F397" s="160"/>
      <c r="G397" s="160"/>
      <c r="H397" s="161"/>
    </row>
    <row r="398" spans="2:8" ht="15" customHeight="1" x14ac:dyDescent="0.2">
      <c r="B398" s="163"/>
      <c r="C398" s="159"/>
      <c r="D398" s="160"/>
      <c r="E398" s="160"/>
      <c r="F398" s="160"/>
      <c r="G398" s="160"/>
      <c r="H398" s="161"/>
    </row>
    <row r="399" spans="2:8" ht="15" customHeight="1" x14ac:dyDescent="0.2">
      <c r="B399" s="163"/>
      <c r="C399" s="159"/>
      <c r="D399" s="160"/>
      <c r="E399" s="160"/>
      <c r="F399" s="160"/>
      <c r="G399" s="160"/>
      <c r="H399" s="161"/>
    </row>
    <row r="400" spans="2:8" ht="15" customHeight="1" x14ac:dyDescent="0.2">
      <c r="B400" s="163"/>
      <c r="C400" s="159"/>
      <c r="D400" s="160"/>
      <c r="E400" s="160"/>
      <c r="F400" s="160"/>
      <c r="G400" s="160"/>
      <c r="H400" s="161"/>
    </row>
    <row r="401" spans="2:8" ht="15" customHeight="1" x14ac:dyDescent="0.2">
      <c r="B401" s="163"/>
      <c r="C401" s="159"/>
      <c r="D401" s="160"/>
      <c r="E401" s="160"/>
      <c r="F401" s="160"/>
      <c r="G401" s="160"/>
      <c r="H401" s="161"/>
    </row>
    <row r="402" spans="2:8" ht="15" customHeight="1" x14ac:dyDescent="0.2">
      <c r="B402" s="163"/>
      <c r="C402" s="159"/>
      <c r="D402" s="160"/>
      <c r="E402" s="160"/>
      <c r="F402" s="160"/>
      <c r="G402" s="160"/>
      <c r="H402" s="161"/>
    </row>
    <row r="403" spans="2:8" ht="15" customHeight="1" x14ac:dyDescent="0.2">
      <c r="B403" s="163"/>
      <c r="C403" s="159"/>
      <c r="D403" s="160"/>
      <c r="E403" s="160"/>
      <c r="F403" s="160"/>
      <c r="G403" s="160"/>
      <c r="H403" s="161"/>
    </row>
    <row r="404" spans="2:8" ht="15" customHeight="1" x14ac:dyDescent="0.2">
      <c r="B404" s="163"/>
      <c r="C404" s="159"/>
      <c r="D404" s="160"/>
      <c r="E404" s="160"/>
      <c r="F404" s="160"/>
      <c r="G404" s="160"/>
      <c r="H404" s="161"/>
    </row>
    <row r="405" spans="2:8" ht="15" customHeight="1" x14ac:dyDescent="0.2">
      <c r="B405" s="163"/>
      <c r="C405" s="159"/>
      <c r="D405" s="160"/>
      <c r="E405" s="160"/>
      <c r="F405" s="160"/>
      <c r="G405" s="160"/>
      <c r="H405" s="161"/>
    </row>
    <row r="406" spans="2:8" ht="15" customHeight="1" x14ac:dyDescent="0.2">
      <c r="B406" s="163"/>
      <c r="C406" s="159"/>
      <c r="D406" s="160"/>
      <c r="E406" s="160"/>
      <c r="F406" s="160"/>
      <c r="G406" s="160"/>
      <c r="H406" s="161"/>
    </row>
    <row r="407" spans="2:8" ht="15" customHeight="1" x14ac:dyDescent="0.2">
      <c r="B407" s="163"/>
      <c r="C407" s="159"/>
      <c r="D407" s="160"/>
      <c r="E407" s="160"/>
      <c r="F407" s="160"/>
      <c r="G407" s="160"/>
      <c r="H407" s="161"/>
    </row>
    <row r="408" spans="2:8" ht="15" customHeight="1" x14ac:dyDescent="0.2">
      <c r="B408" s="163"/>
      <c r="C408" s="159"/>
      <c r="D408" s="160"/>
      <c r="E408" s="160"/>
      <c r="F408" s="160"/>
      <c r="G408" s="160"/>
      <c r="H408" s="161"/>
    </row>
    <row r="409" spans="2:8" ht="15" customHeight="1" x14ac:dyDescent="0.2">
      <c r="B409" s="163"/>
      <c r="C409" s="159"/>
      <c r="D409" s="160"/>
      <c r="E409" s="160"/>
      <c r="F409" s="160"/>
      <c r="G409" s="160"/>
      <c r="H409" s="161"/>
    </row>
    <row r="410" spans="2:8" ht="15" customHeight="1" x14ac:dyDescent="0.2">
      <c r="B410" s="163"/>
      <c r="C410" s="159"/>
      <c r="D410" s="160"/>
      <c r="E410" s="160"/>
      <c r="F410" s="160"/>
      <c r="G410" s="160"/>
      <c r="H410" s="161"/>
    </row>
    <row r="411" spans="2:8" ht="15" customHeight="1" x14ac:dyDescent="0.2">
      <c r="B411" s="163"/>
      <c r="C411" s="159"/>
      <c r="D411" s="160"/>
      <c r="E411" s="160"/>
      <c r="F411" s="160"/>
      <c r="G411" s="160"/>
      <c r="H411" s="161"/>
    </row>
    <row r="412" spans="2:8" ht="15" customHeight="1" x14ac:dyDescent="0.2">
      <c r="B412" s="163"/>
      <c r="C412" s="159"/>
      <c r="D412" s="160"/>
      <c r="E412" s="160"/>
      <c r="F412" s="160"/>
      <c r="G412" s="160"/>
      <c r="H412" s="161"/>
    </row>
    <row r="413" spans="2:8" ht="15" customHeight="1" x14ac:dyDescent="0.2">
      <c r="B413" s="163"/>
      <c r="C413" s="159"/>
      <c r="D413" s="160"/>
      <c r="E413" s="160"/>
      <c r="F413" s="160"/>
      <c r="G413" s="160"/>
      <c r="H413" s="161"/>
    </row>
    <row r="414" spans="2:8" ht="15" customHeight="1" x14ac:dyDescent="0.2">
      <c r="B414" s="163"/>
      <c r="C414" s="159"/>
      <c r="D414" s="160"/>
      <c r="E414" s="160"/>
      <c r="F414" s="160"/>
      <c r="G414" s="160"/>
      <c r="H414" s="161"/>
    </row>
    <row r="415" spans="2:8" ht="15" customHeight="1" x14ac:dyDescent="0.2">
      <c r="B415" s="163"/>
      <c r="C415" s="159"/>
      <c r="D415" s="160"/>
      <c r="E415" s="160"/>
      <c r="F415" s="160"/>
      <c r="G415" s="160"/>
      <c r="H415" s="161"/>
    </row>
    <row r="416" spans="2:8" ht="15" customHeight="1" x14ac:dyDescent="0.2">
      <c r="B416" s="163"/>
      <c r="C416" s="159"/>
      <c r="D416" s="160"/>
      <c r="E416" s="160"/>
      <c r="F416" s="160"/>
      <c r="G416" s="160"/>
      <c r="H416" s="161"/>
    </row>
    <row r="417" spans="2:8" ht="15" customHeight="1" x14ac:dyDescent="0.2">
      <c r="B417" s="163"/>
      <c r="C417" s="159"/>
      <c r="D417" s="160"/>
      <c r="E417" s="160"/>
      <c r="F417" s="160"/>
      <c r="G417" s="160"/>
      <c r="H417" s="161"/>
    </row>
    <row r="418" spans="2:8" ht="15" customHeight="1" x14ac:dyDescent="0.2">
      <c r="B418" s="163"/>
      <c r="C418" s="159"/>
      <c r="D418" s="160"/>
      <c r="E418" s="160"/>
      <c r="F418" s="160"/>
      <c r="G418" s="160"/>
      <c r="H418" s="161"/>
    </row>
    <row r="419" spans="2:8" ht="15" customHeight="1" x14ac:dyDescent="0.2">
      <c r="B419" s="163"/>
      <c r="C419" s="159"/>
      <c r="D419" s="160"/>
      <c r="E419" s="160"/>
      <c r="F419" s="160"/>
      <c r="G419" s="160"/>
      <c r="H419" s="161"/>
    </row>
    <row r="420" spans="2:8" ht="15" customHeight="1" x14ac:dyDescent="0.2">
      <c r="B420" s="163"/>
      <c r="C420" s="159"/>
      <c r="D420" s="160"/>
      <c r="E420" s="160"/>
      <c r="F420" s="160"/>
      <c r="G420" s="160"/>
      <c r="H420" s="161"/>
    </row>
    <row r="421" spans="2:8" ht="15" customHeight="1" x14ac:dyDescent="0.2">
      <c r="B421" s="163"/>
      <c r="C421" s="159"/>
      <c r="D421" s="160"/>
      <c r="E421" s="160"/>
      <c r="F421" s="160"/>
      <c r="G421" s="160"/>
      <c r="H421" s="161"/>
    </row>
    <row r="422" spans="2:8" ht="15" customHeight="1" x14ac:dyDescent="0.2">
      <c r="B422" s="163"/>
      <c r="C422" s="159"/>
      <c r="D422" s="160"/>
      <c r="E422" s="160"/>
      <c r="F422" s="160"/>
      <c r="G422" s="160"/>
      <c r="H422" s="161"/>
    </row>
    <row r="423" spans="2:8" ht="15" customHeight="1" x14ac:dyDescent="0.2">
      <c r="B423" s="163"/>
      <c r="C423" s="159"/>
      <c r="D423" s="160"/>
      <c r="E423" s="160"/>
      <c r="F423" s="160"/>
      <c r="G423" s="160"/>
      <c r="H423" s="161"/>
    </row>
    <row r="424" spans="2:8" ht="15" customHeight="1" x14ac:dyDescent="0.2">
      <c r="B424" s="163"/>
      <c r="C424" s="159"/>
      <c r="D424" s="160"/>
      <c r="E424" s="160"/>
      <c r="F424" s="160"/>
      <c r="G424" s="160"/>
      <c r="H424" s="161"/>
    </row>
    <row r="425" spans="2:8" ht="15" customHeight="1" x14ac:dyDescent="0.2">
      <c r="B425" s="163"/>
      <c r="C425" s="159"/>
      <c r="D425" s="160"/>
      <c r="E425" s="160"/>
      <c r="F425" s="160"/>
      <c r="G425" s="160"/>
      <c r="H425" s="161"/>
    </row>
    <row r="426" spans="2:8" ht="15" customHeight="1" x14ac:dyDescent="0.2">
      <c r="B426" s="163"/>
      <c r="C426" s="159"/>
      <c r="D426" s="160"/>
      <c r="E426" s="160"/>
      <c r="F426" s="160"/>
      <c r="G426" s="160"/>
      <c r="H426" s="161"/>
    </row>
    <row r="427" spans="2:8" ht="15" customHeight="1" x14ac:dyDescent="0.2">
      <c r="B427" s="163"/>
      <c r="C427" s="159"/>
      <c r="D427" s="160"/>
      <c r="E427" s="160"/>
      <c r="F427" s="160"/>
      <c r="G427" s="160"/>
      <c r="H427" s="161"/>
    </row>
    <row r="428" spans="2:8" ht="15" customHeight="1" x14ac:dyDescent="0.2">
      <c r="B428" s="163"/>
      <c r="C428" s="159"/>
      <c r="D428" s="160"/>
      <c r="E428" s="160"/>
      <c r="F428" s="160"/>
      <c r="G428" s="160"/>
      <c r="H428" s="161"/>
    </row>
    <row r="429" spans="2:8" ht="15" customHeight="1" x14ac:dyDescent="0.2">
      <c r="B429" s="163"/>
      <c r="C429" s="159"/>
      <c r="D429" s="160"/>
      <c r="E429" s="160"/>
      <c r="F429" s="160"/>
      <c r="G429" s="160"/>
      <c r="H429" s="161"/>
    </row>
    <row r="430" spans="2:8" ht="15" customHeight="1" x14ac:dyDescent="0.2">
      <c r="B430" s="163"/>
      <c r="C430" s="159"/>
      <c r="D430" s="160"/>
      <c r="E430" s="160"/>
      <c r="F430" s="160"/>
      <c r="G430" s="160"/>
      <c r="H430" s="161"/>
    </row>
    <row r="431" spans="2:8" ht="15" customHeight="1" x14ac:dyDescent="0.2">
      <c r="B431" s="163"/>
      <c r="C431" s="159"/>
      <c r="D431" s="160"/>
      <c r="E431" s="160"/>
      <c r="F431" s="160"/>
      <c r="G431" s="160"/>
      <c r="H431" s="161"/>
    </row>
    <row r="432" spans="2:8" ht="15" customHeight="1" x14ac:dyDescent="0.2">
      <c r="B432" s="163"/>
      <c r="C432" s="159"/>
      <c r="D432" s="160"/>
      <c r="E432" s="160"/>
      <c r="F432" s="160"/>
      <c r="G432" s="160"/>
      <c r="H432" s="161"/>
    </row>
    <row r="433" spans="2:8" ht="15" customHeight="1" x14ac:dyDescent="0.2">
      <c r="B433" s="163"/>
      <c r="C433" s="159"/>
      <c r="D433" s="160"/>
      <c r="E433" s="160"/>
      <c r="F433" s="160"/>
      <c r="G433" s="160"/>
      <c r="H433" s="161"/>
    </row>
    <row r="434" spans="2:8" ht="15" customHeight="1" x14ac:dyDescent="0.2">
      <c r="B434" s="163"/>
      <c r="C434" s="159"/>
      <c r="D434" s="160"/>
      <c r="E434" s="160"/>
      <c r="F434" s="160"/>
      <c r="G434" s="160"/>
      <c r="H434" s="161"/>
    </row>
    <row r="435" spans="2:8" ht="15" customHeight="1" x14ac:dyDescent="0.2">
      <c r="B435" s="163"/>
      <c r="C435" s="159"/>
      <c r="D435" s="160"/>
      <c r="E435" s="160"/>
      <c r="F435" s="160"/>
      <c r="G435" s="160"/>
      <c r="H435" s="161"/>
    </row>
    <row r="436" spans="2:8" ht="15" customHeight="1" x14ac:dyDescent="0.2">
      <c r="B436" s="163"/>
      <c r="C436" s="159"/>
      <c r="D436" s="160"/>
      <c r="E436" s="160"/>
      <c r="F436" s="160"/>
      <c r="G436" s="160"/>
      <c r="H436" s="161"/>
    </row>
    <row r="437" spans="2:8" ht="15" customHeight="1" x14ac:dyDescent="0.2">
      <c r="B437" s="163"/>
      <c r="C437" s="159"/>
      <c r="D437" s="160"/>
      <c r="E437" s="160"/>
      <c r="F437" s="160"/>
      <c r="G437" s="160"/>
      <c r="H437" s="161"/>
    </row>
    <row r="438" spans="2:8" ht="15" customHeight="1" x14ac:dyDescent="0.2">
      <c r="B438" s="163"/>
      <c r="C438" s="159"/>
      <c r="D438" s="160"/>
      <c r="E438" s="160"/>
      <c r="F438" s="160"/>
      <c r="G438" s="160"/>
      <c r="H438" s="161"/>
    </row>
    <row r="439" spans="2:8" ht="15" customHeight="1" x14ac:dyDescent="0.2">
      <c r="B439" s="163"/>
      <c r="C439" s="159"/>
      <c r="D439" s="160"/>
      <c r="E439" s="160"/>
      <c r="F439" s="160"/>
      <c r="G439" s="160"/>
      <c r="H439" s="161"/>
    </row>
    <row r="440" spans="2:8" ht="15" customHeight="1" x14ac:dyDescent="0.2">
      <c r="B440" s="163"/>
      <c r="C440" s="159"/>
      <c r="D440" s="160"/>
      <c r="E440" s="160"/>
      <c r="F440" s="160"/>
      <c r="G440" s="160"/>
      <c r="H440" s="161"/>
    </row>
    <row r="441" spans="2:8" ht="15" customHeight="1" x14ac:dyDescent="0.2">
      <c r="B441" s="163"/>
      <c r="C441" s="159"/>
      <c r="D441" s="160"/>
      <c r="E441" s="160"/>
      <c r="F441" s="160"/>
      <c r="G441" s="160"/>
      <c r="H441" s="161"/>
    </row>
    <row r="442" spans="2:8" ht="15" customHeight="1" x14ac:dyDescent="0.2">
      <c r="B442" s="163"/>
      <c r="C442" s="159"/>
      <c r="D442" s="160"/>
      <c r="E442" s="160"/>
      <c r="F442" s="160"/>
      <c r="G442" s="160"/>
      <c r="H442" s="161"/>
    </row>
    <row r="443" spans="2:8" ht="15" customHeight="1" x14ac:dyDescent="0.2">
      <c r="B443" s="163"/>
      <c r="C443" s="159"/>
      <c r="D443" s="160"/>
      <c r="E443" s="160"/>
      <c r="F443" s="160"/>
      <c r="G443" s="160"/>
      <c r="H443" s="161"/>
    </row>
    <row r="444" spans="2:8" ht="15" customHeight="1" x14ac:dyDescent="0.2">
      <c r="B444" s="163"/>
      <c r="C444" s="159"/>
      <c r="D444" s="160"/>
      <c r="E444" s="160"/>
      <c r="F444" s="160"/>
      <c r="G444" s="160"/>
      <c r="H444" s="161"/>
    </row>
    <row r="445" spans="2:8" ht="15" customHeight="1" x14ac:dyDescent="0.2">
      <c r="B445" s="163"/>
      <c r="C445" s="159"/>
      <c r="D445" s="160"/>
      <c r="E445" s="160"/>
      <c r="F445" s="160"/>
      <c r="G445" s="160"/>
      <c r="H445" s="161"/>
    </row>
    <row r="446" spans="2:8" ht="15" customHeight="1" x14ac:dyDescent="0.2">
      <c r="B446" s="163"/>
      <c r="C446" s="159"/>
      <c r="D446" s="160"/>
      <c r="E446" s="160"/>
      <c r="F446" s="160"/>
      <c r="G446" s="160"/>
      <c r="H446" s="161"/>
    </row>
    <row r="447" spans="2:8" ht="15" customHeight="1" x14ac:dyDescent="0.2">
      <c r="B447" s="163"/>
      <c r="C447" s="159"/>
      <c r="D447" s="160"/>
      <c r="E447" s="160"/>
      <c r="F447" s="160"/>
      <c r="G447" s="160"/>
      <c r="H447" s="161"/>
    </row>
    <row r="448" spans="2:8" ht="15" customHeight="1" x14ac:dyDescent="0.2">
      <c r="B448" s="163"/>
      <c r="C448" s="159"/>
      <c r="D448" s="160"/>
      <c r="E448" s="160"/>
      <c r="F448" s="160"/>
      <c r="G448" s="160"/>
      <c r="H448" s="161"/>
    </row>
    <row r="449" spans="2:8" ht="15" customHeight="1" x14ac:dyDescent="0.2">
      <c r="B449" s="163"/>
      <c r="C449" s="159"/>
      <c r="D449" s="160"/>
      <c r="E449" s="160"/>
      <c r="F449" s="160"/>
      <c r="G449" s="160"/>
      <c r="H449" s="161"/>
    </row>
    <row r="450" spans="2:8" ht="15" customHeight="1" x14ac:dyDescent="0.2">
      <c r="B450" s="163"/>
      <c r="C450" s="159"/>
      <c r="D450" s="160"/>
      <c r="E450" s="160"/>
      <c r="F450" s="160"/>
      <c r="G450" s="160"/>
      <c r="H450" s="161"/>
    </row>
    <row r="451" spans="2:8" ht="15" customHeight="1" x14ac:dyDescent="0.2">
      <c r="B451" s="163"/>
      <c r="C451" s="159"/>
      <c r="D451" s="160"/>
      <c r="E451" s="160"/>
      <c r="F451" s="160"/>
      <c r="G451" s="160"/>
      <c r="H451" s="161"/>
    </row>
    <row r="452" spans="2:8" ht="15" customHeight="1" x14ac:dyDescent="0.2">
      <c r="B452" s="163"/>
      <c r="C452" s="159"/>
      <c r="D452" s="160"/>
      <c r="E452" s="160"/>
      <c r="F452" s="160"/>
      <c r="G452" s="160"/>
      <c r="H452" s="161"/>
    </row>
    <row r="453" spans="2:8" ht="15" customHeight="1" x14ac:dyDescent="0.2">
      <c r="B453" s="163"/>
      <c r="C453" s="159"/>
      <c r="D453" s="160"/>
      <c r="E453" s="160"/>
      <c r="F453" s="160"/>
      <c r="G453" s="160"/>
      <c r="H453" s="161"/>
    </row>
    <row r="454" spans="2:8" ht="15" customHeight="1" x14ac:dyDescent="0.2">
      <c r="B454" s="163"/>
      <c r="C454" s="159"/>
      <c r="D454" s="160"/>
      <c r="E454" s="160"/>
      <c r="F454" s="160"/>
      <c r="G454" s="160"/>
      <c r="H454" s="161"/>
    </row>
    <row r="455" spans="2:8" ht="15" customHeight="1" x14ac:dyDescent="0.2">
      <c r="B455" s="163"/>
      <c r="C455" s="159"/>
      <c r="D455" s="160"/>
      <c r="E455" s="160"/>
      <c r="F455" s="160"/>
      <c r="G455" s="160"/>
      <c r="H455" s="161"/>
    </row>
    <row r="456" spans="2:8" ht="15" customHeight="1" x14ac:dyDescent="0.2">
      <c r="B456" s="163"/>
      <c r="C456" s="159"/>
      <c r="D456" s="160"/>
      <c r="E456" s="160"/>
      <c r="F456" s="160"/>
      <c r="G456" s="160"/>
      <c r="H456" s="161"/>
    </row>
    <row r="457" spans="2:8" ht="15" customHeight="1" x14ac:dyDescent="0.2">
      <c r="B457" s="163"/>
      <c r="C457" s="159"/>
      <c r="D457" s="160"/>
      <c r="E457" s="160"/>
      <c r="F457" s="160"/>
      <c r="G457" s="160"/>
      <c r="H457" s="161"/>
    </row>
    <row r="458" spans="2:8" ht="15" customHeight="1" x14ac:dyDescent="0.2">
      <c r="B458" s="163"/>
      <c r="C458" s="159"/>
      <c r="D458" s="160"/>
      <c r="E458" s="160"/>
      <c r="F458" s="160"/>
      <c r="G458" s="160"/>
      <c r="H458" s="161"/>
    </row>
    <row r="459" spans="2:8" ht="15" customHeight="1" x14ac:dyDescent="0.2">
      <c r="B459" s="163"/>
      <c r="C459" s="159"/>
      <c r="D459" s="160"/>
      <c r="E459" s="160"/>
      <c r="F459" s="160"/>
      <c r="G459" s="160"/>
      <c r="H459" s="161"/>
    </row>
    <row r="460" spans="2:8" ht="15" customHeight="1" x14ac:dyDescent="0.2">
      <c r="B460" s="163"/>
      <c r="C460" s="159"/>
      <c r="D460" s="160"/>
      <c r="E460" s="160"/>
      <c r="F460" s="160"/>
      <c r="G460" s="160"/>
      <c r="H460" s="161"/>
    </row>
    <row r="461" spans="2:8" ht="15" customHeight="1" x14ac:dyDescent="0.2">
      <c r="B461" s="163"/>
      <c r="C461" s="159"/>
      <c r="D461" s="160"/>
      <c r="E461" s="160"/>
      <c r="F461" s="160"/>
      <c r="G461" s="160"/>
      <c r="H461" s="161"/>
    </row>
    <row r="462" spans="2:8" ht="15" customHeight="1" x14ac:dyDescent="0.2">
      <c r="B462" s="163"/>
      <c r="C462" s="159"/>
      <c r="D462" s="160"/>
      <c r="E462" s="160"/>
      <c r="F462" s="160"/>
      <c r="G462" s="160"/>
      <c r="H462" s="161"/>
    </row>
    <row r="463" spans="2:8" ht="15" customHeight="1" x14ac:dyDescent="0.2">
      <c r="B463" s="163"/>
      <c r="C463" s="159"/>
      <c r="D463" s="160"/>
      <c r="E463" s="160"/>
      <c r="F463" s="160"/>
      <c r="G463" s="160"/>
      <c r="H463" s="161"/>
    </row>
    <row r="464" spans="2:8" ht="15" customHeight="1" x14ac:dyDescent="0.2">
      <c r="B464" s="163"/>
      <c r="C464" s="159"/>
      <c r="D464" s="160"/>
      <c r="E464" s="160"/>
      <c r="F464" s="160"/>
      <c r="G464" s="160"/>
      <c r="H464" s="161"/>
    </row>
    <row r="465" spans="2:8" ht="15" customHeight="1" x14ac:dyDescent="0.2">
      <c r="B465" s="163"/>
      <c r="C465" s="159"/>
      <c r="D465" s="160"/>
      <c r="E465" s="160"/>
      <c r="F465" s="160"/>
      <c r="G465" s="160"/>
      <c r="H465" s="161"/>
    </row>
    <row r="466" spans="2:8" ht="15" customHeight="1" x14ac:dyDescent="0.2">
      <c r="B466" s="163"/>
      <c r="C466" s="159"/>
      <c r="D466" s="160"/>
      <c r="E466" s="160"/>
      <c r="F466" s="160"/>
      <c r="G466" s="160"/>
      <c r="H466" s="161"/>
    </row>
    <row r="467" spans="2:8" ht="15" customHeight="1" x14ac:dyDescent="0.2">
      <c r="B467" s="163"/>
      <c r="C467" s="159"/>
      <c r="D467" s="160"/>
      <c r="E467" s="160"/>
      <c r="F467" s="160"/>
      <c r="G467" s="160"/>
      <c r="H467" s="161"/>
    </row>
    <row r="468" spans="2:8" ht="15" customHeight="1" x14ac:dyDescent="0.2">
      <c r="B468" s="163"/>
      <c r="C468" s="159"/>
      <c r="D468" s="160"/>
      <c r="E468" s="160"/>
      <c r="F468" s="160"/>
      <c r="G468" s="160"/>
      <c r="H468" s="161"/>
    </row>
    <row r="469" spans="2:8" ht="15" customHeight="1" x14ac:dyDescent="0.2">
      <c r="B469" s="163"/>
      <c r="C469" s="159"/>
      <c r="D469" s="160"/>
      <c r="E469" s="160"/>
      <c r="F469" s="160"/>
      <c r="G469" s="160"/>
      <c r="H469" s="161"/>
    </row>
    <row r="470" spans="2:8" ht="15" customHeight="1" x14ac:dyDescent="0.2">
      <c r="B470" s="163"/>
      <c r="C470" s="159"/>
      <c r="D470" s="160"/>
      <c r="E470" s="160"/>
      <c r="F470" s="160"/>
      <c r="G470" s="160"/>
      <c r="H470" s="161"/>
    </row>
    <row r="471" spans="2:8" ht="15" customHeight="1" x14ac:dyDescent="0.2">
      <c r="B471" s="163"/>
      <c r="C471" s="159"/>
      <c r="D471" s="160"/>
      <c r="E471" s="160"/>
      <c r="F471" s="160"/>
      <c r="G471" s="160"/>
      <c r="H471" s="161"/>
    </row>
    <row r="472" spans="2:8" ht="15" customHeight="1" x14ac:dyDescent="0.2">
      <c r="B472" s="163"/>
      <c r="C472" s="159"/>
      <c r="D472" s="160"/>
      <c r="E472" s="160"/>
      <c r="F472" s="160"/>
      <c r="G472" s="160"/>
      <c r="H472" s="161"/>
    </row>
    <row r="473" spans="2:8" ht="15" customHeight="1" x14ac:dyDescent="0.2">
      <c r="B473" s="163"/>
      <c r="C473" s="159"/>
      <c r="D473" s="160"/>
      <c r="E473" s="160"/>
      <c r="F473" s="160"/>
      <c r="G473" s="160"/>
      <c r="H473" s="161"/>
    </row>
    <row r="474" spans="2:8" ht="15" customHeight="1" x14ac:dyDescent="0.2">
      <c r="B474" s="163"/>
      <c r="C474" s="159"/>
      <c r="D474" s="160"/>
      <c r="E474" s="160"/>
      <c r="F474" s="160"/>
      <c r="G474" s="160"/>
      <c r="H474" s="161"/>
    </row>
    <row r="475" spans="2:8" ht="15" customHeight="1" x14ac:dyDescent="0.2">
      <c r="B475" s="163"/>
      <c r="C475" s="159"/>
      <c r="D475" s="160"/>
      <c r="E475" s="160"/>
      <c r="F475" s="160"/>
      <c r="G475" s="160"/>
      <c r="H475" s="161"/>
    </row>
    <row r="476" spans="2:8" ht="15" customHeight="1" x14ac:dyDescent="0.2">
      <c r="B476" s="163"/>
      <c r="C476" s="159"/>
      <c r="D476" s="160"/>
      <c r="E476" s="160"/>
      <c r="F476" s="160"/>
      <c r="G476" s="160"/>
      <c r="H476" s="161"/>
    </row>
    <row r="477" spans="2:8" ht="15" customHeight="1" x14ac:dyDescent="0.2">
      <c r="B477" s="163"/>
      <c r="C477" s="159"/>
      <c r="D477" s="160"/>
      <c r="E477" s="160"/>
      <c r="F477" s="160"/>
      <c r="G477" s="160"/>
      <c r="H477" s="161"/>
    </row>
    <row r="478" spans="2:8" ht="15" customHeight="1" x14ac:dyDescent="0.2">
      <c r="B478" s="163"/>
      <c r="C478" s="159"/>
      <c r="D478" s="160"/>
      <c r="E478" s="160"/>
      <c r="F478" s="160"/>
      <c r="G478" s="160"/>
      <c r="H478" s="161"/>
    </row>
    <row r="479" spans="2:8" ht="15" customHeight="1" x14ac:dyDescent="0.2">
      <c r="B479" s="163"/>
      <c r="C479" s="159"/>
      <c r="D479" s="160"/>
      <c r="E479" s="160"/>
      <c r="F479" s="160"/>
      <c r="G479" s="160"/>
      <c r="H479" s="161"/>
    </row>
    <row r="480" spans="2:8" ht="15" customHeight="1" x14ac:dyDescent="0.2">
      <c r="B480" s="163"/>
      <c r="C480" s="159"/>
      <c r="D480" s="160"/>
      <c r="E480" s="160"/>
      <c r="F480" s="160"/>
      <c r="G480" s="160"/>
      <c r="H480" s="161"/>
    </row>
    <row r="481" spans="2:8" ht="15" customHeight="1" x14ac:dyDescent="0.2">
      <c r="B481" s="163"/>
      <c r="C481" s="159"/>
      <c r="D481" s="160"/>
      <c r="E481" s="160"/>
      <c r="F481" s="160"/>
      <c r="G481" s="160"/>
      <c r="H481" s="161"/>
    </row>
    <row r="482" spans="2:8" ht="15" customHeight="1" x14ac:dyDescent="0.2">
      <c r="B482" s="163"/>
      <c r="C482" s="159"/>
      <c r="D482" s="160"/>
      <c r="E482" s="160"/>
      <c r="F482" s="160"/>
      <c r="G482" s="160"/>
      <c r="H482" s="161"/>
    </row>
    <row r="483" spans="2:8" ht="15" customHeight="1" x14ac:dyDescent="0.2">
      <c r="B483" s="163"/>
      <c r="C483" s="159"/>
      <c r="D483" s="160"/>
      <c r="E483" s="160"/>
      <c r="F483" s="160"/>
      <c r="G483" s="160"/>
      <c r="H483" s="161"/>
    </row>
    <row r="484" spans="2:8" ht="15" customHeight="1" x14ac:dyDescent="0.2">
      <c r="B484" s="163"/>
      <c r="C484" s="159"/>
      <c r="D484" s="160"/>
      <c r="E484" s="160"/>
      <c r="F484" s="160"/>
      <c r="G484" s="160"/>
      <c r="H484" s="161"/>
    </row>
    <row r="485" spans="2:8" ht="15" customHeight="1" x14ac:dyDescent="0.2">
      <c r="B485" s="163"/>
      <c r="C485" s="159"/>
      <c r="D485" s="160"/>
      <c r="E485" s="160"/>
      <c r="F485" s="160"/>
      <c r="G485" s="160"/>
      <c r="H485" s="161"/>
    </row>
    <row r="486" spans="2:8" ht="15" customHeight="1" x14ac:dyDescent="0.2">
      <c r="B486" s="163"/>
      <c r="C486" s="159"/>
      <c r="D486" s="160"/>
      <c r="E486" s="160"/>
      <c r="F486" s="160"/>
      <c r="G486" s="160"/>
      <c r="H486" s="161"/>
    </row>
    <row r="487" spans="2:8" ht="15" customHeight="1" x14ac:dyDescent="0.2">
      <c r="B487" s="163"/>
      <c r="C487" s="159"/>
      <c r="D487" s="160"/>
      <c r="E487" s="160"/>
      <c r="F487" s="160"/>
      <c r="G487" s="160"/>
      <c r="H487" s="161"/>
    </row>
    <row r="488" spans="2:8" ht="15" customHeight="1" x14ac:dyDescent="0.2">
      <c r="B488" s="163"/>
      <c r="C488" s="159"/>
      <c r="D488" s="160"/>
      <c r="E488" s="160"/>
      <c r="F488" s="160"/>
      <c r="G488" s="160"/>
      <c r="H488" s="161"/>
    </row>
    <row r="489" spans="2:8" ht="15" customHeight="1" x14ac:dyDescent="0.2">
      <c r="B489" s="163"/>
      <c r="C489" s="159"/>
      <c r="D489" s="160"/>
      <c r="E489" s="160"/>
      <c r="F489" s="160"/>
      <c r="G489" s="160"/>
      <c r="H489" s="161"/>
    </row>
    <row r="490" spans="2:8" ht="15" customHeight="1" x14ac:dyDescent="0.2">
      <c r="B490" s="163"/>
      <c r="C490" s="159"/>
      <c r="D490" s="160"/>
      <c r="E490" s="160"/>
      <c r="F490" s="160"/>
      <c r="G490" s="160"/>
      <c r="H490" s="161"/>
    </row>
    <row r="491" spans="2:8" ht="15" customHeight="1" x14ac:dyDescent="0.2">
      <c r="B491" s="163"/>
      <c r="C491" s="159"/>
      <c r="D491" s="160"/>
      <c r="E491" s="160"/>
      <c r="F491" s="160"/>
      <c r="G491" s="160"/>
      <c r="H491" s="161"/>
    </row>
    <row r="492" spans="2:8" ht="15" customHeight="1" x14ac:dyDescent="0.2">
      <c r="B492" s="163"/>
      <c r="C492" s="159"/>
      <c r="D492" s="160"/>
      <c r="E492" s="160"/>
      <c r="F492" s="160"/>
      <c r="G492" s="160"/>
      <c r="H492" s="161"/>
    </row>
    <row r="493" spans="2:8" ht="15" customHeight="1" x14ac:dyDescent="0.2">
      <c r="B493" s="163"/>
      <c r="C493" s="159"/>
      <c r="D493" s="160"/>
      <c r="E493" s="160"/>
      <c r="F493" s="160"/>
      <c r="G493" s="160"/>
      <c r="H493" s="161"/>
    </row>
    <row r="494" spans="2:8" ht="15" customHeight="1" x14ac:dyDescent="0.2">
      <c r="B494" s="163"/>
      <c r="C494" s="159"/>
      <c r="D494" s="160"/>
      <c r="E494" s="160"/>
      <c r="F494" s="160"/>
      <c r="G494" s="160"/>
      <c r="H494" s="161"/>
    </row>
    <row r="495" spans="2:8" ht="15" customHeight="1" x14ac:dyDescent="0.2">
      <c r="B495" s="163"/>
      <c r="C495" s="159"/>
      <c r="D495" s="160"/>
      <c r="E495" s="160"/>
      <c r="F495" s="160"/>
      <c r="G495" s="160"/>
      <c r="H495" s="161"/>
    </row>
    <row r="496" spans="2:8" ht="15" customHeight="1" x14ac:dyDescent="0.2">
      <c r="B496" s="163"/>
      <c r="C496" s="159"/>
      <c r="D496" s="160"/>
      <c r="E496" s="160"/>
      <c r="F496" s="160"/>
      <c r="G496" s="160"/>
      <c r="H496" s="161"/>
    </row>
    <row r="497" spans="2:8" ht="15" customHeight="1" x14ac:dyDescent="0.2">
      <c r="B497" s="163"/>
      <c r="C497" s="159"/>
      <c r="D497" s="160"/>
      <c r="E497" s="160"/>
      <c r="F497" s="160"/>
      <c r="G497" s="160"/>
      <c r="H497" s="161"/>
    </row>
    <row r="498" spans="2:8" ht="15" customHeight="1" x14ac:dyDescent="0.2">
      <c r="B498" s="163"/>
      <c r="C498" s="159"/>
      <c r="D498" s="160"/>
      <c r="E498" s="160"/>
      <c r="F498" s="160"/>
      <c r="G498" s="160"/>
      <c r="H498" s="161"/>
    </row>
    <row r="499" spans="2:8" ht="15" customHeight="1" x14ac:dyDescent="0.2">
      <c r="B499" s="163"/>
      <c r="C499" s="159"/>
      <c r="D499" s="160"/>
      <c r="E499" s="160"/>
      <c r="F499" s="160"/>
      <c r="G499" s="160"/>
      <c r="H499" s="161"/>
    </row>
    <row r="500" spans="2:8" ht="15" customHeight="1" x14ac:dyDescent="0.2">
      <c r="B500" s="163"/>
      <c r="C500" s="159"/>
      <c r="D500" s="160"/>
      <c r="E500" s="160"/>
      <c r="F500" s="160"/>
      <c r="G500" s="160"/>
      <c r="H500" s="161"/>
    </row>
    <row r="501" spans="2:8" ht="15" customHeight="1" x14ac:dyDescent="0.2">
      <c r="B501" s="163"/>
      <c r="C501" s="159"/>
      <c r="D501" s="160"/>
      <c r="E501" s="160"/>
      <c r="F501" s="160"/>
      <c r="G501" s="160"/>
      <c r="H501" s="161"/>
    </row>
    <row r="502" spans="2:8" ht="15" customHeight="1" x14ac:dyDescent="0.2">
      <c r="B502" s="163"/>
      <c r="C502" s="159"/>
      <c r="D502" s="160"/>
      <c r="E502" s="160"/>
      <c r="F502" s="160"/>
      <c r="G502" s="160"/>
      <c r="H502" s="161"/>
    </row>
    <row r="503" spans="2:8" ht="15" customHeight="1" x14ac:dyDescent="0.2">
      <c r="B503" s="163"/>
      <c r="C503" s="159"/>
      <c r="D503" s="160"/>
      <c r="E503" s="160"/>
      <c r="F503" s="160"/>
      <c r="G503" s="160"/>
      <c r="H503" s="161"/>
    </row>
    <row r="504" spans="2:8" ht="15" customHeight="1" x14ac:dyDescent="0.2">
      <c r="B504" s="163"/>
      <c r="C504" s="159"/>
      <c r="D504" s="160"/>
      <c r="E504" s="160"/>
      <c r="F504" s="160"/>
      <c r="G504" s="160"/>
      <c r="H504" s="161"/>
    </row>
    <row r="505" spans="2:8" ht="15" customHeight="1" x14ac:dyDescent="0.2">
      <c r="B505" s="163"/>
      <c r="C505" s="159"/>
      <c r="D505" s="160"/>
      <c r="E505" s="160"/>
      <c r="F505" s="160"/>
      <c r="G505" s="160"/>
      <c r="H505" s="161"/>
    </row>
    <row r="506" spans="2:8" ht="15" customHeight="1" x14ac:dyDescent="0.2">
      <c r="B506" s="163"/>
      <c r="C506" s="159"/>
      <c r="D506" s="160"/>
      <c r="E506" s="160"/>
      <c r="F506" s="160"/>
      <c r="G506" s="160"/>
      <c r="H506" s="161"/>
    </row>
    <row r="507" spans="2:8" ht="15" customHeight="1" x14ac:dyDescent="0.2">
      <c r="B507" s="163"/>
      <c r="C507" s="159"/>
      <c r="D507" s="160"/>
      <c r="E507" s="160"/>
      <c r="F507" s="160"/>
      <c r="G507" s="160"/>
      <c r="H507" s="161"/>
    </row>
    <row r="508" spans="2:8" ht="15" customHeight="1" x14ac:dyDescent="0.2">
      <c r="B508" s="163"/>
      <c r="C508" s="159"/>
      <c r="D508" s="160"/>
      <c r="E508" s="160"/>
      <c r="F508" s="160"/>
      <c r="G508" s="160"/>
      <c r="H508" s="161"/>
    </row>
    <row r="509" spans="2:8" ht="15" customHeight="1" x14ac:dyDescent="0.2">
      <c r="B509" s="163"/>
      <c r="C509" s="159"/>
      <c r="D509" s="160"/>
      <c r="E509" s="160"/>
      <c r="F509" s="160"/>
      <c r="G509" s="160"/>
      <c r="H509" s="161"/>
    </row>
    <row r="510" spans="2:8" ht="15" customHeight="1" x14ac:dyDescent="0.2">
      <c r="B510" s="163"/>
      <c r="C510" s="159"/>
      <c r="D510" s="160"/>
      <c r="E510" s="160"/>
      <c r="F510" s="160"/>
      <c r="G510" s="160"/>
      <c r="H510" s="161"/>
    </row>
    <row r="511" spans="2:8" ht="15" customHeight="1" x14ac:dyDescent="0.2">
      <c r="B511" s="163"/>
      <c r="C511" s="159"/>
      <c r="D511" s="160"/>
      <c r="E511" s="160"/>
      <c r="F511" s="160"/>
      <c r="G511" s="160"/>
      <c r="H511" s="161"/>
    </row>
    <row r="512" spans="2:8" ht="15" customHeight="1" x14ac:dyDescent="0.2">
      <c r="B512" s="163"/>
      <c r="C512" s="159"/>
      <c r="D512" s="160"/>
      <c r="E512" s="160"/>
      <c r="F512" s="160"/>
      <c r="G512" s="160"/>
      <c r="H512" s="161"/>
    </row>
    <row r="513" spans="2:8" ht="15" customHeight="1" x14ac:dyDescent="0.2">
      <c r="B513" s="163"/>
      <c r="C513" s="159"/>
      <c r="D513" s="160"/>
      <c r="E513" s="160"/>
      <c r="F513" s="160"/>
      <c r="G513" s="160"/>
      <c r="H513" s="161"/>
    </row>
    <row r="514" spans="2:8" ht="15" customHeight="1" x14ac:dyDescent="0.2">
      <c r="B514" s="163"/>
      <c r="C514" s="159"/>
      <c r="D514" s="160"/>
      <c r="E514" s="160"/>
      <c r="F514" s="160"/>
      <c r="G514" s="160"/>
      <c r="H514" s="161"/>
    </row>
    <row r="515" spans="2:8" ht="15" customHeight="1" x14ac:dyDescent="0.2">
      <c r="B515" s="163"/>
      <c r="C515" s="159"/>
      <c r="D515" s="160"/>
      <c r="E515" s="160"/>
      <c r="F515" s="160"/>
      <c r="G515" s="160"/>
      <c r="H515" s="161"/>
    </row>
    <row r="516" spans="2:8" ht="15" customHeight="1" x14ac:dyDescent="0.2">
      <c r="B516" s="163"/>
      <c r="C516" s="159"/>
      <c r="D516" s="160"/>
      <c r="E516" s="160"/>
      <c r="F516" s="160"/>
      <c r="G516" s="160"/>
      <c r="H516" s="161"/>
    </row>
    <row r="517" spans="2:8" ht="15" customHeight="1" x14ac:dyDescent="0.2">
      <c r="B517" s="163"/>
      <c r="C517" s="159"/>
      <c r="D517" s="160"/>
      <c r="E517" s="160"/>
      <c r="F517" s="160"/>
      <c r="G517" s="160"/>
      <c r="H517" s="161"/>
    </row>
    <row r="518" spans="2:8" ht="15" customHeight="1" x14ac:dyDescent="0.2">
      <c r="B518" s="163"/>
      <c r="C518" s="159"/>
      <c r="D518" s="160"/>
      <c r="E518" s="160"/>
      <c r="F518" s="160"/>
      <c r="G518" s="160"/>
      <c r="H518" s="161"/>
    </row>
    <row r="519" spans="2:8" ht="15" customHeight="1" x14ac:dyDescent="0.2">
      <c r="B519" s="163"/>
      <c r="C519" s="159"/>
      <c r="D519" s="160"/>
      <c r="E519" s="160"/>
      <c r="F519" s="160"/>
      <c r="G519" s="160"/>
      <c r="H519" s="161"/>
    </row>
    <row r="520" spans="2:8" ht="15" customHeight="1" x14ac:dyDescent="0.2">
      <c r="B520" s="163"/>
      <c r="C520" s="159"/>
      <c r="D520" s="160"/>
      <c r="E520" s="160"/>
      <c r="F520" s="160"/>
      <c r="G520" s="160"/>
      <c r="H520" s="161"/>
    </row>
    <row r="521" spans="2:8" ht="15" customHeight="1" x14ac:dyDescent="0.2">
      <c r="B521" s="163"/>
      <c r="C521" s="159"/>
      <c r="D521" s="160"/>
      <c r="E521" s="160"/>
      <c r="F521" s="160"/>
      <c r="G521" s="160"/>
      <c r="H521" s="161"/>
    </row>
    <row r="522" spans="2:8" ht="15" customHeight="1" x14ac:dyDescent="0.2">
      <c r="B522" s="163"/>
      <c r="C522" s="159"/>
      <c r="D522" s="160"/>
      <c r="E522" s="160"/>
      <c r="F522" s="160"/>
      <c r="G522" s="160"/>
      <c r="H522" s="161"/>
    </row>
    <row r="523" spans="2:8" ht="15" customHeight="1" x14ac:dyDescent="0.2">
      <c r="B523" s="163"/>
      <c r="C523" s="159"/>
      <c r="D523" s="160"/>
      <c r="E523" s="160"/>
      <c r="F523" s="160"/>
      <c r="G523" s="160"/>
      <c r="H523" s="161"/>
    </row>
    <row r="524" spans="2:8" ht="15" customHeight="1" x14ac:dyDescent="0.2">
      <c r="B524" s="163"/>
      <c r="C524" s="159"/>
      <c r="D524" s="160"/>
      <c r="E524" s="160"/>
      <c r="F524" s="160"/>
      <c r="G524" s="160"/>
      <c r="H524" s="161"/>
    </row>
    <row r="525" spans="2:8" ht="15" customHeight="1" x14ac:dyDescent="0.2">
      <c r="B525" s="163"/>
      <c r="C525" s="159"/>
      <c r="D525" s="160"/>
      <c r="E525" s="160"/>
      <c r="F525" s="160"/>
      <c r="G525" s="160"/>
      <c r="H525" s="161"/>
    </row>
    <row r="526" spans="2:8" ht="15" customHeight="1" x14ac:dyDescent="0.2">
      <c r="B526" s="163"/>
      <c r="C526" s="159"/>
      <c r="D526" s="160"/>
      <c r="E526" s="160"/>
      <c r="F526" s="160"/>
      <c r="G526" s="160"/>
      <c r="H526" s="161"/>
    </row>
    <row r="527" spans="2:8" ht="15" customHeight="1" x14ac:dyDescent="0.2">
      <c r="B527" s="163"/>
      <c r="C527" s="159"/>
      <c r="D527" s="160"/>
      <c r="E527" s="160"/>
      <c r="F527" s="160"/>
      <c r="G527" s="160"/>
      <c r="H527" s="161"/>
    </row>
    <row r="528" spans="2:8" ht="15" customHeight="1" x14ac:dyDescent="0.2">
      <c r="B528" s="163"/>
      <c r="C528" s="159"/>
      <c r="D528" s="160"/>
      <c r="E528" s="160"/>
      <c r="F528" s="160"/>
      <c r="G528" s="160"/>
      <c r="H528" s="161"/>
    </row>
    <row r="529" spans="2:8" ht="15" customHeight="1" x14ac:dyDescent="0.2">
      <c r="B529" s="163"/>
      <c r="C529" s="159"/>
      <c r="D529" s="160"/>
      <c r="E529" s="160"/>
      <c r="F529" s="160"/>
      <c r="G529" s="160"/>
      <c r="H529" s="161"/>
    </row>
    <row r="530" spans="2:8" ht="15" customHeight="1" x14ac:dyDescent="0.2">
      <c r="B530" s="163"/>
      <c r="C530" s="159"/>
      <c r="D530" s="160"/>
      <c r="E530" s="160"/>
      <c r="F530" s="160"/>
      <c r="G530" s="160"/>
      <c r="H530" s="161"/>
    </row>
    <row r="531" spans="2:8" ht="15" customHeight="1" x14ac:dyDescent="0.2">
      <c r="B531" s="163"/>
      <c r="C531" s="159"/>
      <c r="D531" s="160"/>
      <c r="E531" s="160"/>
      <c r="F531" s="160"/>
      <c r="G531" s="160"/>
      <c r="H531" s="161"/>
    </row>
    <row r="532" spans="2:8" ht="15" customHeight="1" x14ac:dyDescent="0.2">
      <c r="B532" s="163"/>
      <c r="C532" s="159"/>
      <c r="D532" s="160"/>
      <c r="E532" s="160"/>
      <c r="F532" s="160"/>
      <c r="G532" s="160"/>
      <c r="H532" s="161"/>
    </row>
    <row r="533" spans="2:8" ht="15" customHeight="1" x14ac:dyDescent="0.2">
      <c r="B533" s="163"/>
      <c r="C533" s="159"/>
      <c r="D533" s="160"/>
      <c r="E533" s="160"/>
      <c r="F533" s="160"/>
      <c r="G533" s="160"/>
      <c r="H533" s="161"/>
    </row>
    <row r="534" spans="2:8" ht="15" customHeight="1" x14ac:dyDescent="0.2">
      <c r="B534" s="163"/>
      <c r="C534" s="159"/>
      <c r="D534" s="160"/>
      <c r="E534" s="160"/>
      <c r="F534" s="160"/>
      <c r="G534" s="160"/>
      <c r="H534" s="161"/>
    </row>
    <row r="535" spans="2:8" ht="15" customHeight="1" x14ac:dyDescent="0.2">
      <c r="B535" s="163"/>
      <c r="C535" s="159"/>
      <c r="D535" s="160"/>
      <c r="E535" s="160"/>
      <c r="F535" s="160"/>
      <c r="G535" s="160"/>
      <c r="H535" s="161"/>
    </row>
    <row r="536" spans="2:8" ht="15" customHeight="1" x14ac:dyDescent="0.2">
      <c r="B536" s="163"/>
      <c r="C536" s="159"/>
      <c r="D536" s="160"/>
      <c r="E536" s="160"/>
      <c r="F536" s="160"/>
      <c r="G536" s="160"/>
      <c r="H536" s="161"/>
    </row>
    <row r="537" spans="2:8" ht="15" customHeight="1" x14ac:dyDescent="0.2">
      <c r="B537" s="163"/>
      <c r="C537" s="159"/>
      <c r="D537" s="160"/>
      <c r="E537" s="160"/>
      <c r="F537" s="160"/>
      <c r="G537" s="160"/>
      <c r="H537" s="161"/>
    </row>
    <row r="538" spans="2:8" ht="15" customHeight="1" x14ac:dyDescent="0.2">
      <c r="B538" s="163"/>
      <c r="C538" s="159"/>
      <c r="D538" s="160"/>
      <c r="E538" s="160"/>
      <c r="F538" s="160"/>
      <c r="G538" s="160"/>
      <c r="H538" s="161"/>
    </row>
    <row r="539" spans="2:8" ht="15" customHeight="1" x14ac:dyDescent="0.2">
      <c r="B539" s="163"/>
      <c r="C539" s="159"/>
      <c r="D539" s="160"/>
      <c r="E539" s="160"/>
      <c r="F539" s="160"/>
      <c r="G539" s="160"/>
      <c r="H539" s="161"/>
    </row>
    <row r="540" spans="2:8" ht="15" customHeight="1" x14ac:dyDescent="0.2">
      <c r="B540" s="163"/>
      <c r="C540" s="159"/>
      <c r="D540" s="160"/>
      <c r="E540" s="160"/>
      <c r="F540" s="160"/>
      <c r="G540" s="160"/>
      <c r="H540" s="161"/>
    </row>
    <row r="541" spans="2:8" ht="15" customHeight="1" x14ac:dyDescent="0.2">
      <c r="B541" s="163"/>
      <c r="C541" s="159"/>
      <c r="D541" s="160"/>
      <c r="E541" s="160"/>
      <c r="F541" s="160"/>
      <c r="G541" s="160"/>
      <c r="H541" s="161"/>
    </row>
    <row r="542" spans="2:8" ht="15" customHeight="1" x14ac:dyDescent="0.2">
      <c r="B542" s="163"/>
      <c r="C542" s="159"/>
      <c r="D542" s="160"/>
      <c r="E542" s="160"/>
      <c r="F542" s="160"/>
      <c r="G542" s="160"/>
      <c r="H542" s="161"/>
    </row>
    <row r="543" spans="2:8" ht="15" customHeight="1" x14ac:dyDescent="0.2">
      <c r="B543" s="163"/>
      <c r="C543" s="159"/>
      <c r="D543" s="160"/>
      <c r="E543" s="160"/>
      <c r="F543" s="160"/>
      <c r="G543" s="160"/>
      <c r="H543" s="161"/>
    </row>
    <row r="544" spans="2:8" ht="15" customHeight="1" x14ac:dyDescent="0.2">
      <c r="B544" s="163"/>
      <c r="C544" s="159"/>
      <c r="D544" s="160"/>
      <c r="E544" s="160"/>
      <c r="F544" s="160"/>
      <c r="G544" s="160"/>
      <c r="H544" s="161"/>
    </row>
    <row r="545" spans="2:8" ht="15" customHeight="1" x14ac:dyDescent="0.2">
      <c r="B545" s="163"/>
      <c r="C545" s="159"/>
      <c r="D545" s="160"/>
      <c r="E545" s="160"/>
      <c r="F545" s="160"/>
      <c r="G545" s="160"/>
      <c r="H545" s="161"/>
    </row>
    <row r="546" spans="2:8" ht="15" customHeight="1" x14ac:dyDescent="0.2">
      <c r="B546" s="163"/>
      <c r="C546" s="159"/>
      <c r="D546" s="160"/>
      <c r="E546" s="160"/>
      <c r="F546" s="160"/>
      <c r="G546" s="160"/>
      <c r="H546" s="161"/>
    </row>
    <row r="547" spans="2:8" ht="15" customHeight="1" x14ac:dyDescent="0.2">
      <c r="B547" s="163"/>
      <c r="C547" s="159"/>
      <c r="D547" s="160"/>
      <c r="E547" s="160"/>
      <c r="F547" s="160"/>
      <c r="G547" s="160"/>
      <c r="H547" s="161"/>
    </row>
    <row r="548" spans="2:8" ht="15" customHeight="1" x14ac:dyDescent="0.2">
      <c r="B548" s="163"/>
      <c r="C548" s="159"/>
      <c r="D548" s="160"/>
      <c r="E548" s="160"/>
      <c r="F548" s="160"/>
      <c r="G548" s="160"/>
      <c r="H548" s="161"/>
    </row>
    <row r="549" spans="2:8" ht="15" customHeight="1" x14ac:dyDescent="0.2">
      <c r="B549" s="163"/>
      <c r="C549" s="159"/>
      <c r="D549" s="160"/>
      <c r="E549" s="160"/>
      <c r="F549" s="160"/>
      <c r="G549" s="160"/>
      <c r="H549" s="161"/>
    </row>
    <row r="550" spans="2:8" ht="15" customHeight="1" x14ac:dyDescent="0.2">
      <c r="B550" s="163"/>
      <c r="C550" s="159"/>
      <c r="D550" s="160"/>
      <c r="E550" s="160"/>
      <c r="F550" s="160"/>
      <c r="G550" s="160"/>
      <c r="H550" s="161"/>
    </row>
    <row r="551" spans="2:8" ht="15" customHeight="1" x14ac:dyDescent="0.2">
      <c r="B551" s="163"/>
      <c r="C551" s="159"/>
      <c r="D551" s="160"/>
      <c r="E551" s="160"/>
      <c r="F551" s="160"/>
      <c r="G551" s="160"/>
      <c r="H551" s="161"/>
    </row>
    <row r="552" spans="2:8" ht="15" customHeight="1" x14ac:dyDescent="0.2">
      <c r="B552" s="163"/>
      <c r="C552" s="159"/>
      <c r="D552" s="160"/>
      <c r="E552" s="160"/>
      <c r="F552" s="160"/>
      <c r="G552" s="160"/>
      <c r="H552" s="161"/>
    </row>
    <row r="553" spans="2:8" ht="15" customHeight="1" x14ac:dyDescent="0.2">
      <c r="B553" s="163"/>
      <c r="C553" s="159"/>
      <c r="D553" s="160"/>
      <c r="E553" s="160"/>
      <c r="F553" s="160"/>
      <c r="G553" s="160"/>
      <c r="H553" s="161"/>
    </row>
    <row r="554" spans="2:8" ht="15" customHeight="1" x14ac:dyDescent="0.2">
      <c r="B554" s="163"/>
      <c r="C554" s="159"/>
      <c r="D554" s="160"/>
      <c r="E554" s="160"/>
      <c r="F554" s="160"/>
      <c r="G554" s="160"/>
      <c r="H554" s="161"/>
    </row>
    <row r="555" spans="2:8" ht="15" customHeight="1" x14ac:dyDescent="0.2">
      <c r="B555" s="163"/>
      <c r="C555" s="159"/>
      <c r="D555" s="160"/>
      <c r="E555" s="160"/>
      <c r="F555" s="160"/>
      <c r="G555" s="160"/>
      <c r="H555" s="161"/>
    </row>
    <row r="556" spans="2:8" ht="15" customHeight="1" x14ac:dyDescent="0.2">
      <c r="B556" s="163"/>
      <c r="C556" s="159"/>
      <c r="D556" s="160"/>
      <c r="E556" s="160"/>
      <c r="F556" s="160"/>
      <c r="G556" s="160"/>
      <c r="H556" s="161"/>
    </row>
    <row r="557" spans="2:8" ht="15" customHeight="1" x14ac:dyDescent="0.2">
      <c r="B557" s="163"/>
      <c r="C557" s="159"/>
      <c r="D557" s="160"/>
      <c r="E557" s="160"/>
      <c r="F557" s="160"/>
      <c r="G557" s="160"/>
      <c r="H557" s="161"/>
    </row>
    <row r="558" spans="2:8" ht="15" customHeight="1" x14ac:dyDescent="0.2">
      <c r="B558" s="163"/>
      <c r="C558" s="159"/>
      <c r="D558" s="160"/>
      <c r="E558" s="160"/>
      <c r="F558" s="160"/>
      <c r="G558" s="160"/>
      <c r="H558" s="161"/>
    </row>
    <row r="559" spans="2:8" ht="15" customHeight="1" x14ac:dyDescent="0.2">
      <c r="B559" s="163"/>
      <c r="C559" s="159"/>
      <c r="D559" s="160"/>
      <c r="E559" s="160"/>
      <c r="F559" s="160"/>
      <c r="G559" s="160"/>
      <c r="H559" s="161"/>
    </row>
    <row r="560" spans="2:8" ht="15" customHeight="1" x14ac:dyDescent="0.2">
      <c r="B560" s="163"/>
      <c r="C560" s="159"/>
      <c r="D560" s="160"/>
      <c r="E560" s="160"/>
      <c r="F560" s="160"/>
      <c r="G560" s="160"/>
      <c r="H560" s="161"/>
    </row>
    <row r="561" spans="2:8" ht="15" customHeight="1" x14ac:dyDescent="0.2">
      <c r="B561" s="163"/>
      <c r="C561" s="159"/>
      <c r="D561" s="160"/>
      <c r="E561" s="160"/>
      <c r="F561" s="160"/>
      <c r="G561" s="160"/>
      <c r="H561" s="161"/>
    </row>
    <row r="562" spans="2:8" ht="15" customHeight="1" x14ac:dyDescent="0.2">
      <c r="B562" s="163"/>
      <c r="C562" s="159"/>
      <c r="D562" s="160"/>
      <c r="E562" s="160"/>
      <c r="F562" s="160"/>
      <c r="G562" s="160"/>
      <c r="H562" s="161"/>
    </row>
    <row r="563" spans="2:8" ht="15" customHeight="1" x14ac:dyDescent="0.2">
      <c r="B563" s="163"/>
      <c r="C563" s="159"/>
      <c r="D563" s="160"/>
      <c r="E563" s="160"/>
      <c r="F563" s="160"/>
      <c r="G563" s="160"/>
      <c r="H563" s="161"/>
    </row>
    <row r="564" spans="2:8" ht="15" customHeight="1" x14ac:dyDescent="0.2">
      <c r="B564" s="163"/>
      <c r="C564" s="159"/>
      <c r="D564" s="160"/>
      <c r="E564" s="160"/>
      <c r="F564" s="160"/>
      <c r="G564" s="160"/>
      <c r="H564" s="161"/>
    </row>
    <row r="565" spans="2:8" ht="15" customHeight="1" x14ac:dyDescent="0.2">
      <c r="B565" s="163"/>
      <c r="C565" s="159"/>
      <c r="D565" s="160"/>
      <c r="E565" s="160"/>
      <c r="F565" s="160"/>
      <c r="G565" s="160"/>
      <c r="H565" s="161"/>
    </row>
    <row r="566" spans="2:8" ht="15" customHeight="1" x14ac:dyDescent="0.2">
      <c r="B566" s="163"/>
      <c r="C566" s="159"/>
      <c r="D566" s="160"/>
      <c r="E566" s="160"/>
      <c r="F566" s="160"/>
      <c r="G566" s="160"/>
      <c r="H566" s="161"/>
    </row>
    <row r="567" spans="2:8" ht="15" customHeight="1" x14ac:dyDescent="0.2">
      <c r="B567" s="163"/>
      <c r="C567" s="159"/>
      <c r="D567" s="160"/>
      <c r="E567" s="160"/>
      <c r="F567" s="160"/>
      <c r="G567" s="160"/>
      <c r="H567" s="161"/>
    </row>
    <row r="568" spans="2:8" ht="15" customHeight="1" x14ac:dyDescent="0.2">
      <c r="B568" s="163"/>
      <c r="C568" s="159"/>
      <c r="D568" s="160"/>
      <c r="E568" s="160"/>
      <c r="F568" s="160"/>
      <c r="G568" s="160"/>
      <c r="H568" s="161"/>
    </row>
    <row r="569" spans="2:8" ht="15" customHeight="1" x14ac:dyDescent="0.2">
      <c r="B569" s="163"/>
      <c r="C569" s="159"/>
      <c r="D569" s="160"/>
      <c r="E569" s="160"/>
      <c r="F569" s="160"/>
      <c r="G569" s="160"/>
      <c r="H569" s="161"/>
    </row>
    <row r="570" spans="2:8" ht="15" customHeight="1" x14ac:dyDescent="0.2">
      <c r="B570" s="163"/>
      <c r="C570" s="159"/>
      <c r="D570" s="160"/>
      <c r="E570" s="160"/>
      <c r="F570" s="160"/>
      <c r="G570" s="160"/>
      <c r="H570" s="161"/>
    </row>
    <row r="571" spans="2:8" ht="15" customHeight="1" x14ac:dyDescent="0.2">
      <c r="B571" s="163"/>
      <c r="C571" s="159"/>
      <c r="D571" s="160"/>
      <c r="E571" s="160"/>
      <c r="F571" s="160"/>
      <c r="G571" s="160"/>
      <c r="H571" s="161"/>
    </row>
    <row r="572" spans="2:8" ht="15" customHeight="1" x14ac:dyDescent="0.2">
      <c r="B572" s="163"/>
      <c r="C572" s="159"/>
      <c r="D572" s="160"/>
      <c r="E572" s="160"/>
      <c r="F572" s="160"/>
      <c r="G572" s="160"/>
      <c r="H572" s="161"/>
    </row>
    <row r="573" spans="2:8" ht="15" customHeight="1" x14ac:dyDescent="0.2">
      <c r="B573" s="163"/>
      <c r="C573" s="159"/>
      <c r="D573" s="160"/>
      <c r="E573" s="160"/>
      <c r="F573" s="160"/>
      <c r="G573" s="160"/>
      <c r="H573" s="161"/>
    </row>
    <row r="574" spans="2:8" ht="15" customHeight="1" x14ac:dyDescent="0.2">
      <c r="B574" s="163"/>
      <c r="C574" s="159"/>
      <c r="D574" s="160"/>
      <c r="E574" s="160"/>
      <c r="F574" s="160"/>
      <c r="G574" s="160"/>
      <c r="H574" s="161"/>
    </row>
    <row r="575" spans="2:8" ht="15" customHeight="1" x14ac:dyDescent="0.2">
      <c r="B575" s="163"/>
      <c r="C575" s="159"/>
      <c r="D575" s="160"/>
      <c r="E575" s="160"/>
      <c r="F575" s="160"/>
      <c r="G575" s="160"/>
      <c r="H575" s="161"/>
    </row>
    <row r="576" spans="2:8" ht="15" customHeight="1" x14ac:dyDescent="0.2">
      <c r="B576" s="163"/>
      <c r="C576" s="159"/>
      <c r="D576" s="160"/>
      <c r="E576" s="160"/>
      <c r="F576" s="160"/>
      <c r="G576" s="160"/>
      <c r="H576" s="161"/>
    </row>
    <row r="577" spans="2:8" ht="15" customHeight="1" x14ac:dyDescent="0.2">
      <c r="B577" s="163"/>
      <c r="C577" s="159"/>
      <c r="D577" s="160"/>
      <c r="E577" s="160"/>
      <c r="F577" s="160"/>
      <c r="G577" s="160"/>
      <c r="H577" s="161"/>
    </row>
    <row r="578" spans="2:8" ht="15" customHeight="1" x14ac:dyDescent="0.2">
      <c r="B578" s="163"/>
      <c r="C578" s="159"/>
      <c r="D578" s="160"/>
      <c r="E578" s="160"/>
      <c r="F578" s="160"/>
      <c r="G578" s="160"/>
      <c r="H578" s="161"/>
    </row>
    <row r="579" spans="2:8" ht="15" customHeight="1" x14ac:dyDescent="0.2">
      <c r="B579" s="163"/>
      <c r="C579" s="159"/>
      <c r="D579" s="160"/>
      <c r="E579" s="160"/>
      <c r="F579" s="160"/>
      <c r="G579" s="160"/>
      <c r="H579" s="161"/>
    </row>
    <row r="580" spans="2:8" ht="15" customHeight="1" x14ac:dyDescent="0.2">
      <c r="B580" s="163"/>
      <c r="C580" s="159"/>
      <c r="D580" s="160"/>
      <c r="E580" s="160"/>
      <c r="F580" s="160"/>
      <c r="G580" s="160"/>
      <c r="H580" s="161"/>
    </row>
    <row r="581" spans="2:8" ht="15" customHeight="1" x14ac:dyDescent="0.2">
      <c r="B581" s="163"/>
      <c r="C581" s="159"/>
      <c r="D581" s="160"/>
      <c r="E581" s="160"/>
      <c r="F581" s="160"/>
      <c r="G581" s="160"/>
      <c r="H581" s="161"/>
    </row>
    <row r="582" spans="2:8" ht="15" customHeight="1" x14ac:dyDescent="0.2">
      <c r="B582" s="163"/>
      <c r="C582" s="159"/>
      <c r="D582" s="160"/>
      <c r="E582" s="160"/>
      <c r="F582" s="160"/>
      <c r="G582" s="160"/>
      <c r="H582" s="161"/>
    </row>
    <row r="583" spans="2:8" ht="15" customHeight="1" x14ac:dyDescent="0.2">
      <c r="B583" s="163"/>
      <c r="C583" s="159"/>
      <c r="D583" s="160"/>
      <c r="E583" s="160"/>
      <c r="F583" s="160"/>
      <c r="G583" s="160"/>
      <c r="H583" s="161"/>
    </row>
    <row r="584" spans="2:8" ht="15" customHeight="1" x14ac:dyDescent="0.2">
      <c r="B584" s="163"/>
      <c r="C584" s="159"/>
      <c r="D584" s="160"/>
      <c r="E584" s="160"/>
      <c r="F584" s="160"/>
      <c r="G584" s="160"/>
      <c r="H584" s="161"/>
    </row>
    <row r="585" spans="2:8" ht="15" customHeight="1" x14ac:dyDescent="0.2">
      <c r="B585" s="163"/>
      <c r="C585" s="159"/>
      <c r="D585" s="160"/>
      <c r="E585" s="160"/>
      <c r="F585" s="160"/>
      <c r="G585" s="160"/>
      <c r="H585" s="161"/>
    </row>
    <row r="586" spans="2:8" ht="15" customHeight="1" x14ac:dyDescent="0.2">
      <c r="B586" s="163"/>
      <c r="C586" s="159"/>
      <c r="D586" s="160"/>
      <c r="E586" s="160"/>
      <c r="F586" s="160"/>
      <c r="G586" s="160"/>
      <c r="H586" s="161"/>
    </row>
    <row r="587" spans="2:8" ht="15" customHeight="1" x14ac:dyDescent="0.2">
      <c r="B587" s="163"/>
      <c r="C587" s="159"/>
      <c r="D587" s="160"/>
      <c r="E587" s="160"/>
      <c r="F587" s="160"/>
      <c r="G587" s="160"/>
      <c r="H587" s="161"/>
    </row>
    <row r="588" spans="2:8" ht="15" customHeight="1" x14ac:dyDescent="0.2">
      <c r="B588" s="163"/>
      <c r="C588" s="159"/>
      <c r="D588" s="160"/>
      <c r="E588" s="160"/>
      <c r="F588" s="160"/>
      <c r="G588" s="160"/>
      <c r="H588" s="161"/>
    </row>
    <row r="589" spans="2:8" ht="15" customHeight="1" x14ac:dyDescent="0.2">
      <c r="B589" s="163"/>
      <c r="C589" s="159"/>
      <c r="D589" s="160"/>
      <c r="E589" s="160"/>
      <c r="F589" s="160"/>
      <c r="G589" s="160"/>
      <c r="H589" s="161"/>
    </row>
    <row r="590" spans="2:8" ht="15" customHeight="1" x14ac:dyDescent="0.2">
      <c r="B590" s="163"/>
      <c r="C590" s="159"/>
      <c r="D590" s="160"/>
      <c r="E590" s="160"/>
      <c r="F590" s="160"/>
      <c r="G590" s="160"/>
      <c r="H590" s="161"/>
    </row>
    <row r="591" spans="2:8" ht="15" customHeight="1" x14ac:dyDescent="0.2">
      <c r="B591" s="163"/>
      <c r="C591" s="159"/>
      <c r="D591" s="160"/>
      <c r="E591" s="160"/>
      <c r="F591" s="160"/>
      <c r="G591" s="160"/>
      <c r="H591" s="161"/>
    </row>
    <row r="592" spans="2:8" ht="15" customHeight="1" x14ac:dyDescent="0.2">
      <c r="B592" s="163"/>
      <c r="C592" s="159"/>
      <c r="D592" s="160"/>
      <c r="E592" s="160"/>
      <c r="F592" s="160"/>
      <c r="G592" s="160"/>
      <c r="H592" s="161"/>
    </row>
    <row r="593" spans="2:8" ht="15" customHeight="1" x14ac:dyDescent="0.2">
      <c r="B593" s="163"/>
      <c r="C593" s="159"/>
      <c r="D593" s="160"/>
      <c r="E593" s="160"/>
      <c r="F593" s="160"/>
      <c r="G593" s="160"/>
      <c r="H593" s="161"/>
    </row>
    <row r="594" spans="2:8" ht="15" customHeight="1" x14ac:dyDescent="0.2">
      <c r="B594" s="163"/>
      <c r="C594" s="159"/>
      <c r="D594" s="160"/>
      <c r="E594" s="160"/>
      <c r="F594" s="160"/>
      <c r="G594" s="160"/>
      <c r="H594" s="161"/>
    </row>
    <row r="595" spans="2:8" ht="15" customHeight="1" x14ac:dyDescent="0.2">
      <c r="B595" s="163"/>
      <c r="C595" s="159"/>
      <c r="D595" s="160"/>
      <c r="E595" s="160"/>
      <c r="F595" s="160"/>
      <c r="G595" s="160"/>
      <c r="H595" s="161"/>
    </row>
    <row r="596" spans="2:8" ht="15" customHeight="1" x14ac:dyDescent="0.2">
      <c r="B596" s="163"/>
      <c r="C596" s="159"/>
      <c r="D596" s="160"/>
      <c r="E596" s="160"/>
      <c r="F596" s="160"/>
      <c r="G596" s="160"/>
      <c r="H596" s="161"/>
    </row>
    <row r="597" spans="2:8" ht="15" customHeight="1" x14ac:dyDescent="0.2">
      <c r="B597" s="163"/>
      <c r="C597" s="159"/>
      <c r="D597" s="160"/>
      <c r="E597" s="160"/>
      <c r="F597" s="160"/>
      <c r="G597" s="160"/>
      <c r="H597" s="161"/>
    </row>
    <row r="598" spans="2:8" ht="15" customHeight="1" x14ac:dyDescent="0.2">
      <c r="B598" s="163"/>
      <c r="C598" s="159"/>
      <c r="D598" s="160"/>
      <c r="E598" s="160"/>
      <c r="F598" s="160"/>
      <c r="G598" s="160"/>
      <c r="H598" s="161"/>
    </row>
    <row r="599" spans="2:8" ht="15" customHeight="1" x14ac:dyDescent="0.2">
      <c r="B599" s="163"/>
      <c r="C599" s="159"/>
      <c r="D599" s="160"/>
      <c r="E599" s="160"/>
      <c r="F599" s="160"/>
      <c r="G599" s="160"/>
      <c r="H599" s="161"/>
    </row>
    <row r="600" spans="2:8" ht="15" customHeight="1" x14ac:dyDescent="0.2">
      <c r="B600" s="163"/>
      <c r="C600" s="159"/>
      <c r="D600" s="160"/>
      <c r="E600" s="160"/>
      <c r="F600" s="160"/>
      <c r="G600" s="160"/>
      <c r="H600" s="161"/>
    </row>
    <row r="601" spans="2:8" ht="15" customHeight="1" x14ac:dyDescent="0.2">
      <c r="B601" s="163"/>
      <c r="C601" s="159"/>
      <c r="D601" s="160"/>
      <c r="E601" s="160"/>
      <c r="F601" s="160"/>
      <c r="G601" s="160"/>
      <c r="H601" s="161"/>
    </row>
    <row r="602" spans="2:8" ht="15" customHeight="1" x14ac:dyDescent="0.2">
      <c r="B602" s="163"/>
      <c r="C602" s="159"/>
      <c r="D602" s="160"/>
      <c r="E602" s="160"/>
      <c r="F602" s="160"/>
      <c r="G602" s="160"/>
      <c r="H602" s="161"/>
    </row>
    <row r="603" spans="2:8" ht="15" customHeight="1" x14ac:dyDescent="0.2">
      <c r="B603" s="163"/>
      <c r="C603" s="159"/>
      <c r="D603" s="160"/>
      <c r="E603" s="160"/>
      <c r="F603" s="160"/>
      <c r="G603" s="160"/>
      <c r="H603" s="161"/>
    </row>
    <row r="604" spans="2:8" ht="15" customHeight="1" x14ac:dyDescent="0.2">
      <c r="B604" s="163"/>
      <c r="C604" s="159"/>
      <c r="D604" s="160"/>
      <c r="E604" s="160"/>
      <c r="F604" s="160"/>
      <c r="G604" s="160"/>
      <c r="H604" s="161"/>
    </row>
    <row r="605" spans="2:8" ht="15" customHeight="1" x14ac:dyDescent="0.2">
      <c r="B605" s="163"/>
      <c r="C605" s="159"/>
      <c r="D605" s="160"/>
      <c r="E605" s="160"/>
      <c r="F605" s="160"/>
      <c r="G605" s="160"/>
      <c r="H605" s="161"/>
    </row>
    <row r="606" spans="2:8" ht="15" customHeight="1" x14ac:dyDescent="0.2">
      <c r="B606" s="163"/>
      <c r="C606" s="159"/>
      <c r="D606" s="160"/>
      <c r="E606" s="160"/>
      <c r="F606" s="160"/>
      <c r="G606" s="160"/>
      <c r="H606" s="161"/>
    </row>
    <row r="607" spans="2:8" ht="15" customHeight="1" x14ac:dyDescent="0.2">
      <c r="B607" s="163"/>
      <c r="C607" s="159"/>
      <c r="D607" s="160"/>
      <c r="E607" s="160"/>
      <c r="F607" s="160"/>
      <c r="G607" s="160"/>
      <c r="H607" s="161"/>
    </row>
    <row r="608" spans="2:8" ht="15" customHeight="1" x14ac:dyDescent="0.2">
      <c r="B608" s="163"/>
      <c r="C608" s="159"/>
      <c r="D608" s="160"/>
      <c r="E608" s="160"/>
      <c r="F608" s="160"/>
      <c r="G608" s="160"/>
      <c r="H608" s="161"/>
    </row>
    <row r="609" spans="2:8" ht="15" customHeight="1" x14ac:dyDescent="0.2">
      <c r="B609" s="163"/>
      <c r="C609" s="159"/>
      <c r="D609" s="160"/>
      <c r="E609" s="160"/>
      <c r="F609" s="160"/>
      <c r="G609" s="160"/>
      <c r="H609" s="161"/>
    </row>
    <row r="610" spans="2:8" ht="15" customHeight="1" x14ac:dyDescent="0.2">
      <c r="B610" s="163"/>
      <c r="C610" s="159"/>
      <c r="D610" s="160"/>
      <c r="E610" s="160"/>
      <c r="F610" s="160"/>
      <c r="G610" s="160"/>
      <c r="H610" s="161"/>
    </row>
    <row r="611" spans="2:8" ht="15" customHeight="1" x14ac:dyDescent="0.2">
      <c r="B611" s="163"/>
      <c r="C611" s="159"/>
      <c r="D611" s="160"/>
      <c r="E611" s="160"/>
      <c r="F611" s="160"/>
      <c r="G611" s="160"/>
      <c r="H611" s="161"/>
    </row>
    <row r="612" spans="2:8" ht="15" customHeight="1" x14ac:dyDescent="0.2">
      <c r="B612" s="163"/>
      <c r="C612" s="159"/>
      <c r="D612" s="160"/>
      <c r="E612" s="160"/>
      <c r="F612" s="160"/>
      <c r="G612" s="160"/>
      <c r="H612" s="161"/>
    </row>
    <row r="613" spans="2:8" ht="15" customHeight="1" x14ac:dyDescent="0.2">
      <c r="B613" s="163"/>
      <c r="C613" s="159"/>
      <c r="D613" s="160"/>
      <c r="E613" s="160"/>
      <c r="F613" s="160"/>
      <c r="G613" s="160"/>
      <c r="H613" s="161"/>
    </row>
    <row r="614" spans="2:8" ht="15" customHeight="1" x14ac:dyDescent="0.2">
      <c r="B614" s="163"/>
      <c r="C614" s="159"/>
      <c r="D614" s="160"/>
      <c r="E614" s="160"/>
      <c r="F614" s="160"/>
      <c r="G614" s="160"/>
      <c r="H614" s="161"/>
    </row>
    <row r="615" spans="2:8" ht="15" customHeight="1" x14ac:dyDescent="0.2">
      <c r="B615" s="163"/>
      <c r="C615" s="159"/>
      <c r="D615" s="160"/>
      <c r="E615" s="160"/>
      <c r="F615" s="160"/>
      <c r="G615" s="160"/>
      <c r="H615" s="161"/>
    </row>
    <row r="616" spans="2:8" ht="15" customHeight="1" x14ac:dyDescent="0.2">
      <c r="B616" s="163"/>
      <c r="C616" s="159"/>
      <c r="D616" s="160"/>
      <c r="E616" s="160"/>
      <c r="F616" s="160"/>
      <c r="G616" s="160"/>
      <c r="H616" s="161"/>
    </row>
    <row r="617" spans="2:8" ht="15" customHeight="1" x14ac:dyDescent="0.2">
      <c r="B617" s="163"/>
      <c r="C617" s="159"/>
      <c r="D617" s="160"/>
      <c r="E617" s="160"/>
      <c r="F617" s="160"/>
      <c r="G617" s="160"/>
      <c r="H617" s="161"/>
    </row>
    <row r="618" spans="2:8" ht="15" customHeight="1" x14ac:dyDescent="0.2">
      <c r="B618" s="163"/>
      <c r="C618" s="159"/>
      <c r="D618" s="160"/>
      <c r="E618" s="160"/>
      <c r="F618" s="160"/>
      <c r="G618" s="160"/>
      <c r="H618" s="161"/>
    </row>
    <row r="619" spans="2:8" ht="15" customHeight="1" x14ac:dyDescent="0.2">
      <c r="B619" s="163"/>
      <c r="C619" s="159"/>
      <c r="D619" s="160"/>
      <c r="E619" s="160"/>
      <c r="F619" s="160"/>
      <c r="G619" s="160"/>
      <c r="H619" s="161"/>
    </row>
    <row r="620" spans="2:8" ht="15" customHeight="1" x14ac:dyDescent="0.2">
      <c r="B620" s="163"/>
      <c r="C620" s="159"/>
      <c r="D620" s="160"/>
      <c r="E620" s="160"/>
      <c r="F620" s="160"/>
      <c r="G620" s="160"/>
      <c r="H620" s="161"/>
    </row>
    <row r="621" spans="2:8" ht="15" customHeight="1" x14ac:dyDescent="0.2">
      <c r="B621" s="163"/>
      <c r="C621" s="159"/>
      <c r="D621" s="160"/>
      <c r="E621" s="160"/>
      <c r="F621" s="160"/>
      <c r="G621" s="160"/>
      <c r="H621" s="161"/>
    </row>
    <row r="622" spans="2:8" ht="15" customHeight="1" x14ac:dyDescent="0.2">
      <c r="B622" s="163"/>
      <c r="C622" s="159"/>
      <c r="D622" s="160"/>
      <c r="E622" s="160"/>
      <c r="F622" s="160"/>
      <c r="G622" s="160"/>
      <c r="H622" s="161"/>
    </row>
    <row r="623" spans="2:8" ht="15" customHeight="1" x14ac:dyDescent="0.2">
      <c r="B623" s="163"/>
      <c r="C623" s="159"/>
      <c r="D623" s="160"/>
      <c r="E623" s="160"/>
      <c r="F623" s="160"/>
      <c r="G623" s="160"/>
      <c r="H623" s="161"/>
    </row>
    <row r="624" spans="2:8" ht="15" customHeight="1" x14ac:dyDescent="0.2">
      <c r="B624" s="163"/>
      <c r="C624" s="159"/>
      <c r="D624" s="160"/>
      <c r="E624" s="160"/>
      <c r="F624" s="160"/>
      <c r="G624" s="160"/>
      <c r="H624" s="161"/>
    </row>
    <row r="625" spans="2:8" ht="15" customHeight="1" x14ac:dyDescent="0.2">
      <c r="B625" s="163"/>
      <c r="C625" s="159"/>
      <c r="D625" s="160"/>
      <c r="E625" s="160"/>
      <c r="F625" s="160"/>
      <c r="G625" s="160"/>
      <c r="H625" s="161"/>
    </row>
    <row r="626" spans="2:8" ht="15" customHeight="1" x14ac:dyDescent="0.2">
      <c r="B626" s="163"/>
      <c r="C626" s="159"/>
      <c r="D626" s="160"/>
      <c r="E626" s="160"/>
      <c r="F626" s="160"/>
      <c r="G626" s="160"/>
      <c r="H626" s="161"/>
    </row>
    <row r="627" spans="2:8" ht="15" customHeight="1" x14ac:dyDescent="0.2">
      <c r="B627" s="163"/>
      <c r="C627" s="159"/>
      <c r="D627" s="160"/>
      <c r="E627" s="160"/>
      <c r="F627" s="160"/>
      <c r="G627" s="160"/>
      <c r="H627" s="161"/>
    </row>
    <row r="628" spans="2:8" ht="15" customHeight="1" x14ac:dyDescent="0.2">
      <c r="B628" s="163"/>
      <c r="C628" s="159"/>
      <c r="D628" s="160"/>
      <c r="E628" s="160"/>
      <c r="F628" s="160"/>
      <c r="G628" s="160"/>
      <c r="H628" s="161"/>
    </row>
    <row r="629" spans="2:8" ht="15" customHeight="1" x14ac:dyDescent="0.2">
      <c r="B629" s="163"/>
      <c r="C629" s="159"/>
      <c r="D629" s="160"/>
      <c r="E629" s="160"/>
      <c r="F629" s="160"/>
      <c r="G629" s="160"/>
      <c r="H629" s="161"/>
    </row>
    <row r="630" spans="2:8" ht="15" customHeight="1" x14ac:dyDescent="0.2">
      <c r="B630" s="163"/>
      <c r="C630" s="159"/>
      <c r="D630" s="160"/>
      <c r="E630" s="160"/>
      <c r="F630" s="160"/>
      <c r="G630" s="160"/>
      <c r="H630" s="161"/>
    </row>
    <row r="631" spans="2:8" ht="15" customHeight="1" x14ac:dyDescent="0.2">
      <c r="B631" s="163"/>
      <c r="C631" s="159"/>
      <c r="D631" s="160"/>
      <c r="E631" s="160"/>
      <c r="F631" s="160"/>
      <c r="G631" s="160"/>
      <c r="H631" s="161"/>
    </row>
    <row r="632" spans="2:8" ht="15" customHeight="1" x14ac:dyDescent="0.2">
      <c r="B632" s="163"/>
      <c r="C632" s="159"/>
      <c r="D632" s="160"/>
      <c r="E632" s="160"/>
      <c r="F632" s="160"/>
      <c r="G632" s="160"/>
      <c r="H632" s="161"/>
    </row>
    <row r="633" spans="2:8" ht="15" customHeight="1" x14ac:dyDescent="0.2">
      <c r="B633" s="163"/>
      <c r="C633" s="159"/>
      <c r="D633" s="160"/>
      <c r="E633" s="160"/>
      <c r="F633" s="160"/>
      <c r="G633" s="160"/>
      <c r="H633" s="161"/>
    </row>
    <row r="634" spans="2:8" ht="15" customHeight="1" x14ac:dyDescent="0.2">
      <c r="B634" s="163"/>
      <c r="C634" s="159"/>
      <c r="D634" s="160"/>
      <c r="E634" s="160"/>
      <c r="F634" s="160"/>
      <c r="G634" s="160"/>
      <c r="H634" s="161"/>
    </row>
    <row r="635" spans="2:8" ht="15" customHeight="1" x14ac:dyDescent="0.2">
      <c r="B635" s="163"/>
      <c r="C635" s="159"/>
      <c r="D635" s="160"/>
      <c r="E635" s="160"/>
      <c r="F635" s="160"/>
      <c r="G635" s="160"/>
      <c r="H635" s="161"/>
    </row>
    <row r="636" spans="2:8" ht="15" customHeight="1" x14ac:dyDescent="0.2">
      <c r="B636" s="163"/>
      <c r="C636" s="159"/>
      <c r="D636" s="160"/>
      <c r="E636" s="160"/>
      <c r="F636" s="160"/>
      <c r="G636" s="160"/>
      <c r="H636" s="161"/>
    </row>
    <row r="637" spans="2:8" ht="15" customHeight="1" x14ac:dyDescent="0.2">
      <c r="B637" s="163"/>
      <c r="C637" s="159"/>
      <c r="D637" s="160"/>
      <c r="E637" s="160"/>
      <c r="F637" s="160"/>
      <c r="G637" s="160"/>
      <c r="H637" s="161"/>
    </row>
    <row r="638" spans="2:8" ht="15" customHeight="1" x14ac:dyDescent="0.2">
      <c r="B638" s="163"/>
      <c r="C638" s="159"/>
      <c r="D638" s="160"/>
      <c r="E638" s="160"/>
      <c r="F638" s="160"/>
      <c r="G638" s="160"/>
      <c r="H638" s="161"/>
    </row>
    <row r="639" spans="2:8" ht="15" customHeight="1" x14ac:dyDescent="0.2">
      <c r="B639" s="163"/>
      <c r="C639" s="159"/>
      <c r="D639" s="160"/>
      <c r="E639" s="160"/>
      <c r="F639" s="160"/>
      <c r="G639" s="160"/>
      <c r="H639" s="161"/>
    </row>
    <row r="640" spans="2:8" ht="15" customHeight="1" x14ac:dyDescent="0.2">
      <c r="B640" s="163"/>
      <c r="C640" s="159"/>
      <c r="D640" s="160"/>
      <c r="E640" s="160"/>
      <c r="F640" s="160"/>
      <c r="G640" s="160"/>
      <c r="H640" s="161"/>
    </row>
    <row r="641" spans="2:8" ht="15" customHeight="1" x14ac:dyDescent="0.2">
      <c r="B641" s="163"/>
      <c r="C641" s="159"/>
      <c r="D641" s="160"/>
      <c r="E641" s="160"/>
      <c r="F641" s="160"/>
      <c r="G641" s="160"/>
      <c r="H641" s="161"/>
    </row>
    <row r="642" spans="2:8" ht="15" customHeight="1" x14ac:dyDescent="0.2">
      <c r="B642" s="163"/>
      <c r="C642" s="159"/>
      <c r="D642" s="160"/>
      <c r="E642" s="160"/>
      <c r="F642" s="160"/>
      <c r="G642" s="160"/>
      <c r="H642" s="161"/>
    </row>
    <row r="643" spans="2:8" ht="15" customHeight="1" x14ac:dyDescent="0.2">
      <c r="B643" s="163"/>
      <c r="C643" s="159"/>
      <c r="D643" s="160"/>
      <c r="E643" s="160"/>
      <c r="F643" s="160"/>
      <c r="G643" s="160"/>
      <c r="H643" s="161"/>
    </row>
    <row r="644" spans="2:8" ht="15" customHeight="1" x14ac:dyDescent="0.2">
      <c r="B644" s="163"/>
      <c r="C644" s="159"/>
      <c r="D644" s="160"/>
      <c r="E644" s="160"/>
      <c r="F644" s="160"/>
      <c r="G644" s="160"/>
      <c r="H644" s="161"/>
    </row>
    <row r="645" spans="2:8" ht="15" customHeight="1" x14ac:dyDescent="0.2">
      <c r="B645" s="163"/>
      <c r="C645" s="159"/>
      <c r="D645" s="160"/>
      <c r="E645" s="160"/>
      <c r="F645" s="160"/>
      <c r="G645" s="160"/>
      <c r="H645" s="161"/>
    </row>
    <row r="646" spans="2:8" ht="15" customHeight="1" x14ac:dyDescent="0.2">
      <c r="B646" s="163"/>
      <c r="C646" s="159"/>
      <c r="D646" s="160"/>
      <c r="E646" s="160"/>
      <c r="F646" s="160"/>
      <c r="G646" s="160"/>
      <c r="H646" s="161"/>
    </row>
    <row r="647" spans="2:8" ht="15" customHeight="1" x14ac:dyDescent="0.2">
      <c r="B647" s="163"/>
      <c r="C647" s="159"/>
      <c r="D647" s="160"/>
      <c r="E647" s="160"/>
      <c r="F647" s="160"/>
      <c r="G647" s="160"/>
      <c r="H647" s="161"/>
    </row>
    <row r="648" spans="2:8" ht="15" customHeight="1" x14ac:dyDescent="0.2">
      <c r="B648" s="163"/>
      <c r="C648" s="159"/>
      <c r="D648" s="160"/>
      <c r="E648" s="160"/>
      <c r="F648" s="160"/>
      <c r="G648" s="160"/>
      <c r="H648" s="161"/>
    </row>
    <row r="649" spans="2:8" ht="15" customHeight="1" x14ac:dyDescent="0.2">
      <c r="B649" s="163"/>
      <c r="C649" s="159"/>
      <c r="D649" s="160"/>
      <c r="E649" s="160"/>
      <c r="F649" s="160"/>
      <c r="G649" s="160"/>
      <c r="H649" s="161"/>
    </row>
    <row r="650" spans="2:8" ht="15" customHeight="1" x14ac:dyDescent="0.2">
      <c r="B650" s="163"/>
      <c r="C650" s="159"/>
      <c r="D650" s="160"/>
      <c r="E650" s="160"/>
      <c r="F650" s="160"/>
      <c r="G650" s="160"/>
      <c r="H650" s="161"/>
    </row>
    <row r="651" spans="2:8" ht="15" customHeight="1" x14ac:dyDescent="0.2">
      <c r="B651" s="163"/>
      <c r="C651" s="159"/>
      <c r="D651" s="160"/>
      <c r="E651" s="160"/>
      <c r="F651" s="160"/>
      <c r="G651" s="160"/>
      <c r="H651" s="161"/>
    </row>
    <row r="652" spans="2:8" ht="15" customHeight="1" x14ac:dyDescent="0.2">
      <c r="B652" s="163"/>
      <c r="C652" s="159"/>
      <c r="D652" s="160"/>
      <c r="E652" s="160"/>
      <c r="F652" s="160"/>
      <c r="G652" s="160"/>
      <c r="H652" s="161"/>
    </row>
    <row r="653" spans="2:8" ht="15" customHeight="1" x14ac:dyDescent="0.2">
      <c r="B653" s="163"/>
      <c r="C653" s="159"/>
      <c r="D653" s="160"/>
      <c r="E653" s="160"/>
      <c r="F653" s="160"/>
      <c r="G653" s="160"/>
      <c r="H653" s="161"/>
    </row>
    <row r="654" spans="2:8" ht="15" customHeight="1" x14ac:dyDescent="0.2">
      <c r="B654" s="163"/>
      <c r="C654" s="159"/>
      <c r="D654" s="160"/>
      <c r="E654" s="160"/>
      <c r="F654" s="160"/>
      <c r="G654" s="160"/>
      <c r="H654" s="161"/>
    </row>
    <row r="655" spans="2:8" ht="15" customHeight="1" x14ac:dyDescent="0.2">
      <c r="B655" s="163"/>
      <c r="C655" s="159"/>
      <c r="D655" s="160"/>
      <c r="E655" s="160"/>
      <c r="F655" s="160"/>
      <c r="G655" s="160"/>
      <c r="H655" s="161"/>
    </row>
    <row r="656" spans="2:8" ht="15" customHeight="1" x14ac:dyDescent="0.2">
      <c r="B656" s="163"/>
      <c r="C656" s="159"/>
      <c r="D656" s="160"/>
      <c r="E656" s="160"/>
      <c r="F656" s="160"/>
      <c r="G656" s="160"/>
      <c r="H656" s="161"/>
    </row>
    <row r="657" spans="2:8" ht="15" customHeight="1" x14ac:dyDescent="0.2">
      <c r="B657" s="163"/>
      <c r="C657" s="159"/>
      <c r="D657" s="160"/>
      <c r="E657" s="160"/>
      <c r="F657" s="160"/>
      <c r="G657" s="160"/>
      <c r="H657" s="161"/>
    </row>
    <row r="658" spans="2:8" ht="15" customHeight="1" x14ac:dyDescent="0.2">
      <c r="B658" s="163"/>
      <c r="C658" s="159"/>
      <c r="D658" s="160"/>
      <c r="E658" s="160"/>
      <c r="F658" s="160"/>
      <c r="G658" s="160"/>
      <c r="H658" s="161"/>
    </row>
    <row r="659" spans="2:8" ht="15" customHeight="1" x14ac:dyDescent="0.2">
      <c r="B659" s="163"/>
      <c r="C659" s="159"/>
      <c r="D659" s="160"/>
      <c r="E659" s="160"/>
      <c r="F659" s="160"/>
      <c r="G659" s="160"/>
      <c r="H659" s="161"/>
    </row>
    <row r="660" spans="2:8" ht="15" customHeight="1" x14ac:dyDescent="0.2">
      <c r="B660" s="163"/>
      <c r="C660" s="159"/>
      <c r="D660" s="160"/>
      <c r="E660" s="160"/>
      <c r="F660" s="160"/>
      <c r="G660" s="160"/>
      <c r="H660" s="161"/>
    </row>
    <row r="661" spans="2:8" ht="15" customHeight="1" x14ac:dyDescent="0.2">
      <c r="B661" s="163"/>
      <c r="C661" s="159"/>
      <c r="D661" s="160"/>
      <c r="E661" s="160"/>
      <c r="F661" s="160"/>
      <c r="G661" s="160"/>
      <c r="H661" s="161"/>
    </row>
    <row r="662" spans="2:8" ht="15" customHeight="1" x14ac:dyDescent="0.2">
      <c r="B662" s="163"/>
      <c r="C662" s="159"/>
      <c r="D662" s="160"/>
      <c r="E662" s="160"/>
      <c r="F662" s="160"/>
      <c r="G662" s="160"/>
      <c r="H662" s="161"/>
    </row>
    <row r="663" spans="2:8" ht="15" customHeight="1" x14ac:dyDescent="0.2">
      <c r="B663" s="163"/>
      <c r="C663" s="159"/>
      <c r="D663" s="160"/>
      <c r="E663" s="160"/>
      <c r="F663" s="160"/>
      <c r="G663" s="160"/>
      <c r="H663" s="161"/>
    </row>
    <row r="664" spans="2:8" ht="15" customHeight="1" x14ac:dyDescent="0.2">
      <c r="B664" s="163"/>
      <c r="C664" s="159"/>
      <c r="D664" s="160"/>
      <c r="E664" s="160"/>
      <c r="F664" s="160"/>
      <c r="G664" s="160"/>
      <c r="H664" s="161"/>
    </row>
    <row r="665" spans="2:8" ht="15" customHeight="1" x14ac:dyDescent="0.2">
      <c r="B665" s="163"/>
      <c r="C665" s="159"/>
      <c r="D665" s="160"/>
      <c r="E665" s="160"/>
      <c r="F665" s="160"/>
      <c r="G665" s="160"/>
      <c r="H665" s="161"/>
    </row>
    <row r="666" spans="2:8" ht="15" customHeight="1" x14ac:dyDescent="0.2">
      <c r="B666" s="163"/>
      <c r="C666" s="159"/>
      <c r="D666" s="160"/>
      <c r="E666" s="160"/>
      <c r="F666" s="160"/>
      <c r="G666" s="160"/>
      <c r="H666" s="161"/>
    </row>
    <row r="667" spans="2:8" ht="15" customHeight="1" x14ac:dyDescent="0.2">
      <c r="B667" s="163"/>
      <c r="C667" s="159"/>
      <c r="D667" s="160"/>
      <c r="E667" s="160"/>
      <c r="F667" s="160"/>
      <c r="G667" s="160"/>
      <c r="H667" s="161"/>
    </row>
    <row r="668" spans="2:8" ht="15" customHeight="1" x14ac:dyDescent="0.2">
      <c r="B668" s="163"/>
      <c r="C668" s="159"/>
      <c r="D668" s="160"/>
      <c r="E668" s="160"/>
      <c r="F668" s="160"/>
      <c r="G668" s="160"/>
      <c r="H668" s="161"/>
    </row>
    <row r="669" spans="2:8" ht="15" customHeight="1" x14ac:dyDescent="0.2">
      <c r="B669" s="163"/>
      <c r="C669" s="159"/>
      <c r="D669" s="160"/>
      <c r="E669" s="160"/>
      <c r="F669" s="160"/>
      <c r="G669" s="160"/>
      <c r="H669" s="161"/>
    </row>
    <row r="670" spans="2:8" ht="15" customHeight="1" x14ac:dyDescent="0.2">
      <c r="B670" s="163"/>
      <c r="C670" s="159"/>
      <c r="D670" s="160"/>
      <c r="E670" s="160"/>
      <c r="F670" s="160"/>
      <c r="G670" s="160"/>
      <c r="H670" s="161"/>
    </row>
    <row r="671" spans="2:8" ht="15" customHeight="1" x14ac:dyDescent="0.2">
      <c r="B671" s="163"/>
      <c r="C671" s="159"/>
      <c r="D671" s="160"/>
      <c r="E671" s="160"/>
      <c r="F671" s="160"/>
      <c r="G671" s="160"/>
      <c r="H671" s="161"/>
    </row>
    <row r="672" spans="2:8" ht="15" customHeight="1" x14ac:dyDescent="0.2">
      <c r="B672" s="163"/>
      <c r="C672" s="159"/>
      <c r="D672" s="160"/>
      <c r="E672" s="160"/>
      <c r="F672" s="160"/>
      <c r="G672" s="160"/>
      <c r="H672" s="161"/>
    </row>
    <row r="673" spans="2:8" ht="15" customHeight="1" x14ac:dyDescent="0.2">
      <c r="B673" s="163"/>
      <c r="C673" s="159"/>
      <c r="D673" s="160"/>
      <c r="E673" s="160"/>
      <c r="F673" s="160"/>
      <c r="G673" s="160"/>
      <c r="H673" s="161"/>
    </row>
    <row r="674" spans="2:8" ht="15" customHeight="1" x14ac:dyDescent="0.2">
      <c r="B674" s="163"/>
      <c r="C674" s="159"/>
      <c r="D674" s="160"/>
      <c r="E674" s="160"/>
      <c r="F674" s="160"/>
      <c r="G674" s="160"/>
      <c r="H674" s="161"/>
    </row>
    <row r="675" spans="2:8" ht="15" customHeight="1" x14ac:dyDescent="0.2">
      <c r="B675" s="163"/>
      <c r="C675" s="159"/>
      <c r="D675" s="160"/>
      <c r="E675" s="160"/>
      <c r="F675" s="160"/>
      <c r="G675" s="160"/>
      <c r="H675" s="161"/>
    </row>
    <row r="676" spans="2:8" ht="15" customHeight="1" x14ac:dyDescent="0.2">
      <c r="B676" s="163"/>
      <c r="C676" s="159"/>
      <c r="D676" s="160"/>
      <c r="E676" s="160"/>
      <c r="F676" s="160"/>
      <c r="G676" s="160"/>
      <c r="H676" s="161"/>
    </row>
    <row r="677" spans="2:8" ht="15" customHeight="1" x14ac:dyDescent="0.2">
      <c r="B677" s="163"/>
      <c r="C677" s="159"/>
      <c r="D677" s="160"/>
      <c r="E677" s="160"/>
      <c r="F677" s="160"/>
      <c r="G677" s="160"/>
      <c r="H677" s="161"/>
    </row>
    <row r="678" spans="2:8" ht="15" customHeight="1" x14ac:dyDescent="0.2">
      <c r="B678" s="163"/>
      <c r="C678" s="159"/>
      <c r="D678" s="160"/>
      <c r="E678" s="160"/>
      <c r="F678" s="160"/>
      <c r="G678" s="160"/>
      <c r="H678" s="161"/>
    </row>
    <row r="679" spans="2:8" ht="15" customHeight="1" x14ac:dyDescent="0.2">
      <c r="B679" s="163"/>
      <c r="C679" s="159"/>
      <c r="D679" s="160"/>
      <c r="E679" s="160"/>
      <c r="F679" s="160"/>
      <c r="G679" s="160"/>
      <c r="H679" s="161"/>
    </row>
    <row r="680" spans="2:8" ht="15" customHeight="1" x14ac:dyDescent="0.2">
      <c r="B680" s="163"/>
      <c r="C680" s="159"/>
      <c r="D680" s="160"/>
      <c r="E680" s="160"/>
      <c r="F680" s="160"/>
      <c r="G680" s="160"/>
      <c r="H680" s="161"/>
    </row>
    <row r="681" spans="2:8" ht="15" customHeight="1" x14ac:dyDescent="0.2">
      <c r="B681" s="163"/>
      <c r="C681" s="159"/>
      <c r="D681" s="160"/>
      <c r="E681" s="160"/>
      <c r="F681" s="160"/>
      <c r="G681" s="160"/>
      <c r="H681" s="161"/>
    </row>
    <row r="682" spans="2:8" ht="15" customHeight="1" x14ac:dyDescent="0.2">
      <c r="B682" s="163"/>
      <c r="C682" s="159"/>
      <c r="D682" s="160"/>
      <c r="E682" s="160"/>
      <c r="F682" s="160"/>
      <c r="G682" s="160"/>
      <c r="H682" s="161"/>
    </row>
    <row r="683" spans="2:8" ht="15" customHeight="1" x14ac:dyDescent="0.2">
      <c r="B683" s="163"/>
      <c r="C683" s="159"/>
      <c r="D683" s="160"/>
      <c r="E683" s="160"/>
      <c r="F683" s="160"/>
      <c r="G683" s="160"/>
      <c r="H683" s="161"/>
    </row>
    <row r="684" spans="2:8" ht="15" customHeight="1" x14ac:dyDescent="0.2">
      <c r="B684" s="163"/>
      <c r="C684" s="159"/>
      <c r="D684" s="160"/>
      <c r="E684" s="160"/>
      <c r="F684" s="160"/>
      <c r="G684" s="160"/>
      <c r="H684" s="161"/>
    </row>
    <row r="685" spans="2:8" ht="15" customHeight="1" x14ac:dyDescent="0.2">
      <c r="B685" s="163"/>
      <c r="C685" s="159"/>
      <c r="D685" s="160"/>
      <c r="E685" s="160"/>
      <c r="F685" s="160"/>
      <c r="G685" s="160"/>
      <c r="H685" s="161"/>
    </row>
    <row r="686" spans="2:8" ht="15" customHeight="1" x14ac:dyDescent="0.2">
      <c r="B686" s="163"/>
      <c r="C686" s="159"/>
      <c r="D686" s="160"/>
      <c r="E686" s="160"/>
      <c r="F686" s="160"/>
      <c r="G686" s="160"/>
      <c r="H686" s="161"/>
    </row>
    <row r="687" spans="2:8" ht="15" customHeight="1" x14ac:dyDescent="0.2">
      <c r="B687" s="163"/>
      <c r="C687" s="159"/>
      <c r="D687" s="160"/>
      <c r="E687" s="160"/>
      <c r="F687" s="160"/>
      <c r="G687" s="160"/>
      <c r="H687" s="161"/>
    </row>
    <row r="688" spans="2:8" ht="15" customHeight="1" x14ac:dyDescent="0.2">
      <c r="B688" s="163"/>
      <c r="C688" s="159"/>
      <c r="D688" s="160"/>
      <c r="E688" s="160"/>
      <c r="F688" s="160"/>
      <c r="G688" s="160"/>
      <c r="H688" s="161"/>
    </row>
    <row r="689" spans="2:8" ht="15" customHeight="1" x14ac:dyDescent="0.2">
      <c r="B689" s="163"/>
      <c r="C689" s="159"/>
      <c r="D689" s="160"/>
      <c r="E689" s="160"/>
      <c r="F689" s="160"/>
      <c r="G689" s="160"/>
      <c r="H689" s="161"/>
    </row>
    <row r="690" spans="2:8" ht="15" customHeight="1" x14ac:dyDescent="0.2">
      <c r="B690" s="163"/>
      <c r="C690" s="159"/>
      <c r="D690" s="160"/>
      <c r="E690" s="160"/>
      <c r="F690" s="160"/>
      <c r="G690" s="160"/>
      <c r="H690" s="161"/>
    </row>
    <row r="691" spans="2:8" ht="15" customHeight="1" x14ac:dyDescent="0.2">
      <c r="B691" s="163"/>
      <c r="C691" s="159"/>
      <c r="D691" s="160"/>
      <c r="E691" s="160"/>
      <c r="F691" s="160"/>
      <c r="G691" s="160"/>
      <c r="H691" s="161"/>
    </row>
    <row r="692" spans="2:8" ht="15" customHeight="1" x14ac:dyDescent="0.2">
      <c r="B692" s="163"/>
      <c r="C692" s="159"/>
      <c r="D692" s="160"/>
      <c r="E692" s="160"/>
      <c r="F692" s="160"/>
      <c r="G692" s="160"/>
      <c r="H692" s="161"/>
    </row>
    <row r="693" spans="2:8" ht="15" customHeight="1" x14ac:dyDescent="0.2">
      <c r="B693" s="163"/>
      <c r="C693" s="159"/>
      <c r="D693" s="160"/>
      <c r="E693" s="160"/>
      <c r="F693" s="160"/>
      <c r="G693" s="160"/>
      <c r="H693" s="161"/>
    </row>
    <row r="694" spans="2:8" ht="15" customHeight="1" x14ac:dyDescent="0.2">
      <c r="B694" s="163"/>
      <c r="C694" s="159"/>
      <c r="D694" s="160"/>
      <c r="E694" s="160"/>
      <c r="F694" s="160"/>
      <c r="G694" s="160"/>
      <c r="H694" s="161"/>
    </row>
    <row r="695" spans="2:8" ht="15" customHeight="1" x14ac:dyDescent="0.2">
      <c r="B695" s="163"/>
      <c r="C695" s="159"/>
      <c r="D695" s="160"/>
      <c r="E695" s="160"/>
      <c r="F695" s="160"/>
      <c r="G695" s="160"/>
      <c r="H695" s="161"/>
    </row>
    <row r="696" spans="2:8" ht="15" customHeight="1" x14ac:dyDescent="0.2">
      <c r="B696" s="163"/>
      <c r="C696" s="159"/>
      <c r="D696" s="160"/>
      <c r="E696" s="160"/>
      <c r="F696" s="160"/>
      <c r="G696" s="160"/>
      <c r="H696" s="161"/>
    </row>
    <row r="697" spans="2:8" ht="15" customHeight="1" x14ac:dyDescent="0.2">
      <c r="B697" s="163"/>
      <c r="C697" s="159"/>
      <c r="D697" s="160"/>
      <c r="E697" s="160"/>
      <c r="F697" s="160"/>
      <c r="G697" s="160"/>
      <c r="H697" s="161"/>
    </row>
    <row r="698" spans="2:8" ht="15" customHeight="1" x14ac:dyDescent="0.2">
      <c r="B698" s="163"/>
      <c r="C698" s="159"/>
      <c r="D698" s="160"/>
      <c r="E698" s="160"/>
      <c r="F698" s="160"/>
      <c r="G698" s="160"/>
      <c r="H698" s="161"/>
    </row>
    <row r="699" spans="2:8" ht="15" customHeight="1" x14ac:dyDescent="0.2">
      <c r="B699" s="163"/>
      <c r="C699" s="159"/>
      <c r="D699" s="160"/>
      <c r="E699" s="160"/>
      <c r="F699" s="160"/>
      <c r="G699" s="160"/>
      <c r="H699" s="161"/>
    </row>
    <row r="700" spans="2:8" ht="15" customHeight="1" x14ac:dyDescent="0.2">
      <c r="B700" s="163"/>
      <c r="C700" s="159"/>
      <c r="D700" s="160"/>
      <c r="E700" s="160"/>
      <c r="F700" s="160"/>
      <c r="G700" s="160"/>
      <c r="H700" s="161"/>
    </row>
    <row r="701" spans="2:8" ht="15" customHeight="1" x14ac:dyDescent="0.2">
      <c r="B701" s="163"/>
      <c r="C701" s="159"/>
      <c r="D701" s="160"/>
      <c r="E701" s="160"/>
      <c r="F701" s="160"/>
      <c r="G701" s="160"/>
      <c r="H701" s="161"/>
    </row>
    <row r="702" spans="2:8" ht="15" customHeight="1" x14ac:dyDescent="0.2">
      <c r="B702" s="163"/>
      <c r="C702" s="159"/>
      <c r="D702" s="160"/>
      <c r="E702" s="160"/>
      <c r="F702" s="160"/>
      <c r="G702" s="160"/>
      <c r="H702" s="161"/>
    </row>
    <row r="703" spans="2:8" ht="15" customHeight="1" x14ac:dyDescent="0.2">
      <c r="B703" s="163"/>
      <c r="C703" s="159"/>
      <c r="D703" s="160"/>
      <c r="E703" s="160"/>
      <c r="F703" s="160"/>
      <c r="G703" s="160"/>
      <c r="H703" s="161"/>
    </row>
    <row r="704" spans="2:8" ht="15" customHeight="1" x14ac:dyDescent="0.2">
      <c r="B704" s="163"/>
      <c r="C704" s="159"/>
      <c r="D704" s="160"/>
      <c r="E704" s="160"/>
      <c r="F704" s="160"/>
      <c r="G704" s="160"/>
      <c r="H704" s="161"/>
    </row>
    <row r="705" spans="2:8" ht="15" customHeight="1" x14ac:dyDescent="0.2">
      <c r="B705" s="163"/>
      <c r="C705" s="159"/>
      <c r="D705" s="160"/>
      <c r="E705" s="160"/>
      <c r="F705" s="160"/>
      <c r="G705" s="160"/>
      <c r="H705" s="161"/>
    </row>
    <row r="706" spans="2:8" ht="15" customHeight="1" x14ac:dyDescent="0.2">
      <c r="B706" s="163"/>
      <c r="C706" s="159"/>
      <c r="D706" s="160"/>
      <c r="E706" s="160"/>
      <c r="F706" s="160"/>
      <c r="G706" s="160"/>
      <c r="H706" s="161"/>
    </row>
    <row r="707" spans="2:8" ht="15" customHeight="1" x14ac:dyDescent="0.2">
      <c r="B707" s="163"/>
      <c r="C707" s="159"/>
      <c r="D707" s="160"/>
      <c r="E707" s="160"/>
      <c r="F707" s="160"/>
      <c r="G707" s="160"/>
      <c r="H707" s="161"/>
    </row>
    <row r="708" spans="2:8" ht="15" customHeight="1" x14ac:dyDescent="0.2">
      <c r="B708" s="163"/>
      <c r="C708" s="159"/>
      <c r="D708" s="160"/>
      <c r="E708" s="160"/>
      <c r="F708" s="160"/>
      <c r="G708" s="160"/>
      <c r="H708" s="161"/>
    </row>
    <row r="709" spans="2:8" ht="15" customHeight="1" x14ac:dyDescent="0.2">
      <c r="B709" s="163"/>
      <c r="C709" s="159"/>
      <c r="D709" s="160"/>
      <c r="E709" s="160"/>
      <c r="F709" s="160"/>
      <c r="G709" s="160"/>
      <c r="H709" s="161"/>
    </row>
    <row r="710" spans="2:8" ht="15" customHeight="1" x14ac:dyDescent="0.2">
      <c r="B710" s="163"/>
      <c r="C710" s="159"/>
      <c r="D710" s="160"/>
      <c r="E710" s="160"/>
      <c r="F710" s="160"/>
      <c r="G710" s="160"/>
      <c r="H710" s="161"/>
    </row>
    <row r="711" spans="2:8" ht="15" customHeight="1" x14ac:dyDescent="0.2">
      <c r="B711" s="163"/>
      <c r="C711" s="159"/>
      <c r="D711" s="160"/>
      <c r="E711" s="160"/>
      <c r="F711" s="160"/>
      <c r="G711" s="160"/>
      <c r="H711" s="161"/>
    </row>
    <row r="712" spans="2:8" ht="15" customHeight="1" x14ac:dyDescent="0.2">
      <c r="B712" s="163"/>
      <c r="C712" s="159"/>
      <c r="D712" s="160"/>
      <c r="E712" s="160"/>
      <c r="F712" s="160"/>
      <c r="G712" s="160"/>
      <c r="H712" s="161"/>
    </row>
    <row r="713" spans="2:8" ht="15" customHeight="1" x14ac:dyDescent="0.2">
      <c r="B713" s="163"/>
      <c r="C713" s="159"/>
      <c r="D713" s="160"/>
      <c r="E713" s="160"/>
      <c r="F713" s="160"/>
      <c r="G713" s="160"/>
      <c r="H713" s="161"/>
    </row>
    <row r="714" spans="2:8" ht="15" customHeight="1" x14ac:dyDescent="0.2">
      <c r="B714" s="163"/>
      <c r="C714" s="159"/>
      <c r="D714" s="160"/>
      <c r="E714" s="160"/>
      <c r="F714" s="160"/>
      <c r="G714" s="160"/>
      <c r="H714" s="161"/>
    </row>
    <row r="715" spans="2:8" ht="15" customHeight="1" x14ac:dyDescent="0.2">
      <c r="B715" s="163"/>
      <c r="C715" s="159"/>
      <c r="D715" s="160"/>
      <c r="E715" s="160"/>
      <c r="F715" s="160"/>
      <c r="G715" s="160"/>
      <c r="H715" s="161"/>
    </row>
    <row r="716" spans="2:8" ht="15" customHeight="1" x14ac:dyDescent="0.2">
      <c r="B716" s="163"/>
      <c r="C716" s="159"/>
      <c r="D716" s="160"/>
      <c r="E716" s="160"/>
      <c r="F716" s="160"/>
      <c r="G716" s="160"/>
      <c r="H716" s="161"/>
    </row>
    <row r="717" spans="2:8" ht="15" customHeight="1" x14ac:dyDescent="0.2">
      <c r="B717" s="163"/>
      <c r="C717" s="159"/>
      <c r="D717" s="160"/>
      <c r="E717" s="160"/>
      <c r="F717" s="160"/>
      <c r="G717" s="160"/>
      <c r="H717" s="161"/>
    </row>
    <row r="718" spans="2:8" ht="15" customHeight="1" x14ac:dyDescent="0.2">
      <c r="B718" s="163"/>
      <c r="C718" s="159"/>
      <c r="D718" s="160"/>
      <c r="E718" s="160"/>
      <c r="F718" s="160"/>
      <c r="G718" s="160"/>
      <c r="H718" s="161"/>
    </row>
    <row r="719" spans="2:8" ht="15" customHeight="1" x14ac:dyDescent="0.2">
      <c r="B719" s="163"/>
      <c r="C719" s="159"/>
      <c r="D719" s="160"/>
      <c r="E719" s="160"/>
      <c r="F719" s="160"/>
      <c r="G719" s="160"/>
      <c r="H719" s="161"/>
    </row>
    <row r="720" spans="2:8" ht="15" customHeight="1" x14ac:dyDescent="0.2">
      <c r="B720" s="163"/>
      <c r="C720" s="159"/>
      <c r="D720" s="160"/>
      <c r="E720" s="160"/>
      <c r="F720" s="160"/>
      <c r="G720" s="160"/>
      <c r="H720" s="161"/>
    </row>
    <row r="721" spans="2:8" ht="15" customHeight="1" x14ac:dyDescent="0.2">
      <c r="B721" s="163"/>
      <c r="C721" s="159"/>
      <c r="D721" s="160"/>
      <c r="E721" s="160"/>
      <c r="F721" s="160"/>
      <c r="G721" s="160"/>
      <c r="H721" s="161"/>
    </row>
    <row r="722" spans="2:8" ht="15" customHeight="1" x14ac:dyDescent="0.2">
      <c r="B722" s="163"/>
      <c r="C722" s="159"/>
      <c r="D722" s="160"/>
      <c r="E722" s="160"/>
      <c r="F722" s="160"/>
      <c r="G722" s="160"/>
      <c r="H722" s="161"/>
    </row>
    <row r="723" spans="2:8" ht="15" customHeight="1" x14ac:dyDescent="0.2">
      <c r="B723" s="163"/>
      <c r="C723" s="159"/>
      <c r="D723" s="160"/>
      <c r="E723" s="160"/>
      <c r="F723" s="160"/>
      <c r="G723" s="160"/>
      <c r="H723" s="161"/>
    </row>
    <row r="724" spans="2:8" ht="15" customHeight="1" x14ac:dyDescent="0.2">
      <c r="B724" s="163"/>
      <c r="C724" s="159"/>
      <c r="D724" s="160"/>
      <c r="E724" s="160"/>
      <c r="F724" s="160"/>
      <c r="G724" s="160"/>
      <c r="H724" s="161"/>
    </row>
    <row r="725" spans="2:8" ht="15" customHeight="1" x14ac:dyDescent="0.2">
      <c r="B725" s="163"/>
      <c r="C725" s="159"/>
      <c r="D725" s="160"/>
      <c r="E725" s="160"/>
      <c r="F725" s="160"/>
      <c r="G725" s="160"/>
      <c r="H725" s="161"/>
    </row>
    <row r="726" spans="2:8" ht="15" customHeight="1" x14ac:dyDescent="0.2">
      <c r="B726" s="163"/>
      <c r="C726" s="159"/>
      <c r="D726" s="160"/>
      <c r="E726" s="160"/>
      <c r="F726" s="160"/>
      <c r="G726" s="160"/>
      <c r="H726" s="161"/>
    </row>
    <row r="727" spans="2:8" ht="15" customHeight="1" x14ac:dyDescent="0.2">
      <c r="B727" s="163"/>
      <c r="C727" s="159"/>
      <c r="D727" s="160"/>
      <c r="E727" s="160"/>
      <c r="F727" s="160"/>
      <c r="G727" s="160"/>
      <c r="H727" s="161"/>
    </row>
    <row r="728" spans="2:8" ht="15" customHeight="1" x14ac:dyDescent="0.2">
      <c r="B728" s="163"/>
      <c r="C728" s="159"/>
      <c r="D728" s="160"/>
      <c r="E728" s="160"/>
      <c r="F728" s="160"/>
      <c r="G728" s="160"/>
      <c r="H728" s="161"/>
    </row>
    <row r="729" spans="2:8" ht="15" customHeight="1" x14ac:dyDescent="0.2">
      <c r="B729" s="163"/>
      <c r="C729" s="159"/>
      <c r="D729" s="160"/>
      <c r="E729" s="160"/>
      <c r="F729" s="160"/>
      <c r="G729" s="160"/>
      <c r="H729" s="161"/>
    </row>
    <row r="730" spans="2:8" ht="15" customHeight="1" x14ac:dyDescent="0.2">
      <c r="B730" s="163"/>
      <c r="C730" s="159"/>
      <c r="D730" s="160"/>
      <c r="E730" s="160"/>
      <c r="F730" s="160"/>
      <c r="G730" s="160"/>
      <c r="H730" s="161"/>
    </row>
    <row r="731" spans="2:8" ht="15" customHeight="1" x14ac:dyDescent="0.2">
      <c r="B731" s="163"/>
      <c r="C731" s="159"/>
      <c r="D731" s="160"/>
      <c r="E731" s="160"/>
      <c r="F731" s="160"/>
      <c r="G731" s="160"/>
      <c r="H731" s="161"/>
    </row>
    <row r="732" spans="2:8" ht="15" customHeight="1" x14ac:dyDescent="0.2">
      <c r="B732" s="163"/>
      <c r="C732" s="159"/>
      <c r="D732" s="160"/>
      <c r="E732" s="160"/>
      <c r="F732" s="160"/>
      <c r="G732" s="160"/>
      <c r="H732" s="161"/>
    </row>
    <row r="733" spans="2:8" ht="15" customHeight="1" x14ac:dyDescent="0.2">
      <c r="B733" s="163"/>
      <c r="C733" s="159"/>
      <c r="D733" s="160"/>
      <c r="E733" s="160"/>
      <c r="F733" s="160"/>
      <c r="G733" s="160"/>
      <c r="H733" s="161"/>
    </row>
    <row r="734" spans="2:8" ht="15" customHeight="1" x14ac:dyDescent="0.2">
      <c r="B734" s="163"/>
      <c r="C734" s="159"/>
      <c r="D734" s="160"/>
      <c r="E734" s="160"/>
      <c r="F734" s="160"/>
      <c r="G734" s="160"/>
      <c r="H734" s="161"/>
    </row>
    <row r="735" spans="2:8" ht="15" customHeight="1" x14ac:dyDescent="0.2">
      <c r="B735" s="163"/>
      <c r="C735" s="159"/>
      <c r="D735" s="160"/>
      <c r="E735" s="160"/>
      <c r="F735" s="160"/>
      <c r="G735" s="160"/>
      <c r="H735" s="161"/>
    </row>
    <row r="736" spans="2:8" ht="15" customHeight="1" x14ac:dyDescent="0.2">
      <c r="B736" s="163"/>
      <c r="C736" s="159"/>
      <c r="D736" s="160"/>
      <c r="E736" s="160"/>
      <c r="F736" s="160"/>
      <c r="G736" s="160"/>
      <c r="H736" s="161"/>
    </row>
    <row r="737" spans="2:8" ht="15" customHeight="1" x14ac:dyDescent="0.2">
      <c r="B737" s="163"/>
      <c r="C737" s="159"/>
      <c r="D737" s="160"/>
      <c r="E737" s="160"/>
      <c r="F737" s="160"/>
      <c r="G737" s="160"/>
      <c r="H737" s="161"/>
    </row>
    <row r="738" spans="2:8" ht="15" customHeight="1" x14ac:dyDescent="0.2">
      <c r="B738" s="163"/>
      <c r="C738" s="159"/>
      <c r="D738" s="160"/>
      <c r="E738" s="160"/>
      <c r="F738" s="160"/>
      <c r="G738" s="160"/>
      <c r="H738" s="161"/>
    </row>
    <row r="739" spans="2:8" ht="15" customHeight="1" x14ac:dyDescent="0.2">
      <c r="B739" s="163"/>
      <c r="C739" s="159"/>
      <c r="D739" s="160"/>
      <c r="E739" s="160"/>
      <c r="F739" s="160"/>
      <c r="G739" s="160"/>
      <c r="H739" s="161"/>
    </row>
    <row r="740" spans="2:8" ht="15" customHeight="1" x14ac:dyDescent="0.2">
      <c r="B740" s="163"/>
      <c r="C740" s="159"/>
      <c r="D740" s="160"/>
      <c r="E740" s="160"/>
      <c r="F740" s="160"/>
      <c r="G740" s="160"/>
      <c r="H740" s="161"/>
    </row>
    <row r="741" spans="2:8" ht="15" customHeight="1" x14ac:dyDescent="0.2">
      <c r="B741" s="163"/>
      <c r="C741" s="159"/>
      <c r="D741" s="160"/>
      <c r="E741" s="160"/>
      <c r="F741" s="160"/>
      <c r="G741" s="160"/>
      <c r="H741" s="161"/>
    </row>
    <row r="742" spans="2:8" ht="15" customHeight="1" x14ac:dyDescent="0.2">
      <c r="B742" s="163"/>
      <c r="C742" s="159"/>
      <c r="D742" s="160"/>
      <c r="E742" s="160"/>
      <c r="F742" s="160"/>
      <c r="G742" s="160"/>
      <c r="H742" s="161"/>
    </row>
    <row r="743" spans="2:8" ht="15" customHeight="1" x14ac:dyDescent="0.2">
      <c r="B743" s="163"/>
      <c r="C743" s="159"/>
      <c r="D743" s="160"/>
      <c r="E743" s="160"/>
      <c r="F743" s="160"/>
      <c r="G743" s="160"/>
      <c r="H743" s="161"/>
    </row>
    <row r="744" spans="2:8" ht="15" customHeight="1" x14ac:dyDescent="0.2">
      <c r="B744" s="163"/>
      <c r="C744" s="159"/>
      <c r="D744" s="160"/>
      <c r="E744" s="160"/>
      <c r="F744" s="160"/>
      <c r="G744" s="160"/>
      <c r="H744" s="161"/>
    </row>
    <row r="745" spans="2:8" ht="15" customHeight="1" x14ac:dyDescent="0.2">
      <c r="B745" s="163"/>
      <c r="C745" s="159"/>
      <c r="D745" s="160"/>
      <c r="E745" s="160"/>
      <c r="F745" s="160"/>
      <c r="G745" s="160"/>
      <c r="H745" s="161"/>
    </row>
    <row r="746" spans="2:8" ht="15" customHeight="1" x14ac:dyDescent="0.2">
      <c r="B746" s="163"/>
      <c r="C746" s="159"/>
      <c r="D746" s="160"/>
      <c r="E746" s="160"/>
      <c r="F746" s="160"/>
      <c r="G746" s="160"/>
      <c r="H746" s="161"/>
    </row>
    <row r="747" spans="2:8" ht="15" customHeight="1" x14ac:dyDescent="0.2">
      <c r="B747" s="163"/>
      <c r="C747" s="159"/>
      <c r="D747" s="160"/>
      <c r="E747" s="160"/>
      <c r="F747" s="160"/>
      <c r="G747" s="160"/>
      <c r="H747" s="161"/>
    </row>
    <row r="748" spans="2:8" ht="15" customHeight="1" x14ac:dyDescent="0.2">
      <c r="B748" s="163"/>
      <c r="C748" s="159"/>
      <c r="D748" s="160"/>
      <c r="E748" s="160"/>
      <c r="F748" s="160"/>
      <c r="G748" s="160"/>
      <c r="H748" s="161"/>
    </row>
    <row r="749" spans="2:8" ht="15" customHeight="1" x14ac:dyDescent="0.2">
      <c r="B749" s="163"/>
      <c r="C749" s="159"/>
      <c r="D749" s="160"/>
      <c r="E749" s="160"/>
      <c r="F749" s="160"/>
      <c r="G749" s="160"/>
      <c r="H749" s="161"/>
    </row>
    <row r="750" spans="2:8" ht="15" customHeight="1" x14ac:dyDescent="0.2">
      <c r="B750" s="163"/>
      <c r="C750" s="159"/>
      <c r="D750" s="160"/>
      <c r="E750" s="160"/>
      <c r="F750" s="160"/>
      <c r="G750" s="160"/>
      <c r="H750" s="161"/>
    </row>
    <row r="751" spans="2:8" ht="15" customHeight="1" x14ac:dyDescent="0.2">
      <c r="B751" s="163"/>
      <c r="C751" s="159"/>
      <c r="D751" s="160"/>
      <c r="E751" s="160"/>
      <c r="F751" s="160"/>
      <c r="G751" s="160"/>
      <c r="H751" s="161"/>
    </row>
    <row r="752" spans="2:8" ht="15" customHeight="1" x14ac:dyDescent="0.2">
      <c r="B752" s="163"/>
      <c r="C752" s="159"/>
      <c r="D752" s="160"/>
      <c r="E752" s="160"/>
      <c r="F752" s="160"/>
      <c r="G752" s="160"/>
      <c r="H752" s="161"/>
    </row>
    <row r="753" spans="2:8" ht="15" customHeight="1" x14ac:dyDescent="0.2">
      <c r="B753" s="163"/>
      <c r="C753" s="159"/>
      <c r="D753" s="160"/>
      <c r="E753" s="160"/>
      <c r="F753" s="160"/>
      <c r="G753" s="160"/>
      <c r="H753" s="161"/>
    </row>
    <row r="754" spans="2:8" ht="15" customHeight="1" x14ac:dyDescent="0.2">
      <c r="B754" s="163"/>
      <c r="C754" s="159"/>
      <c r="D754" s="160"/>
      <c r="E754" s="160"/>
      <c r="F754" s="160"/>
      <c r="G754" s="160"/>
      <c r="H754" s="161"/>
    </row>
    <row r="755" spans="2:8" ht="15" customHeight="1" x14ac:dyDescent="0.2">
      <c r="B755" s="163"/>
      <c r="C755" s="159"/>
      <c r="D755" s="160"/>
      <c r="E755" s="160"/>
      <c r="F755" s="160"/>
      <c r="G755" s="160"/>
      <c r="H755" s="161"/>
    </row>
    <row r="756" spans="2:8" ht="15" customHeight="1" x14ac:dyDescent="0.2">
      <c r="B756" s="163"/>
      <c r="C756" s="159"/>
      <c r="D756" s="160"/>
      <c r="E756" s="160"/>
      <c r="F756" s="160"/>
      <c r="G756" s="160"/>
      <c r="H756" s="161"/>
    </row>
    <row r="757" spans="2:8" ht="15" customHeight="1" x14ac:dyDescent="0.2">
      <c r="B757" s="163"/>
      <c r="C757" s="159"/>
      <c r="D757" s="160"/>
      <c r="E757" s="160"/>
      <c r="F757" s="160"/>
      <c r="G757" s="160"/>
      <c r="H757" s="161"/>
    </row>
    <row r="758" spans="2:8" ht="15" customHeight="1" x14ac:dyDescent="0.2">
      <c r="B758" s="163"/>
      <c r="C758" s="159"/>
      <c r="D758" s="160"/>
      <c r="E758" s="160"/>
      <c r="F758" s="160"/>
      <c r="G758" s="160"/>
      <c r="H758" s="161"/>
    </row>
    <row r="759" spans="2:8" ht="15" customHeight="1" x14ac:dyDescent="0.2">
      <c r="B759" s="163"/>
      <c r="C759" s="159"/>
      <c r="D759" s="160"/>
      <c r="E759" s="160"/>
      <c r="F759" s="160"/>
      <c r="G759" s="160"/>
      <c r="H759" s="161"/>
    </row>
    <row r="760" spans="2:8" ht="15" customHeight="1" x14ac:dyDescent="0.2">
      <c r="B760" s="163"/>
      <c r="C760" s="159"/>
      <c r="D760" s="160"/>
      <c r="E760" s="160"/>
      <c r="F760" s="160"/>
      <c r="G760" s="160"/>
      <c r="H760" s="161"/>
    </row>
    <row r="761" spans="2:8" ht="15" customHeight="1" x14ac:dyDescent="0.2">
      <c r="B761" s="163"/>
      <c r="C761" s="159"/>
      <c r="D761" s="160"/>
      <c r="E761" s="160"/>
      <c r="F761" s="160"/>
      <c r="G761" s="160"/>
      <c r="H761" s="161"/>
    </row>
    <row r="762" spans="2:8" ht="15" customHeight="1" x14ac:dyDescent="0.2">
      <c r="B762" s="163"/>
      <c r="C762" s="159"/>
      <c r="D762" s="160"/>
      <c r="E762" s="160"/>
      <c r="F762" s="160"/>
      <c r="G762" s="160"/>
      <c r="H762" s="161"/>
    </row>
    <row r="763" spans="2:8" ht="15" customHeight="1" x14ac:dyDescent="0.2">
      <c r="B763" s="163"/>
      <c r="C763" s="159"/>
      <c r="D763" s="160"/>
      <c r="E763" s="160"/>
      <c r="F763" s="160"/>
      <c r="G763" s="160"/>
      <c r="H763" s="161"/>
    </row>
    <row r="764" spans="2:8" ht="15" customHeight="1" x14ac:dyDescent="0.2">
      <c r="B764" s="163"/>
      <c r="C764" s="159"/>
      <c r="D764" s="160"/>
      <c r="E764" s="160"/>
      <c r="F764" s="160"/>
      <c r="G764" s="160"/>
      <c r="H764" s="161"/>
    </row>
    <row r="765" spans="2:8" ht="15" customHeight="1" x14ac:dyDescent="0.2">
      <c r="B765" s="163"/>
      <c r="C765" s="159"/>
      <c r="D765" s="160"/>
      <c r="E765" s="160"/>
      <c r="F765" s="160"/>
      <c r="G765" s="160"/>
      <c r="H765" s="161"/>
    </row>
    <row r="766" spans="2:8" ht="15" customHeight="1" x14ac:dyDescent="0.2">
      <c r="B766" s="163"/>
      <c r="C766" s="159"/>
      <c r="D766" s="160"/>
      <c r="E766" s="160"/>
      <c r="F766" s="160"/>
      <c r="G766" s="160"/>
      <c r="H766" s="161"/>
    </row>
    <row r="767" spans="2:8" ht="15" customHeight="1" x14ac:dyDescent="0.2">
      <c r="B767" s="163"/>
      <c r="C767" s="159"/>
      <c r="D767" s="160"/>
      <c r="E767" s="160"/>
      <c r="F767" s="160"/>
      <c r="G767" s="160"/>
      <c r="H767" s="161"/>
    </row>
    <row r="768" spans="2:8" ht="15" customHeight="1" x14ac:dyDescent="0.2">
      <c r="B768" s="163"/>
      <c r="C768" s="159"/>
      <c r="D768" s="160"/>
      <c r="E768" s="160"/>
      <c r="F768" s="160"/>
      <c r="G768" s="160"/>
      <c r="H768" s="161"/>
    </row>
    <row r="769" spans="2:8" ht="15" customHeight="1" x14ac:dyDescent="0.2">
      <c r="B769" s="163"/>
      <c r="C769" s="159"/>
      <c r="D769" s="160"/>
      <c r="E769" s="160"/>
      <c r="F769" s="160"/>
      <c r="G769" s="160"/>
      <c r="H769" s="161"/>
    </row>
    <row r="770" spans="2:8" ht="15" customHeight="1" x14ac:dyDescent="0.2">
      <c r="B770" s="163"/>
      <c r="C770" s="159"/>
      <c r="D770" s="160"/>
      <c r="E770" s="160"/>
      <c r="F770" s="160"/>
      <c r="G770" s="160"/>
      <c r="H770" s="161"/>
    </row>
    <row r="771" spans="2:8" ht="15" customHeight="1" x14ac:dyDescent="0.2">
      <c r="B771" s="163"/>
      <c r="C771" s="159"/>
      <c r="D771" s="160"/>
      <c r="E771" s="160"/>
      <c r="F771" s="160"/>
      <c r="G771" s="160"/>
      <c r="H771" s="161"/>
    </row>
    <row r="772" spans="2:8" ht="15" customHeight="1" x14ac:dyDescent="0.2">
      <c r="B772" s="163"/>
      <c r="C772" s="159"/>
      <c r="D772" s="160"/>
      <c r="E772" s="160"/>
      <c r="F772" s="160"/>
      <c r="G772" s="160"/>
      <c r="H772" s="161"/>
    </row>
    <row r="773" spans="2:8" ht="15" customHeight="1" x14ac:dyDescent="0.2">
      <c r="B773" s="163"/>
      <c r="C773" s="159"/>
      <c r="D773" s="160"/>
      <c r="E773" s="160"/>
      <c r="F773" s="160"/>
      <c r="G773" s="160"/>
      <c r="H773" s="161"/>
    </row>
    <row r="774" spans="2:8" ht="15" customHeight="1" x14ac:dyDescent="0.2">
      <c r="B774" s="163"/>
      <c r="C774" s="159"/>
      <c r="D774" s="160"/>
      <c r="E774" s="160"/>
      <c r="F774" s="160"/>
      <c r="G774" s="160"/>
      <c r="H774" s="161"/>
    </row>
    <row r="775" spans="2:8" ht="15" customHeight="1" x14ac:dyDescent="0.2">
      <c r="B775" s="163"/>
      <c r="C775" s="159"/>
      <c r="D775" s="160"/>
      <c r="E775" s="160"/>
      <c r="F775" s="160"/>
      <c r="G775" s="160"/>
      <c r="H775" s="161"/>
    </row>
    <row r="776" spans="2:8" ht="15" customHeight="1" x14ac:dyDescent="0.2">
      <c r="B776" s="163"/>
      <c r="C776" s="159"/>
      <c r="D776" s="160"/>
      <c r="E776" s="160"/>
      <c r="F776" s="160"/>
      <c r="G776" s="160"/>
      <c r="H776" s="161"/>
    </row>
    <row r="777" spans="2:8" ht="15" customHeight="1" x14ac:dyDescent="0.2">
      <c r="B777" s="163"/>
      <c r="C777" s="159"/>
      <c r="D777" s="160"/>
      <c r="E777" s="160"/>
      <c r="F777" s="160"/>
      <c r="G777" s="160"/>
      <c r="H777" s="161"/>
    </row>
    <row r="778" spans="2:8" ht="15" customHeight="1" x14ac:dyDescent="0.2">
      <c r="B778" s="163"/>
      <c r="C778" s="159"/>
      <c r="D778" s="160"/>
      <c r="E778" s="160"/>
      <c r="F778" s="160"/>
      <c r="G778" s="160"/>
      <c r="H778" s="161"/>
    </row>
    <row r="779" spans="2:8" ht="15" customHeight="1" x14ac:dyDescent="0.2">
      <c r="B779" s="163"/>
      <c r="C779" s="159"/>
      <c r="D779" s="160"/>
      <c r="E779" s="160"/>
      <c r="F779" s="160"/>
      <c r="G779" s="160"/>
      <c r="H779" s="161"/>
    </row>
    <row r="780" spans="2:8" ht="15" customHeight="1" x14ac:dyDescent="0.2">
      <c r="B780" s="163"/>
      <c r="C780" s="159"/>
      <c r="D780" s="160"/>
      <c r="E780" s="160"/>
      <c r="F780" s="160"/>
      <c r="G780" s="160"/>
      <c r="H780" s="161"/>
    </row>
    <row r="781" spans="2:8" ht="15" customHeight="1" x14ac:dyDescent="0.2">
      <c r="B781" s="163"/>
      <c r="C781" s="159"/>
      <c r="D781" s="160"/>
      <c r="E781" s="160"/>
      <c r="F781" s="160"/>
      <c r="G781" s="160"/>
      <c r="H781" s="161"/>
    </row>
    <row r="782" spans="2:8" ht="15" customHeight="1" x14ac:dyDescent="0.2">
      <c r="B782" s="163"/>
      <c r="C782" s="159"/>
      <c r="D782" s="160"/>
      <c r="E782" s="160"/>
      <c r="F782" s="160"/>
      <c r="G782" s="160"/>
      <c r="H782" s="161"/>
    </row>
    <row r="783" spans="2:8" ht="15" customHeight="1" x14ac:dyDescent="0.2">
      <c r="B783" s="163"/>
      <c r="C783" s="159"/>
      <c r="D783" s="160"/>
      <c r="E783" s="160"/>
      <c r="F783" s="160"/>
      <c r="G783" s="160"/>
      <c r="H783" s="161"/>
    </row>
    <row r="784" spans="2:8" ht="15" customHeight="1" x14ac:dyDescent="0.2">
      <c r="B784" s="163"/>
      <c r="C784" s="159"/>
      <c r="D784" s="160"/>
      <c r="E784" s="160"/>
      <c r="F784" s="160"/>
      <c r="G784" s="160"/>
      <c r="H784" s="161"/>
    </row>
    <row r="785" spans="2:8" ht="15" customHeight="1" x14ac:dyDescent="0.2">
      <c r="B785" s="163"/>
      <c r="C785" s="159"/>
      <c r="D785" s="160"/>
      <c r="E785" s="160"/>
      <c r="F785" s="160"/>
      <c r="G785" s="160"/>
      <c r="H785" s="161"/>
    </row>
    <row r="786" spans="2:8" ht="15" customHeight="1" x14ac:dyDescent="0.2">
      <c r="B786" s="163"/>
      <c r="C786" s="159"/>
      <c r="D786" s="160"/>
      <c r="E786" s="160"/>
      <c r="F786" s="160"/>
      <c r="G786" s="160"/>
      <c r="H786" s="161"/>
    </row>
    <row r="787" spans="2:8" ht="15" customHeight="1" x14ac:dyDescent="0.2">
      <c r="B787" s="163"/>
      <c r="C787" s="159"/>
      <c r="D787" s="160"/>
      <c r="E787" s="160"/>
      <c r="F787" s="160"/>
      <c r="G787" s="160"/>
      <c r="H787" s="161"/>
    </row>
    <row r="788" spans="2:8" ht="15" customHeight="1" x14ac:dyDescent="0.2">
      <c r="B788" s="163"/>
      <c r="C788" s="159"/>
      <c r="D788" s="160"/>
      <c r="E788" s="160"/>
      <c r="F788" s="160"/>
      <c r="G788" s="160"/>
      <c r="H788" s="161"/>
    </row>
    <row r="789" spans="2:8" ht="15" customHeight="1" x14ac:dyDescent="0.2">
      <c r="B789" s="163"/>
      <c r="C789" s="159"/>
      <c r="D789" s="160"/>
      <c r="E789" s="160"/>
      <c r="F789" s="160"/>
      <c r="G789" s="160"/>
      <c r="H789" s="161"/>
    </row>
    <row r="790" spans="2:8" ht="15" customHeight="1" x14ac:dyDescent="0.2">
      <c r="B790" s="163"/>
      <c r="C790" s="159"/>
      <c r="D790" s="160"/>
      <c r="E790" s="160"/>
      <c r="F790" s="160"/>
      <c r="G790" s="160"/>
      <c r="H790" s="161"/>
    </row>
    <row r="791" spans="2:8" ht="15" customHeight="1" x14ac:dyDescent="0.2">
      <c r="B791" s="163"/>
      <c r="C791" s="159"/>
      <c r="D791" s="160"/>
      <c r="E791" s="160"/>
      <c r="F791" s="160"/>
      <c r="G791" s="160"/>
      <c r="H791" s="161"/>
    </row>
    <row r="792" spans="2:8" ht="15" customHeight="1" x14ac:dyDescent="0.2">
      <c r="B792" s="163"/>
      <c r="C792" s="159"/>
      <c r="D792" s="160"/>
      <c r="E792" s="160"/>
      <c r="F792" s="160"/>
      <c r="G792" s="160"/>
      <c r="H792" s="161"/>
    </row>
    <row r="793" spans="2:8" ht="15" customHeight="1" x14ac:dyDescent="0.2">
      <c r="B793" s="163"/>
      <c r="C793" s="159"/>
      <c r="D793" s="160"/>
      <c r="E793" s="160"/>
      <c r="F793" s="160"/>
      <c r="G793" s="160"/>
      <c r="H793" s="161"/>
    </row>
    <row r="794" spans="2:8" ht="15" customHeight="1" x14ac:dyDescent="0.2">
      <c r="B794" s="163"/>
      <c r="C794" s="159"/>
      <c r="D794" s="160"/>
      <c r="E794" s="160"/>
      <c r="F794" s="160"/>
      <c r="G794" s="160"/>
      <c r="H794" s="161"/>
    </row>
    <row r="795" spans="2:8" ht="15" customHeight="1" x14ac:dyDescent="0.2">
      <c r="B795" s="163"/>
      <c r="C795" s="159"/>
      <c r="D795" s="160"/>
      <c r="E795" s="160"/>
      <c r="F795" s="160"/>
      <c r="G795" s="160"/>
      <c r="H795" s="161"/>
    </row>
    <row r="796" spans="2:8" ht="15" customHeight="1" x14ac:dyDescent="0.2">
      <c r="B796" s="163"/>
      <c r="C796" s="159"/>
      <c r="D796" s="160"/>
      <c r="E796" s="160"/>
      <c r="F796" s="160"/>
      <c r="G796" s="160"/>
      <c r="H796" s="161"/>
    </row>
    <row r="797" spans="2:8" ht="15" customHeight="1" x14ac:dyDescent="0.2">
      <c r="B797" s="163"/>
      <c r="C797" s="159"/>
      <c r="D797" s="160"/>
      <c r="E797" s="160"/>
      <c r="F797" s="160"/>
      <c r="G797" s="160"/>
      <c r="H797" s="161"/>
    </row>
    <row r="798" spans="2:8" ht="15" customHeight="1" x14ac:dyDescent="0.2">
      <c r="B798" s="163"/>
      <c r="C798" s="159"/>
      <c r="D798" s="160"/>
      <c r="E798" s="160"/>
      <c r="F798" s="160"/>
      <c r="G798" s="160"/>
      <c r="H798" s="161"/>
    </row>
    <row r="799" spans="2:8" ht="15" customHeight="1" x14ac:dyDescent="0.2">
      <c r="B799" s="163"/>
      <c r="C799" s="159"/>
      <c r="D799" s="160"/>
      <c r="E799" s="160"/>
      <c r="F799" s="160"/>
      <c r="G799" s="160"/>
      <c r="H799" s="161"/>
    </row>
    <row r="800" spans="2:8" ht="15" customHeight="1" x14ac:dyDescent="0.2">
      <c r="B800" s="163"/>
      <c r="C800" s="159"/>
      <c r="D800" s="160"/>
      <c r="E800" s="160"/>
      <c r="F800" s="160"/>
      <c r="G800" s="160"/>
      <c r="H800" s="161"/>
    </row>
    <row r="801" spans="2:8" ht="15" customHeight="1" x14ac:dyDescent="0.2">
      <c r="B801" s="163"/>
      <c r="C801" s="159"/>
      <c r="D801" s="160"/>
      <c r="E801" s="160"/>
      <c r="F801" s="160"/>
      <c r="G801" s="160"/>
      <c r="H801" s="161"/>
    </row>
    <row r="802" spans="2:8" ht="15" customHeight="1" x14ac:dyDescent="0.2">
      <c r="B802" s="163"/>
      <c r="C802" s="159"/>
      <c r="D802" s="160"/>
      <c r="E802" s="160"/>
      <c r="F802" s="160"/>
      <c r="G802" s="160"/>
      <c r="H802" s="161"/>
    </row>
    <row r="803" spans="2:8" ht="15" customHeight="1" x14ac:dyDescent="0.2">
      <c r="B803" s="163"/>
      <c r="C803" s="159"/>
      <c r="D803" s="160"/>
      <c r="E803" s="160"/>
      <c r="F803" s="160"/>
      <c r="G803" s="160"/>
      <c r="H803" s="161"/>
    </row>
    <row r="804" spans="2:8" ht="15" customHeight="1" x14ac:dyDescent="0.2">
      <c r="B804" s="163"/>
      <c r="C804" s="159"/>
      <c r="D804" s="160"/>
      <c r="E804" s="160"/>
      <c r="F804" s="160"/>
      <c r="G804" s="160"/>
      <c r="H804" s="161"/>
    </row>
    <row r="805" spans="2:8" ht="15" customHeight="1" x14ac:dyDescent="0.2">
      <c r="B805" s="163"/>
      <c r="C805" s="159"/>
      <c r="D805" s="160"/>
      <c r="E805" s="160"/>
      <c r="F805" s="160"/>
      <c r="G805" s="160"/>
      <c r="H805" s="161"/>
    </row>
    <row r="806" spans="2:8" ht="15" customHeight="1" x14ac:dyDescent="0.2">
      <c r="B806" s="163"/>
      <c r="C806" s="159"/>
      <c r="D806" s="160"/>
      <c r="E806" s="160"/>
      <c r="F806" s="160"/>
      <c r="G806" s="160"/>
      <c r="H806" s="161"/>
    </row>
    <row r="807" spans="2:8" ht="15" customHeight="1" x14ac:dyDescent="0.2">
      <c r="B807" s="163"/>
      <c r="C807" s="159"/>
      <c r="D807" s="160"/>
      <c r="E807" s="160"/>
      <c r="F807" s="160"/>
      <c r="G807" s="160"/>
      <c r="H807" s="161"/>
    </row>
    <row r="808" spans="2:8" ht="15" customHeight="1" x14ac:dyDescent="0.2">
      <c r="B808" s="163"/>
      <c r="C808" s="159"/>
      <c r="D808" s="160"/>
      <c r="E808" s="160"/>
      <c r="F808" s="160"/>
      <c r="G808" s="160"/>
      <c r="H808" s="161"/>
    </row>
    <row r="809" spans="2:8" ht="15" customHeight="1" x14ac:dyDescent="0.2">
      <c r="B809" s="163"/>
      <c r="C809" s="159"/>
      <c r="D809" s="160"/>
      <c r="E809" s="160"/>
      <c r="F809" s="160"/>
      <c r="G809" s="160"/>
      <c r="H809" s="161"/>
    </row>
    <row r="810" spans="2:8" ht="15" customHeight="1" x14ac:dyDescent="0.2">
      <c r="B810" s="163"/>
      <c r="C810" s="159"/>
      <c r="D810" s="160"/>
      <c r="E810" s="160"/>
      <c r="F810" s="160"/>
      <c r="G810" s="160"/>
      <c r="H810" s="161"/>
    </row>
    <row r="811" spans="2:8" ht="15" customHeight="1" x14ac:dyDescent="0.2">
      <c r="B811" s="163"/>
      <c r="C811" s="159"/>
      <c r="D811" s="160"/>
      <c r="E811" s="160"/>
      <c r="F811" s="160"/>
      <c r="G811" s="160"/>
      <c r="H811" s="161"/>
    </row>
    <row r="812" spans="2:8" ht="15" customHeight="1" x14ac:dyDescent="0.2">
      <c r="B812" s="163"/>
      <c r="C812" s="159"/>
      <c r="D812" s="160"/>
      <c r="E812" s="160"/>
      <c r="F812" s="160"/>
      <c r="G812" s="160"/>
      <c r="H812" s="161"/>
    </row>
    <row r="813" spans="2:8" ht="15" customHeight="1" x14ac:dyDescent="0.2">
      <c r="B813" s="163"/>
      <c r="C813" s="159"/>
      <c r="D813" s="160"/>
      <c r="E813" s="160"/>
      <c r="F813" s="160"/>
      <c r="G813" s="160"/>
      <c r="H813" s="161"/>
    </row>
    <row r="814" spans="2:8" ht="15" customHeight="1" x14ac:dyDescent="0.2">
      <c r="B814" s="163"/>
      <c r="C814" s="159"/>
      <c r="D814" s="160"/>
      <c r="E814" s="160"/>
      <c r="F814" s="160"/>
      <c r="G814" s="160"/>
      <c r="H814" s="161"/>
    </row>
    <row r="815" spans="2:8" ht="15" customHeight="1" x14ac:dyDescent="0.2">
      <c r="B815" s="163"/>
      <c r="C815" s="159"/>
      <c r="D815" s="160"/>
      <c r="E815" s="160"/>
      <c r="F815" s="160"/>
      <c r="G815" s="160"/>
      <c r="H815" s="161"/>
    </row>
    <row r="816" spans="2:8" ht="15" customHeight="1" x14ac:dyDescent="0.2">
      <c r="B816" s="163"/>
      <c r="C816" s="159"/>
      <c r="D816" s="160"/>
      <c r="E816" s="160"/>
      <c r="F816" s="160"/>
      <c r="G816" s="160"/>
      <c r="H816" s="161"/>
    </row>
    <row r="817" spans="2:8" ht="15" customHeight="1" x14ac:dyDescent="0.2">
      <c r="B817" s="163"/>
      <c r="C817" s="159"/>
      <c r="D817" s="160"/>
      <c r="E817" s="160"/>
      <c r="F817" s="160"/>
      <c r="G817" s="160"/>
      <c r="H817" s="161"/>
    </row>
    <row r="818" spans="2:8" ht="15" customHeight="1" x14ac:dyDescent="0.2">
      <c r="B818" s="163"/>
      <c r="C818" s="159"/>
      <c r="D818" s="160"/>
      <c r="E818" s="160"/>
      <c r="F818" s="160"/>
      <c r="G818" s="160"/>
      <c r="H818" s="161"/>
    </row>
    <row r="819" spans="2:8" ht="15" customHeight="1" x14ac:dyDescent="0.2">
      <c r="B819" s="163"/>
      <c r="C819" s="159"/>
      <c r="D819" s="160"/>
      <c r="E819" s="160"/>
      <c r="F819" s="160"/>
      <c r="G819" s="160"/>
      <c r="H819" s="161"/>
    </row>
    <row r="820" spans="2:8" ht="15" customHeight="1" x14ac:dyDescent="0.2">
      <c r="B820" s="163"/>
      <c r="C820" s="159"/>
      <c r="D820" s="160"/>
      <c r="E820" s="160"/>
      <c r="F820" s="160"/>
      <c r="G820" s="160"/>
      <c r="H820" s="161"/>
    </row>
    <row r="821" spans="2:8" ht="15" customHeight="1" x14ac:dyDescent="0.2">
      <c r="B821" s="163"/>
      <c r="C821" s="159"/>
      <c r="D821" s="160"/>
      <c r="E821" s="160"/>
      <c r="F821" s="160"/>
      <c r="G821" s="160"/>
      <c r="H821" s="161"/>
    </row>
    <row r="822" spans="2:8" ht="15" customHeight="1" x14ac:dyDescent="0.2">
      <c r="B822" s="163"/>
      <c r="C822" s="159"/>
      <c r="D822" s="160"/>
      <c r="E822" s="160"/>
      <c r="F822" s="160"/>
      <c r="G822" s="160"/>
      <c r="H822" s="161"/>
    </row>
    <row r="823" spans="2:8" ht="15" customHeight="1" x14ac:dyDescent="0.2">
      <c r="B823" s="163"/>
      <c r="C823" s="159"/>
      <c r="D823" s="160"/>
      <c r="E823" s="160"/>
      <c r="F823" s="160"/>
      <c r="G823" s="160"/>
      <c r="H823" s="161"/>
    </row>
    <row r="824" spans="2:8" ht="15" customHeight="1" x14ac:dyDescent="0.2">
      <c r="B824" s="163"/>
      <c r="C824" s="159"/>
      <c r="D824" s="160"/>
      <c r="E824" s="160"/>
      <c r="F824" s="160"/>
      <c r="G824" s="160"/>
      <c r="H824" s="161"/>
    </row>
    <row r="825" spans="2:8" ht="15" customHeight="1" x14ac:dyDescent="0.2">
      <c r="B825" s="163"/>
      <c r="C825" s="159"/>
      <c r="D825" s="160"/>
      <c r="E825" s="160"/>
      <c r="F825" s="160"/>
      <c r="G825" s="160"/>
      <c r="H825" s="161"/>
    </row>
    <row r="826" spans="2:8" ht="15" customHeight="1" x14ac:dyDescent="0.2">
      <c r="B826" s="163"/>
      <c r="C826" s="159"/>
      <c r="D826" s="160"/>
      <c r="E826" s="160"/>
      <c r="F826" s="160"/>
      <c r="G826" s="160"/>
      <c r="H826" s="161"/>
    </row>
    <row r="827" spans="2:8" ht="15" customHeight="1" x14ac:dyDescent="0.2">
      <c r="B827" s="163"/>
      <c r="C827" s="159"/>
      <c r="D827" s="160"/>
      <c r="E827" s="160"/>
      <c r="F827" s="160"/>
      <c r="G827" s="160"/>
      <c r="H827" s="161"/>
    </row>
    <row r="828" spans="2:8" ht="15" customHeight="1" x14ac:dyDescent="0.2">
      <c r="B828" s="163"/>
      <c r="C828" s="159"/>
      <c r="D828" s="160"/>
      <c r="E828" s="160"/>
      <c r="F828" s="160"/>
      <c r="G828" s="160"/>
      <c r="H828" s="161"/>
    </row>
    <row r="829" spans="2:8" ht="15" customHeight="1" x14ac:dyDescent="0.2">
      <c r="B829" s="163"/>
      <c r="C829" s="159"/>
      <c r="D829" s="160"/>
      <c r="E829" s="160"/>
      <c r="F829" s="160"/>
      <c r="G829" s="160"/>
      <c r="H829" s="161"/>
    </row>
    <row r="830" spans="2:8" ht="15" customHeight="1" x14ac:dyDescent="0.2">
      <c r="B830" s="163"/>
      <c r="C830" s="159"/>
      <c r="D830" s="160"/>
      <c r="E830" s="160"/>
      <c r="F830" s="160"/>
      <c r="G830" s="160"/>
      <c r="H830" s="161"/>
    </row>
    <row r="831" spans="2:8" ht="15" customHeight="1" x14ac:dyDescent="0.2">
      <c r="B831" s="163"/>
      <c r="C831" s="159"/>
      <c r="D831" s="160"/>
      <c r="E831" s="160"/>
      <c r="F831" s="160"/>
      <c r="G831" s="160"/>
      <c r="H831" s="161"/>
    </row>
    <row r="832" spans="2:8" ht="15" customHeight="1" x14ac:dyDescent="0.2">
      <c r="B832" s="163"/>
      <c r="C832" s="159"/>
      <c r="D832" s="160"/>
      <c r="E832" s="160"/>
      <c r="F832" s="160"/>
      <c r="G832" s="160"/>
      <c r="H832" s="161"/>
    </row>
    <row r="833" spans="2:8" ht="15" customHeight="1" x14ac:dyDescent="0.2">
      <c r="B833" s="163"/>
      <c r="C833" s="159"/>
      <c r="D833" s="160"/>
      <c r="E833" s="160"/>
      <c r="F833" s="160"/>
      <c r="G833" s="160"/>
      <c r="H833" s="161"/>
    </row>
    <row r="834" spans="2:8" ht="15" customHeight="1" x14ac:dyDescent="0.2">
      <c r="B834" s="163"/>
      <c r="C834" s="159"/>
      <c r="D834" s="160"/>
      <c r="E834" s="160"/>
      <c r="F834" s="160"/>
      <c r="G834" s="160"/>
      <c r="H834" s="161"/>
    </row>
    <row r="835" spans="2:8" ht="15" customHeight="1" x14ac:dyDescent="0.2">
      <c r="B835" s="163"/>
      <c r="C835" s="159"/>
      <c r="D835" s="160"/>
      <c r="E835" s="160"/>
      <c r="F835" s="160"/>
      <c r="G835" s="160"/>
      <c r="H835" s="161"/>
    </row>
    <row r="836" spans="2:8" ht="15" customHeight="1" x14ac:dyDescent="0.2">
      <c r="B836" s="163"/>
      <c r="C836" s="159"/>
      <c r="D836" s="160"/>
      <c r="E836" s="160"/>
      <c r="F836" s="160"/>
      <c r="G836" s="160"/>
      <c r="H836" s="161"/>
    </row>
    <row r="837" spans="2:8" ht="15" customHeight="1" x14ac:dyDescent="0.2">
      <c r="B837" s="163"/>
      <c r="C837" s="159"/>
      <c r="D837" s="160"/>
      <c r="E837" s="160"/>
      <c r="F837" s="160"/>
      <c r="G837" s="160"/>
      <c r="H837" s="161"/>
    </row>
    <row r="838" spans="2:8" ht="15" customHeight="1" x14ac:dyDescent="0.2">
      <c r="B838" s="163"/>
      <c r="C838" s="159"/>
      <c r="D838" s="160"/>
      <c r="E838" s="160"/>
      <c r="F838" s="160"/>
      <c r="G838" s="160"/>
      <c r="H838" s="161"/>
    </row>
    <row r="839" spans="2:8" ht="15" customHeight="1" x14ac:dyDescent="0.2">
      <c r="B839" s="163"/>
      <c r="C839" s="159"/>
      <c r="D839" s="160"/>
      <c r="E839" s="160"/>
      <c r="F839" s="160"/>
      <c r="G839" s="160"/>
      <c r="H839" s="161"/>
    </row>
    <row r="840" spans="2:8" ht="15" customHeight="1" x14ac:dyDescent="0.2">
      <c r="B840" s="163"/>
      <c r="C840" s="159"/>
      <c r="D840" s="160"/>
      <c r="E840" s="160"/>
      <c r="F840" s="160"/>
      <c r="G840" s="160"/>
      <c r="H840" s="161"/>
    </row>
    <row r="841" spans="2:8" ht="15" customHeight="1" x14ac:dyDescent="0.2">
      <c r="B841" s="163"/>
      <c r="C841" s="159"/>
      <c r="D841" s="160"/>
      <c r="E841" s="160"/>
      <c r="F841" s="160"/>
      <c r="G841" s="160"/>
      <c r="H841" s="161"/>
    </row>
    <row r="842" spans="2:8" ht="15" customHeight="1" x14ac:dyDescent="0.2">
      <c r="B842" s="163"/>
      <c r="C842" s="159"/>
      <c r="D842" s="160"/>
      <c r="E842" s="160"/>
      <c r="F842" s="160"/>
      <c r="G842" s="160"/>
      <c r="H842" s="161"/>
    </row>
    <row r="843" spans="2:8" ht="15" customHeight="1" x14ac:dyDescent="0.2">
      <c r="B843" s="163"/>
      <c r="C843" s="159"/>
      <c r="D843" s="160"/>
      <c r="E843" s="160"/>
      <c r="F843" s="160"/>
      <c r="G843" s="160"/>
      <c r="H843" s="161"/>
    </row>
    <row r="844" spans="2:8" ht="15" customHeight="1" x14ac:dyDescent="0.2">
      <c r="B844" s="163"/>
      <c r="C844" s="159"/>
      <c r="D844" s="160"/>
      <c r="E844" s="160"/>
      <c r="F844" s="160"/>
      <c r="G844" s="160"/>
      <c r="H844" s="161"/>
    </row>
    <row r="845" spans="2:8" ht="15" customHeight="1" x14ac:dyDescent="0.2">
      <c r="B845" s="163"/>
      <c r="C845" s="159"/>
      <c r="D845" s="160"/>
      <c r="E845" s="160"/>
      <c r="F845" s="160"/>
      <c r="G845" s="160"/>
      <c r="H845" s="161"/>
    </row>
    <row r="846" spans="2:8" ht="15" customHeight="1" x14ac:dyDescent="0.2">
      <c r="B846" s="163"/>
      <c r="C846" s="159"/>
      <c r="D846" s="160"/>
      <c r="E846" s="160"/>
      <c r="F846" s="160"/>
      <c r="G846" s="160"/>
      <c r="H846" s="161"/>
    </row>
    <row r="847" spans="2:8" ht="15" customHeight="1" x14ac:dyDescent="0.2">
      <c r="B847" s="163"/>
      <c r="C847" s="159"/>
      <c r="D847" s="160"/>
      <c r="E847" s="160"/>
      <c r="F847" s="160"/>
      <c r="G847" s="160"/>
      <c r="H847" s="161"/>
    </row>
    <row r="848" spans="2:8" ht="15" customHeight="1" x14ac:dyDescent="0.2">
      <c r="B848" s="163"/>
      <c r="C848" s="159"/>
      <c r="D848" s="160"/>
      <c r="E848" s="160"/>
      <c r="F848" s="160"/>
      <c r="G848" s="160"/>
      <c r="H848" s="161"/>
    </row>
    <row r="849" spans="2:8" ht="15" customHeight="1" x14ac:dyDescent="0.2">
      <c r="B849" s="163"/>
      <c r="C849" s="159"/>
      <c r="D849" s="160"/>
      <c r="E849" s="160"/>
      <c r="F849" s="160"/>
      <c r="G849" s="160"/>
      <c r="H849" s="161"/>
    </row>
    <row r="850" spans="2:8" ht="15" customHeight="1" x14ac:dyDescent="0.2">
      <c r="B850" s="163"/>
      <c r="C850" s="159"/>
      <c r="D850" s="160"/>
      <c r="E850" s="160"/>
      <c r="F850" s="160"/>
      <c r="G850" s="160"/>
      <c r="H850" s="161"/>
    </row>
    <row r="851" spans="2:8" ht="15" customHeight="1" x14ac:dyDescent="0.2">
      <c r="B851" s="163"/>
      <c r="C851" s="159"/>
      <c r="D851" s="160"/>
      <c r="E851" s="160"/>
      <c r="F851" s="160"/>
      <c r="G851" s="160"/>
      <c r="H851" s="161"/>
    </row>
    <row r="852" spans="2:8" ht="15" customHeight="1" x14ac:dyDescent="0.2">
      <c r="B852" s="163"/>
      <c r="C852" s="159"/>
      <c r="D852" s="160"/>
      <c r="E852" s="160"/>
      <c r="F852" s="160"/>
      <c r="G852" s="160"/>
      <c r="H852" s="161"/>
    </row>
    <row r="853" spans="2:8" ht="15" customHeight="1" x14ac:dyDescent="0.2">
      <c r="B853" s="163"/>
      <c r="C853" s="159"/>
      <c r="D853" s="160"/>
      <c r="E853" s="160"/>
      <c r="F853" s="160"/>
      <c r="G853" s="160"/>
      <c r="H853" s="161"/>
    </row>
    <row r="854" spans="2:8" ht="15" customHeight="1" x14ac:dyDescent="0.2">
      <c r="B854" s="163"/>
      <c r="C854" s="159"/>
      <c r="D854" s="160"/>
      <c r="E854" s="160"/>
      <c r="F854" s="160"/>
      <c r="G854" s="160"/>
      <c r="H854" s="161"/>
    </row>
    <row r="855" spans="2:8" ht="15" customHeight="1" x14ac:dyDescent="0.2">
      <c r="B855" s="163"/>
      <c r="C855" s="159"/>
      <c r="D855" s="160"/>
      <c r="E855" s="160"/>
      <c r="F855" s="160"/>
      <c r="G855" s="160"/>
      <c r="H855" s="161"/>
    </row>
    <row r="856" spans="2:8" ht="15" customHeight="1" x14ac:dyDescent="0.2">
      <c r="B856" s="163"/>
      <c r="C856" s="159"/>
      <c r="D856" s="160"/>
      <c r="E856" s="160"/>
      <c r="F856" s="160"/>
      <c r="G856" s="160"/>
      <c r="H856" s="161"/>
    </row>
    <row r="857" spans="2:8" ht="15" customHeight="1" x14ac:dyDescent="0.2">
      <c r="B857" s="163"/>
      <c r="C857" s="159"/>
      <c r="D857" s="160"/>
      <c r="E857" s="160"/>
      <c r="F857" s="160"/>
      <c r="G857" s="160"/>
      <c r="H857" s="161"/>
    </row>
    <row r="858" spans="2:8" ht="15" customHeight="1" x14ac:dyDescent="0.2">
      <c r="B858" s="163"/>
      <c r="C858" s="159"/>
      <c r="D858" s="160"/>
      <c r="E858" s="160"/>
      <c r="F858" s="160"/>
      <c r="G858" s="160"/>
      <c r="H858" s="161"/>
    </row>
    <row r="859" spans="2:8" ht="15" customHeight="1" x14ac:dyDescent="0.2">
      <c r="B859" s="163"/>
      <c r="C859" s="159"/>
      <c r="D859" s="160"/>
      <c r="E859" s="160"/>
      <c r="F859" s="160"/>
      <c r="G859" s="160"/>
      <c r="H859" s="161"/>
    </row>
    <row r="860" spans="2:8" ht="15" customHeight="1" x14ac:dyDescent="0.2">
      <c r="B860" s="163"/>
      <c r="C860" s="159"/>
      <c r="D860" s="160"/>
      <c r="E860" s="160"/>
      <c r="F860" s="160"/>
      <c r="G860" s="160"/>
      <c r="H860" s="161"/>
    </row>
    <row r="861" spans="2:8" ht="15" customHeight="1" x14ac:dyDescent="0.2">
      <c r="B861" s="163"/>
      <c r="C861" s="159"/>
      <c r="D861" s="160"/>
      <c r="E861" s="160"/>
      <c r="F861" s="160"/>
      <c r="G861" s="160"/>
      <c r="H861" s="161"/>
    </row>
    <row r="862" spans="2:8" ht="15" customHeight="1" x14ac:dyDescent="0.2">
      <c r="B862" s="163"/>
      <c r="C862" s="159"/>
      <c r="D862" s="160"/>
      <c r="E862" s="160"/>
      <c r="F862" s="160"/>
      <c r="G862" s="160"/>
      <c r="H862" s="161"/>
    </row>
    <row r="863" spans="2:8" ht="15" customHeight="1" x14ac:dyDescent="0.2">
      <c r="B863" s="163"/>
      <c r="C863" s="159"/>
      <c r="D863" s="160"/>
      <c r="E863" s="160"/>
      <c r="F863" s="160"/>
      <c r="G863" s="160"/>
      <c r="H863" s="161"/>
    </row>
    <row r="864" spans="2:8" ht="15" customHeight="1" x14ac:dyDescent="0.2">
      <c r="B864" s="163"/>
      <c r="C864" s="159"/>
      <c r="D864" s="160"/>
      <c r="E864" s="160"/>
      <c r="F864" s="160"/>
      <c r="G864" s="160"/>
      <c r="H864" s="161"/>
    </row>
    <row r="865" spans="2:8" ht="15" customHeight="1" x14ac:dyDescent="0.2">
      <c r="B865" s="163"/>
      <c r="C865" s="159"/>
      <c r="D865" s="160"/>
      <c r="E865" s="160"/>
      <c r="F865" s="160"/>
      <c r="G865" s="160"/>
      <c r="H865" s="161"/>
    </row>
    <row r="866" spans="2:8" ht="15" customHeight="1" x14ac:dyDescent="0.2">
      <c r="B866" s="163"/>
      <c r="C866" s="159"/>
      <c r="D866" s="160"/>
      <c r="E866" s="160"/>
      <c r="F866" s="160"/>
      <c r="G866" s="160"/>
      <c r="H866" s="161"/>
    </row>
    <row r="867" spans="2:8" ht="15" customHeight="1" x14ac:dyDescent="0.2">
      <c r="B867" s="163"/>
      <c r="C867" s="159"/>
      <c r="D867" s="160"/>
      <c r="E867" s="160"/>
      <c r="F867" s="160"/>
      <c r="G867" s="160"/>
      <c r="H867" s="161"/>
    </row>
    <row r="868" spans="2:8" ht="15" customHeight="1" x14ac:dyDescent="0.2">
      <c r="B868" s="163"/>
      <c r="C868" s="159"/>
      <c r="D868" s="160"/>
      <c r="E868" s="160"/>
      <c r="F868" s="160"/>
      <c r="G868" s="160"/>
      <c r="H868" s="161"/>
    </row>
    <row r="869" spans="2:8" ht="15" customHeight="1" x14ac:dyDescent="0.2">
      <c r="B869" s="163"/>
      <c r="C869" s="159"/>
      <c r="D869" s="160"/>
      <c r="E869" s="160"/>
      <c r="F869" s="160"/>
      <c r="G869" s="160"/>
      <c r="H869" s="161"/>
    </row>
    <row r="870" spans="2:8" ht="15" customHeight="1" x14ac:dyDescent="0.2">
      <c r="B870" s="163"/>
      <c r="C870" s="159"/>
      <c r="D870" s="160"/>
      <c r="E870" s="160"/>
      <c r="F870" s="160"/>
      <c r="G870" s="160"/>
      <c r="H870" s="161"/>
    </row>
    <row r="871" spans="2:8" ht="15" customHeight="1" x14ac:dyDescent="0.2">
      <c r="B871" s="163"/>
      <c r="C871" s="159"/>
      <c r="D871" s="160"/>
      <c r="E871" s="160"/>
      <c r="F871" s="160"/>
      <c r="G871" s="160"/>
      <c r="H871" s="161"/>
    </row>
    <row r="872" spans="2:8" ht="15" customHeight="1" x14ac:dyDescent="0.2">
      <c r="B872" s="163"/>
      <c r="C872" s="159"/>
      <c r="D872" s="160"/>
      <c r="E872" s="160"/>
      <c r="F872" s="160"/>
      <c r="G872" s="160"/>
      <c r="H872" s="161"/>
    </row>
    <row r="873" spans="2:8" ht="15" customHeight="1" x14ac:dyDescent="0.2">
      <c r="B873" s="163"/>
      <c r="C873" s="159"/>
      <c r="D873" s="160"/>
      <c r="E873" s="160"/>
      <c r="F873" s="160"/>
      <c r="G873" s="160"/>
      <c r="H873" s="161"/>
    </row>
    <row r="874" spans="2:8" ht="15" customHeight="1" x14ac:dyDescent="0.2">
      <c r="B874" s="163"/>
      <c r="C874" s="159"/>
      <c r="D874" s="160"/>
      <c r="E874" s="160"/>
      <c r="F874" s="160"/>
      <c r="G874" s="160"/>
      <c r="H874" s="161"/>
    </row>
    <row r="875" spans="2:8" ht="15" customHeight="1" x14ac:dyDescent="0.2">
      <c r="B875" s="163"/>
      <c r="C875" s="159"/>
      <c r="D875" s="160"/>
      <c r="E875" s="160"/>
      <c r="F875" s="160"/>
      <c r="G875" s="160"/>
      <c r="H875" s="161"/>
    </row>
    <row r="876" spans="2:8" ht="15" customHeight="1" x14ac:dyDescent="0.2">
      <c r="B876" s="163"/>
      <c r="C876" s="159"/>
      <c r="D876" s="160"/>
      <c r="E876" s="160"/>
      <c r="F876" s="160"/>
      <c r="G876" s="160"/>
      <c r="H876" s="161"/>
    </row>
    <row r="877" spans="2:8" ht="15" customHeight="1" x14ac:dyDescent="0.2">
      <c r="B877" s="163"/>
      <c r="C877" s="159"/>
      <c r="D877" s="160"/>
      <c r="E877" s="160"/>
      <c r="F877" s="160"/>
      <c r="G877" s="160"/>
      <c r="H877" s="161"/>
    </row>
    <row r="878" spans="2:8" ht="15" customHeight="1" x14ac:dyDescent="0.2">
      <c r="B878" s="163"/>
      <c r="C878" s="159"/>
      <c r="D878" s="160"/>
      <c r="E878" s="160"/>
      <c r="F878" s="160"/>
      <c r="G878" s="160"/>
      <c r="H878" s="161"/>
    </row>
    <row r="879" spans="2:8" ht="15" customHeight="1" x14ac:dyDescent="0.2">
      <c r="B879" s="163"/>
      <c r="C879" s="159"/>
      <c r="D879" s="160"/>
      <c r="E879" s="160"/>
      <c r="F879" s="160"/>
      <c r="G879" s="160"/>
      <c r="H879" s="161"/>
    </row>
    <row r="880" spans="2:8" ht="15" customHeight="1" x14ac:dyDescent="0.2">
      <c r="B880" s="163"/>
      <c r="C880" s="159"/>
      <c r="D880" s="160"/>
      <c r="E880" s="160"/>
      <c r="F880" s="160"/>
      <c r="G880" s="160"/>
      <c r="H880" s="161"/>
    </row>
    <row r="881" spans="2:8" ht="15" customHeight="1" x14ac:dyDescent="0.2">
      <c r="B881" s="163"/>
      <c r="C881" s="159"/>
      <c r="D881" s="160"/>
      <c r="E881" s="160"/>
      <c r="F881" s="160"/>
      <c r="G881" s="160"/>
      <c r="H881" s="161"/>
    </row>
    <row r="882" spans="2:8" ht="15" customHeight="1" x14ac:dyDescent="0.2">
      <c r="B882" s="163"/>
      <c r="C882" s="159"/>
      <c r="D882" s="160"/>
      <c r="E882" s="160"/>
      <c r="F882" s="160"/>
      <c r="G882" s="160"/>
      <c r="H882" s="161"/>
    </row>
    <row r="883" spans="2:8" ht="15" customHeight="1" x14ac:dyDescent="0.2">
      <c r="B883" s="163"/>
      <c r="C883" s="159"/>
      <c r="D883" s="160"/>
      <c r="E883" s="160"/>
      <c r="F883" s="160"/>
      <c r="G883" s="160"/>
      <c r="H883" s="161"/>
    </row>
    <row r="884" spans="2:8" ht="15" customHeight="1" x14ac:dyDescent="0.2">
      <c r="B884" s="163"/>
      <c r="C884" s="159"/>
      <c r="D884" s="160"/>
      <c r="E884" s="160"/>
      <c r="F884" s="160"/>
      <c r="G884" s="160"/>
      <c r="H884" s="161"/>
    </row>
    <row r="885" spans="2:8" ht="15" customHeight="1" x14ac:dyDescent="0.2">
      <c r="B885" s="163"/>
      <c r="C885" s="159"/>
      <c r="D885" s="160"/>
      <c r="E885" s="160"/>
      <c r="F885" s="160"/>
      <c r="G885" s="160"/>
      <c r="H885" s="161"/>
    </row>
    <row r="886" spans="2:8" ht="15" customHeight="1" x14ac:dyDescent="0.2">
      <c r="B886" s="163"/>
      <c r="C886" s="159"/>
      <c r="D886" s="160"/>
      <c r="E886" s="160"/>
      <c r="F886" s="160"/>
      <c r="G886" s="160"/>
      <c r="H886" s="161"/>
    </row>
    <row r="887" spans="2:8" ht="15" customHeight="1" x14ac:dyDescent="0.2">
      <c r="B887" s="163"/>
      <c r="C887" s="159"/>
      <c r="D887" s="160"/>
      <c r="E887" s="160"/>
      <c r="F887" s="160"/>
      <c r="G887" s="160"/>
      <c r="H887" s="161"/>
    </row>
    <row r="888" spans="2:8" ht="15" customHeight="1" x14ac:dyDescent="0.2">
      <c r="B888" s="163"/>
      <c r="C888" s="159"/>
      <c r="D888" s="160"/>
      <c r="E888" s="160"/>
      <c r="F888" s="160"/>
      <c r="G888" s="160"/>
      <c r="H888" s="161"/>
    </row>
    <row r="889" spans="2:8" ht="15" customHeight="1" x14ac:dyDescent="0.2">
      <c r="B889" s="163"/>
      <c r="C889" s="159"/>
      <c r="D889" s="160"/>
      <c r="E889" s="160"/>
      <c r="F889" s="160"/>
      <c r="G889" s="160"/>
      <c r="H889" s="161"/>
    </row>
    <row r="890" spans="2:8" ht="15" customHeight="1" x14ac:dyDescent="0.2">
      <c r="B890" s="163"/>
      <c r="C890" s="159"/>
      <c r="D890" s="160"/>
      <c r="E890" s="160"/>
      <c r="F890" s="160"/>
      <c r="G890" s="160"/>
      <c r="H890" s="161"/>
    </row>
    <row r="891" spans="2:8" ht="15" customHeight="1" x14ac:dyDescent="0.2">
      <c r="B891" s="163"/>
      <c r="C891" s="159"/>
      <c r="D891" s="160"/>
      <c r="E891" s="160"/>
      <c r="F891" s="160"/>
      <c r="G891" s="160"/>
      <c r="H891" s="161"/>
    </row>
    <row r="892" spans="2:8" ht="15" customHeight="1" x14ac:dyDescent="0.2">
      <c r="B892" s="163"/>
      <c r="C892" s="159"/>
      <c r="D892" s="160"/>
      <c r="E892" s="160"/>
      <c r="F892" s="160"/>
      <c r="G892" s="160"/>
      <c r="H892" s="161"/>
    </row>
    <row r="893" spans="2:8" ht="15" customHeight="1" x14ac:dyDescent="0.2">
      <c r="B893" s="163"/>
      <c r="C893" s="159"/>
      <c r="D893" s="160"/>
      <c r="E893" s="160"/>
      <c r="F893" s="160"/>
      <c r="G893" s="160"/>
      <c r="H893" s="161"/>
    </row>
    <row r="894" spans="2:8" ht="15" customHeight="1" x14ac:dyDescent="0.2">
      <c r="B894" s="163"/>
      <c r="C894" s="159"/>
      <c r="D894" s="160"/>
      <c r="E894" s="160"/>
      <c r="F894" s="160"/>
      <c r="G894" s="160"/>
      <c r="H894" s="161"/>
    </row>
    <row r="895" spans="2:8" ht="15" customHeight="1" x14ac:dyDescent="0.2">
      <c r="B895" s="163"/>
      <c r="C895" s="159"/>
      <c r="D895" s="160"/>
      <c r="E895" s="160"/>
      <c r="F895" s="160"/>
      <c r="G895" s="160"/>
      <c r="H895" s="161"/>
    </row>
    <row r="896" spans="2:8" ht="15" customHeight="1" x14ac:dyDescent="0.2">
      <c r="B896" s="163"/>
      <c r="C896" s="159"/>
      <c r="D896" s="160"/>
      <c r="E896" s="160"/>
      <c r="F896" s="160"/>
      <c r="G896" s="160"/>
      <c r="H896" s="161"/>
    </row>
    <row r="897" spans="2:8" ht="15" customHeight="1" x14ac:dyDescent="0.2">
      <c r="B897" s="163"/>
      <c r="C897" s="159"/>
      <c r="D897" s="160"/>
      <c r="E897" s="160"/>
      <c r="F897" s="160"/>
      <c r="G897" s="160"/>
      <c r="H897" s="161"/>
    </row>
    <row r="898" spans="2:8" ht="15" customHeight="1" x14ac:dyDescent="0.2">
      <c r="B898" s="163"/>
      <c r="C898" s="159"/>
      <c r="D898" s="160"/>
      <c r="E898" s="160"/>
      <c r="F898" s="160"/>
      <c r="G898" s="160"/>
      <c r="H898" s="161"/>
    </row>
    <row r="899" spans="2:8" ht="15" customHeight="1" x14ac:dyDescent="0.2">
      <c r="B899" s="163"/>
      <c r="C899" s="159"/>
      <c r="D899" s="160"/>
      <c r="E899" s="160"/>
      <c r="F899" s="160"/>
      <c r="G899" s="160"/>
      <c r="H899" s="161"/>
    </row>
    <row r="900" spans="2:8" ht="15" customHeight="1" x14ac:dyDescent="0.2">
      <c r="B900" s="163"/>
      <c r="C900" s="159"/>
      <c r="D900" s="160"/>
      <c r="E900" s="160"/>
      <c r="F900" s="160"/>
      <c r="G900" s="160"/>
      <c r="H900" s="161"/>
    </row>
    <row r="901" spans="2:8" ht="15" customHeight="1" x14ac:dyDescent="0.2">
      <c r="B901" s="163"/>
      <c r="C901" s="159"/>
      <c r="D901" s="160"/>
      <c r="E901" s="160"/>
      <c r="F901" s="160"/>
      <c r="G901" s="160"/>
      <c r="H901" s="161"/>
    </row>
    <row r="902" spans="2:8" ht="15" customHeight="1" x14ac:dyDescent="0.2">
      <c r="B902" s="163"/>
      <c r="C902" s="159"/>
      <c r="D902" s="160"/>
      <c r="E902" s="160"/>
      <c r="F902" s="160"/>
      <c r="G902" s="160"/>
      <c r="H902" s="161"/>
    </row>
    <row r="903" spans="2:8" ht="15" customHeight="1" x14ac:dyDescent="0.2">
      <c r="B903" s="163"/>
      <c r="C903" s="159"/>
      <c r="D903" s="160"/>
      <c r="E903" s="160"/>
      <c r="F903" s="160"/>
      <c r="G903" s="160"/>
      <c r="H903" s="161"/>
    </row>
    <row r="904" spans="2:8" ht="15" customHeight="1" x14ac:dyDescent="0.2">
      <c r="B904" s="163"/>
      <c r="C904" s="159"/>
      <c r="D904" s="160"/>
      <c r="E904" s="160"/>
      <c r="F904" s="160"/>
      <c r="G904" s="160"/>
      <c r="H904" s="161"/>
    </row>
    <row r="905" spans="2:8" ht="15" customHeight="1" x14ac:dyDescent="0.2">
      <c r="B905" s="163"/>
      <c r="C905" s="159"/>
      <c r="D905" s="160"/>
      <c r="E905" s="160"/>
      <c r="F905" s="160"/>
      <c r="G905" s="160"/>
      <c r="H905" s="161"/>
    </row>
    <row r="906" spans="2:8" ht="15" customHeight="1" x14ac:dyDescent="0.2">
      <c r="B906" s="163"/>
      <c r="C906" s="159"/>
      <c r="D906" s="160"/>
      <c r="E906" s="160"/>
      <c r="F906" s="160"/>
      <c r="G906" s="160"/>
      <c r="H906" s="161"/>
    </row>
    <row r="907" spans="2:8" ht="15" customHeight="1" x14ac:dyDescent="0.2">
      <c r="B907" s="163"/>
      <c r="C907" s="159"/>
      <c r="D907" s="160"/>
      <c r="E907" s="160"/>
      <c r="F907" s="160"/>
      <c r="G907" s="160"/>
      <c r="H907" s="161"/>
    </row>
    <row r="908" spans="2:8" ht="15" customHeight="1" x14ac:dyDescent="0.2">
      <c r="B908" s="163"/>
      <c r="C908" s="159"/>
      <c r="D908" s="160"/>
      <c r="E908" s="160"/>
      <c r="F908" s="160"/>
      <c r="G908" s="160"/>
      <c r="H908" s="161"/>
    </row>
    <row r="909" spans="2:8" ht="15" customHeight="1" x14ac:dyDescent="0.2">
      <c r="B909" s="163"/>
      <c r="C909" s="159"/>
      <c r="D909" s="160"/>
      <c r="E909" s="160"/>
      <c r="F909" s="160"/>
      <c r="G909" s="160"/>
      <c r="H909" s="161"/>
    </row>
    <row r="910" spans="2:8" ht="15" customHeight="1" x14ac:dyDescent="0.2">
      <c r="B910" s="163"/>
      <c r="C910" s="159"/>
      <c r="D910" s="160"/>
      <c r="E910" s="160"/>
      <c r="F910" s="160"/>
      <c r="G910" s="160"/>
      <c r="H910" s="161"/>
    </row>
    <row r="911" spans="2:8" ht="15" customHeight="1" x14ac:dyDescent="0.2">
      <c r="B911" s="163"/>
      <c r="C911" s="159"/>
      <c r="D911" s="160"/>
      <c r="E911" s="160"/>
      <c r="F911" s="160"/>
      <c r="G911" s="160"/>
      <c r="H911" s="161"/>
    </row>
    <row r="912" spans="2:8" ht="15" customHeight="1" x14ac:dyDescent="0.2">
      <c r="B912" s="163"/>
      <c r="C912" s="159"/>
      <c r="D912" s="160"/>
      <c r="E912" s="160"/>
      <c r="F912" s="160"/>
      <c r="G912" s="160"/>
      <c r="H912" s="161"/>
    </row>
    <row r="913" spans="2:8" ht="15" customHeight="1" x14ac:dyDescent="0.2">
      <c r="B913" s="163"/>
      <c r="C913" s="159"/>
      <c r="D913" s="160"/>
      <c r="E913" s="160"/>
      <c r="F913" s="160"/>
      <c r="G913" s="160"/>
      <c r="H913" s="161"/>
    </row>
    <row r="914" spans="2:8" ht="15" customHeight="1" x14ac:dyDescent="0.2">
      <c r="B914" s="163"/>
      <c r="C914" s="159"/>
      <c r="D914" s="160"/>
      <c r="E914" s="160"/>
      <c r="F914" s="160"/>
      <c r="G914" s="160"/>
      <c r="H914" s="161"/>
    </row>
    <row r="915" spans="2:8" ht="15" customHeight="1" x14ac:dyDescent="0.2">
      <c r="B915" s="163"/>
      <c r="C915" s="159"/>
      <c r="D915" s="160"/>
      <c r="E915" s="160"/>
      <c r="F915" s="160"/>
      <c r="G915" s="160"/>
      <c r="H915" s="161"/>
    </row>
    <row r="916" spans="2:8" ht="15" customHeight="1" x14ac:dyDescent="0.2">
      <c r="B916" s="163"/>
      <c r="C916" s="159"/>
      <c r="D916" s="160"/>
      <c r="E916" s="160"/>
      <c r="F916" s="160"/>
      <c r="G916" s="160"/>
      <c r="H916" s="161"/>
    </row>
    <row r="917" spans="2:8" ht="15" customHeight="1" x14ac:dyDescent="0.2">
      <c r="B917" s="163"/>
      <c r="C917" s="159"/>
      <c r="D917" s="160"/>
      <c r="E917" s="160"/>
      <c r="F917" s="160"/>
      <c r="G917" s="160"/>
      <c r="H917" s="161"/>
    </row>
    <row r="918" spans="2:8" ht="15" customHeight="1" x14ac:dyDescent="0.2">
      <c r="B918" s="163"/>
      <c r="C918" s="159"/>
      <c r="D918" s="160"/>
      <c r="E918" s="160"/>
      <c r="F918" s="160"/>
      <c r="G918" s="160"/>
      <c r="H918" s="161"/>
    </row>
    <row r="919" spans="2:8" ht="15" customHeight="1" x14ac:dyDescent="0.2">
      <c r="B919" s="163"/>
      <c r="C919" s="159"/>
      <c r="D919" s="160"/>
      <c r="E919" s="160"/>
      <c r="F919" s="160"/>
      <c r="G919" s="160"/>
      <c r="H919" s="161"/>
    </row>
    <row r="920" spans="2:8" ht="15" customHeight="1" x14ac:dyDescent="0.2">
      <c r="B920" s="163"/>
      <c r="C920" s="159"/>
      <c r="D920" s="160"/>
      <c r="E920" s="160"/>
      <c r="F920" s="160"/>
      <c r="G920" s="160"/>
      <c r="H920" s="161"/>
    </row>
    <row r="921" spans="2:8" ht="15" customHeight="1" x14ac:dyDescent="0.2">
      <c r="B921" s="163"/>
      <c r="C921" s="159"/>
      <c r="D921" s="160"/>
      <c r="E921" s="160"/>
      <c r="F921" s="160"/>
      <c r="G921" s="160"/>
      <c r="H921" s="161"/>
    </row>
    <row r="922" spans="2:8" ht="15" customHeight="1" x14ac:dyDescent="0.2">
      <c r="B922" s="163"/>
      <c r="C922" s="159"/>
      <c r="D922" s="160"/>
      <c r="E922" s="160"/>
      <c r="F922" s="160"/>
      <c r="G922" s="160"/>
      <c r="H922" s="161"/>
    </row>
    <row r="923" spans="2:8" ht="15" customHeight="1" x14ac:dyDescent="0.2">
      <c r="B923" s="163"/>
      <c r="C923" s="159"/>
      <c r="D923" s="160"/>
      <c r="E923" s="160"/>
      <c r="F923" s="160"/>
      <c r="G923" s="160"/>
      <c r="H923" s="161"/>
    </row>
    <row r="924" spans="2:8" ht="15" customHeight="1" x14ac:dyDescent="0.2">
      <c r="B924" s="163"/>
      <c r="C924" s="159"/>
      <c r="D924" s="160"/>
      <c r="E924" s="160"/>
      <c r="F924" s="160"/>
      <c r="G924" s="160"/>
      <c r="H924" s="161"/>
    </row>
    <row r="925" spans="2:8" ht="15" customHeight="1" x14ac:dyDescent="0.2">
      <c r="B925" s="163"/>
      <c r="C925" s="159"/>
      <c r="D925" s="160"/>
      <c r="E925" s="160"/>
      <c r="F925" s="160"/>
      <c r="G925" s="160"/>
      <c r="H925" s="161"/>
    </row>
    <row r="926" spans="2:8" ht="15" customHeight="1" x14ac:dyDescent="0.2">
      <c r="B926" s="163"/>
      <c r="C926" s="159"/>
      <c r="D926" s="160"/>
      <c r="E926" s="160"/>
      <c r="F926" s="160"/>
      <c r="G926" s="160"/>
      <c r="H926" s="161"/>
    </row>
    <row r="927" spans="2:8" ht="15" customHeight="1" x14ac:dyDescent="0.2">
      <c r="B927" s="163"/>
      <c r="C927" s="159"/>
      <c r="D927" s="160"/>
      <c r="E927" s="160"/>
      <c r="F927" s="160"/>
      <c r="G927" s="160"/>
      <c r="H927" s="161"/>
    </row>
    <row r="928" spans="2:8" ht="15" customHeight="1" x14ac:dyDescent="0.2">
      <c r="B928" s="163"/>
      <c r="C928" s="159"/>
      <c r="D928" s="160"/>
      <c r="E928" s="160"/>
      <c r="F928" s="160"/>
      <c r="G928" s="160"/>
      <c r="H928" s="161"/>
    </row>
    <row r="929" spans="2:8" ht="15" customHeight="1" x14ac:dyDescent="0.2">
      <c r="B929" s="163"/>
      <c r="C929" s="159"/>
      <c r="D929" s="160"/>
      <c r="E929" s="160"/>
      <c r="F929" s="160"/>
      <c r="G929" s="160"/>
      <c r="H929" s="161"/>
    </row>
    <row r="930" spans="2:8" ht="15" customHeight="1" x14ac:dyDescent="0.2">
      <c r="B930" s="163"/>
      <c r="C930" s="159"/>
      <c r="D930" s="160"/>
      <c r="E930" s="160"/>
      <c r="F930" s="160"/>
      <c r="G930" s="160"/>
      <c r="H930" s="161"/>
    </row>
    <row r="931" spans="2:8" ht="15" customHeight="1" x14ac:dyDescent="0.2">
      <c r="B931" s="163"/>
      <c r="C931" s="159"/>
      <c r="D931" s="160"/>
      <c r="E931" s="160"/>
      <c r="F931" s="160"/>
      <c r="G931" s="160"/>
      <c r="H931" s="161"/>
    </row>
    <row r="932" spans="2:8" ht="15" customHeight="1" x14ac:dyDescent="0.2">
      <c r="B932" s="163"/>
      <c r="C932" s="159"/>
      <c r="D932" s="160"/>
      <c r="E932" s="160"/>
      <c r="F932" s="160"/>
      <c r="G932" s="160"/>
      <c r="H932" s="161"/>
    </row>
    <row r="933" spans="2:8" ht="15" customHeight="1" x14ac:dyDescent="0.2">
      <c r="B933" s="163"/>
      <c r="C933" s="159"/>
      <c r="D933" s="160"/>
      <c r="E933" s="160"/>
      <c r="F933" s="160"/>
      <c r="G933" s="160"/>
      <c r="H933" s="161"/>
    </row>
    <row r="934" spans="2:8" ht="15" customHeight="1" x14ac:dyDescent="0.2">
      <c r="B934" s="163"/>
      <c r="C934" s="159"/>
      <c r="D934" s="160"/>
      <c r="E934" s="160"/>
      <c r="F934" s="160"/>
      <c r="G934" s="160"/>
      <c r="H934" s="161"/>
    </row>
    <row r="935" spans="2:8" ht="15" customHeight="1" x14ac:dyDescent="0.2">
      <c r="B935" s="163"/>
      <c r="C935" s="159"/>
      <c r="D935" s="160"/>
      <c r="E935" s="160"/>
      <c r="F935" s="160"/>
      <c r="G935" s="160"/>
      <c r="H935" s="161"/>
    </row>
    <row r="936" spans="2:8" ht="15" customHeight="1" x14ac:dyDescent="0.2">
      <c r="B936" s="163"/>
      <c r="C936" s="159"/>
      <c r="D936" s="160"/>
      <c r="E936" s="160"/>
      <c r="F936" s="160"/>
      <c r="G936" s="160"/>
      <c r="H936" s="161"/>
    </row>
    <row r="937" spans="2:8" ht="15" customHeight="1" x14ac:dyDescent="0.2">
      <c r="B937" s="163"/>
      <c r="C937" s="159"/>
      <c r="D937" s="160"/>
      <c r="E937" s="160"/>
      <c r="F937" s="160"/>
      <c r="G937" s="160"/>
      <c r="H937" s="161"/>
    </row>
    <row r="938" spans="2:8" ht="15" customHeight="1" x14ac:dyDescent="0.2">
      <c r="B938" s="163"/>
      <c r="C938" s="159"/>
      <c r="D938" s="160"/>
      <c r="E938" s="160"/>
      <c r="F938" s="160"/>
      <c r="G938" s="160"/>
      <c r="H938" s="161"/>
    </row>
    <row r="939" spans="2:8" ht="15" customHeight="1" x14ac:dyDescent="0.2">
      <c r="B939" s="163"/>
      <c r="C939" s="159"/>
      <c r="D939" s="160"/>
      <c r="E939" s="160"/>
      <c r="F939" s="160"/>
      <c r="G939" s="160"/>
      <c r="H939" s="161"/>
    </row>
    <row r="940" spans="2:8" ht="15" customHeight="1" x14ac:dyDescent="0.2">
      <c r="B940" s="163"/>
      <c r="C940" s="159"/>
      <c r="D940" s="160"/>
      <c r="E940" s="160"/>
      <c r="F940" s="160"/>
      <c r="G940" s="160"/>
      <c r="H940" s="161"/>
    </row>
    <row r="941" spans="2:8" ht="15" customHeight="1" x14ac:dyDescent="0.2">
      <c r="B941" s="163"/>
      <c r="C941" s="159"/>
      <c r="D941" s="160"/>
      <c r="E941" s="160"/>
      <c r="F941" s="160"/>
      <c r="G941" s="160"/>
      <c r="H941" s="161"/>
    </row>
    <row r="942" spans="2:8" ht="15" customHeight="1" x14ac:dyDescent="0.2">
      <c r="B942" s="163"/>
      <c r="C942" s="159"/>
      <c r="D942" s="160"/>
      <c r="E942" s="160"/>
      <c r="F942" s="160"/>
      <c r="G942" s="160"/>
      <c r="H942" s="161"/>
    </row>
    <row r="943" spans="2:8" ht="15" customHeight="1" x14ac:dyDescent="0.2">
      <c r="B943" s="163"/>
      <c r="C943" s="159"/>
      <c r="D943" s="160"/>
      <c r="E943" s="160"/>
      <c r="F943" s="160"/>
      <c r="G943" s="160"/>
      <c r="H943" s="161"/>
    </row>
    <row r="944" spans="2:8" ht="15" customHeight="1" x14ac:dyDescent="0.2">
      <c r="B944" s="163"/>
      <c r="C944" s="159"/>
      <c r="D944" s="160"/>
      <c r="E944" s="160"/>
      <c r="F944" s="160"/>
      <c r="G944" s="160"/>
      <c r="H944" s="161"/>
    </row>
    <row r="945" spans="2:8" ht="15" customHeight="1" x14ac:dyDescent="0.2">
      <c r="B945" s="163"/>
      <c r="C945" s="159"/>
      <c r="D945" s="160"/>
      <c r="E945" s="160"/>
      <c r="F945" s="160"/>
      <c r="G945" s="160"/>
      <c r="H945" s="161"/>
    </row>
    <row r="946" spans="2:8" ht="15" customHeight="1" x14ac:dyDescent="0.2">
      <c r="B946" s="163"/>
      <c r="C946" s="159"/>
      <c r="D946" s="160"/>
      <c r="E946" s="160"/>
      <c r="F946" s="160"/>
      <c r="G946" s="160"/>
      <c r="H946" s="161"/>
    </row>
    <row r="947" spans="2:8" ht="15" customHeight="1" x14ac:dyDescent="0.2">
      <c r="B947" s="163"/>
      <c r="C947" s="159"/>
      <c r="D947" s="160"/>
      <c r="E947" s="160"/>
      <c r="F947" s="160"/>
      <c r="G947" s="160"/>
      <c r="H947" s="161"/>
    </row>
    <row r="948" spans="2:8" ht="15" customHeight="1" x14ac:dyDescent="0.2">
      <c r="B948" s="163"/>
      <c r="C948" s="159"/>
      <c r="D948" s="160"/>
      <c r="E948" s="160"/>
      <c r="F948" s="160"/>
      <c r="G948" s="160"/>
      <c r="H948" s="161"/>
    </row>
    <row r="949" spans="2:8" ht="15" customHeight="1" x14ac:dyDescent="0.2">
      <c r="B949" s="163"/>
      <c r="C949" s="159"/>
      <c r="D949" s="160"/>
      <c r="E949" s="160"/>
      <c r="F949" s="160"/>
      <c r="G949" s="160"/>
      <c r="H949" s="161"/>
    </row>
    <row r="950" spans="2:8" ht="15" customHeight="1" x14ac:dyDescent="0.2">
      <c r="B950" s="163"/>
      <c r="C950" s="159"/>
      <c r="D950" s="160"/>
      <c r="E950" s="160"/>
      <c r="F950" s="160"/>
      <c r="G950" s="160"/>
      <c r="H950" s="161"/>
    </row>
    <row r="951" spans="2:8" ht="15" customHeight="1" x14ac:dyDescent="0.2">
      <c r="B951" s="163"/>
      <c r="C951" s="159"/>
      <c r="D951" s="160"/>
      <c r="E951" s="160"/>
      <c r="F951" s="160"/>
      <c r="G951" s="160"/>
      <c r="H951" s="161"/>
    </row>
    <row r="952" spans="2:8" ht="15" customHeight="1" x14ac:dyDescent="0.2">
      <c r="B952" s="163"/>
      <c r="C952" s="159"/>
      <c r="D952" s="160"/>
      <c r="E952" s="160"/>
      <c r="F952" s="160"/>
      <c r="G952" s="160"/>
      <c r="H952" s="161"/>
    </row>
    <row r="953" spans="2:8" ht="15" customHeight="1" x14ac:dyDescent="0.2">
      <c r="B953" s="163"/>
      <c r="C953" s="159"/>
      <c r="D953" s="160"/>
      <c r="E953" s="160"/>
      <c r="F953" s="160"/>
      <c r="G953" s="160"/>
      <c r="H953" s="161"/>
    </row>
    <row r="954" spans="2:8" ht="15" customHeight="1" x14ac:dyDescent="0.2">
      <c r="B954" s="163"/>
      <c r="C954" s="159"/>
      <c r="D954" s="160"/>
      <c r="E954" s="160"/>
      <c r="F954" s="160"/>
      <c r="G954" s="160"/>
      <c r="H954" s="161"/>
    </row>
    <row r="955" spans="2:8" ht="15" customHeight="1" x14ac:dyDescent="0.2">
      <c r="B955" s="163"/>
      <c r="C955" s="159"/>
      <c r="D955" s="160"/>
      <c r="E955" s="160"/>
      <c r="F955" s="160"/>
      <c r="G955" s="160"/>
      <c r="H955" s="161"/>
    </row>
    <row r="956" spans="2:8" ht="15" customHeight="1" x14ac:dyDescent="0.2">
      <c r="B956" s="163"/>
      <c r="C956" s="159"/>
      <c r="D956" s="160"/>
      <c r="E956" s="160"/>
      <c r="F956" s="160"/>
      <c r="G956" s="160"/>
      <c r="H956" s="161"/>
    </row>
    <row r="957" spans="2:8" ht="15" customHeight="1" x14ac:dyDescent="0.2">
      <c r="B957" s="163"/>
      <c r="C957" s="159"/>
      <c r="D957" s="160"/>
      <c r="E957" s="160"/>
      <c r="F957" s="160"/>
      <c r="G957" s="160"/>
      <c r="H957" s="161"/>
    </row>
    <row r="958" spans="2:8" ht="15" customHeight="1" x14ac:dyDescent="0.2">
      <c r="B958" s="163"/>
      <c r="C958" s="159"/>
      <c r="D958" s="160"/>
      <c r="E958" s="160"/>
      <c r="F958" s="160"/>
      <c r="G958" s="160"/>
      <c r="H958" s="161"/>
    </row>
    <row r="959" spans="2:8" ht="15" customHeight="1" x14ac:dyDescent="0.2">
      <c r="B959" s="163"/>
      <c r="C959" s="159"/>
      <c r="D959" s="160"/>
      <c r="E959" s="160"/>
      <c r="F959" s="160"/>
      <c r="G959" s="160"/>
      <c r="H959" s="161"/>
    </row>
    <row r="960" spans="2:8" ht="15" customHeight="1" x14ac:dyDescent="0.2">
      <c r="B960" s="163"/>
      <c r="C960" s="159"/>
      <c r="D960" s="160"/>
      <c r="E960" s="160"/>
      <c r="F960" s="160"/>
      <c r="G960" s="160"/>
      <c r="H960" s="161"/>
    </row>
    <row r="961" spans="2:8" ht="15" customHeight="1" x14ac:dyDescent="0.2">
      <c r="B961" s="163"/>
      <c r="C961" s="159"/>
      <c r="D961" s="160"/>
      <c r="E961" s="160"/>
      <c r="F961" s="160"/>
      <c r="G961" s="160"/>
      <c r="H961" s="161"/>
    </row>
    <row r="962" spans="2:8" ht="15" customHeight="1" x14ac:dyDescent="0.2">
      <c r="B962" s="163"/>
      <c r="C962" s="159"/>
      <c r="D962" s="160"/>
      <c r="E962" s="160"/>
      <c r="F962" s="160"/>
      <c r="G962" s="160"/>
      <c r="H962" s="161"/>
    </row>
    <row r="963" spans="2:8" ht="15" customHeight="1" x14ac:dyDescent="0.2">
      <c r="B963" s="163"/>
      <c r="C963" s="159"/>
      <c r="D963" s="160"/>
      <c r="E963" s="160"/>
      <c r="F963" s="160"/>
      <c r="G963" s="160"/>
      <c r="H963" s="161"/>
    </row>
    <row r="964" spans="2:8" ht="15" customHeight="1" x14ac:dyDescent="0.2">
      <c r="B964" s="163"/>
      <c r="C964" s="159"/>
      <c r="D964" s="160"/>
      <c r="E964" s="160"/>
      <c r="F964" s="160"/>
      <c r="G964" s="160"/>
      <c r="H964" s="161"/>
    </row>
    <row r="965" spans="2:8" ht="15" customHeight="1" x14ac:dyDescent="0.2">
      <c r="B965" s="163"/>
      <c r="C965" s="159"/>
      <c r="D965" s="160"/>
      <c r="E965" s="160"/>
      <c r="F965" s="160"/>
      <c r="G965" s="160"/>
      <c r="H965" s="161"/>
    </row>
    <row r="966" spans="2:8" ht="15" customHeight="1" x14ac:dyDescent="0.2">
      <c r="B966" s="163"/>
      <c r="C966" s="159"/>
      <c r="D966" s="160"/>
      <c r="E966" s="160"/>
      <c r="F966" s="160"/>
      <c r="G966" s="160"/>
      <c r="H966" s="161"/>
    </row>
    <row r="967" spans="2:8" ht="15" customHeight="1" x14ac:dyDescent="0.2">
      <c r="B967" s="163"/>
      <c r="C967" s="159"/>
      <c r="D967" s="160"/>
      <c r="E967" s="160"/>
      <c r="F967" s="160"/>
      <c r="G967" s="160"/>
      <c r="H967" s="161"/>
    </row>
    <row r="968" spans="2:8" ht="15" customHeight="1" x14ac:dyDescent="0.2">
      <c r="B968" s="163"/>
      <c r="C968" s="159"/>
      <c r="D968" s="160"/>
      <c r="E968" s="160"/>
      <c r="F968" s="160"/>
      <c r="G968" s="160"/>
      <c r="H968" s="161"/>
    </row>
    <row r="969" spans="2:8" ht="15" customHeight="1" x14ac:dyDescent="0.2">
      <c r="B969" s="163"/>
      <c r="C969" s="159"/>
      <c r="D969" s="160"/>
      <c r="E969" s="160"/>
      <c r="F969" s="160"/>
      <c r="G969" s="160"/>
      <c r="H969" s="161"/>
    </row>
    <row r="970" spans="2:8" ht="15" customHeight="1" x14ac:dyDescent="0.2">
      <c r="B970" s="163"/>
      <c r="C970" s="159"/>
      <c r="D970" s="160"/>
      <c r="E970" s="160"/>
      <c r="F970" s="160"/>
      <c r="G970" s="160"/>
      <c r="H970" s="161"/>
    </row>
    <row r="971" spans="2:8" ht="15" customHeight="1" x14ac:dyDescent="0.2">
      <c r="B971" s="163"/>
      <c r="C971" s="159"/>
      <c r="D971" s="160"/>
      <c r="E971" s="160"/>
      <c r="F971" s="160"/>
      <c r="G971" s="160"/>
      <c r="H971" s="161"/>
    </row>
    <row r="972" spans="2:8" ht="15" customHeight="1" x14ac:dyDescent="0.2">
      <c r="B972" s="163"/>
      <c r="C972" s="159"/>
      <c r="D972" s="160"/>
      <c r="E972" s="160"/>
      <c r="F972" s="160"/>
      <c r="G972" s="160"/>
      <c r="H972" s="161"/>
    </row>
    <row r="973" spans="2:8" ht="15" customHeight="1" x14ac:dyDescent="0.2">
      <c r="B973" s="163"/>
      <c r="C973" s="159"/>
      <c r="D973" s="160"/>
      <c r="E973" s="160"/>
      <c r="F973" s="160"/>
      <c r="G973" s="160"/>
      <c r="H973" s="161"/>
    </row>
    <row r="974" spans="2:8" ht="15" customHeight="1" x14ac:dyDescent="0.2">
      <c r="B974" s="163"/>
      <c r="C974" s="159"/>
      <c r="D974" s="160"/>
      <c r="E974" s="160"/>
      <c r="F974" s="160"/>
      <c r="G974" s="160"/>
      <c r="H974" s="161"/>
    </row>
    <row r="975" spans="2:8" ht="15" customHeight="1" x14ac:dyDescent="0.2">
      <c r="B975" s="163"/>
      <c r="C975" s="159"/>
      <c r="D975" s="160"/>
      <c r="E975" s="160"/>
      <c r="F975" s="160"/>
      <c r="G975" s="160"/>
      <c r="H975" s="161"/>
    </row>
    <row r="976" spans="2:8" ht="15" customHeight="1" x14ac:dyDescent="0.2">
      <c r="B976" s="163"/>
      <c r="C976" s="159"/>
      <c r="D976" s="160"/>
      <c r="E976" s="160"/>
      <c r="F976" s="160"/>
      <c r="G976" s="160"/>
      <c r="H976" s="161"/>
    </row>
    <row r="977" spans="2:8" ht="15" customHeight="1" x14ac:dyDescent="0.2">
      <c r="B977" s="163"/>
      <c r="C977" s="159"/>
      <c r="D977" s="160"/>
      <c r="E977" s="160"/>
      <c r="F977" s="160"/>
      <c r="G977" s="160"/>
      <c r="H977" s="161"/>
    </row>
    <row r="978" spans="2:8" ht="15" customHeight="1" x14ac:dyDescent="0.2">
      <c r="B978" s="163"/>
      <c r="C978" s="159"/>
      <c r="D978" s="160"/>
      <c r="E978" s="160"/>
      <c r="F978" s="160"/>
      <c r="G978" s="160"/>
      <c r="H978" s="161"/>
    </row>
    <row r="979" spans="2:8" ht="15" customHeight="1" x14ac:dyDescent="0.2">
      <c r="B979" s="163"/>
      <c r="C979" s="159"/>
      <c r="D979" s="160"/>
      <c r="E979" s="160"/>
      <c r="F979" s="160"/>
      <c r="G979" s="160"/>
      <c r="H979" s="161"/>
    </row>
    <row r="980" spans="2:8" ht="15" customHeight="1" x14ac:dyDescent="0.2">
      <c r="B980" s="163"/>
      <c r="C980" s="159"/>
      <c r="D980" s="160"/>
      <c r="E980" s="160"/>
      <c r="F980" s="160"/>
      <c r="G980" s="160"/>
      <c r="H980" s="161"/>
    </row>
    <row r="981" spans="2:8" ht="15" customHeight="1" x14ac:dyDescent="0.2">
      <c r="B981" s="163"/>
      <c r="C981" s="159"/>
      <c r="D981" s="160"/>
      <c r="E981" s="160"/>
      <c r="F981" s="160"/>
      <c r="G981" s="160"/>
      <c r="H981" s="161"/>
    </row>
    <row r="982" spans="2:8" ht="15" customHeight="1" x14ac:dyDescent="0.2">
      <c r="B982" s="163"/>
      <c r="C982" s="159"/>
      <c r="D982" s="160"/>
      <c r="E982" s="160"/>
      <c r="F982" s="160"/>
      <c r="G982" s="160"/>
      <c r="H982" s="161"/>
    </row>
    <row r="983" spans="2:8" ht="15" customHeight="1" x14ac:dyDescent="0.2">
      <c r="B983" s="163"/>
      <c r="C983" s="159"/>
      <c r="D983" s="160"/>
      <c r="E983" s="160"/>
      <c r="F983" s="160"/>
      <c r="G983" s="160"/>
      <c r="H983" s="161"/>
    </row>
    <row r="984" spans="2:8" ht="15" customHeight="1" x14ac:dyDescent="0.2">
      <c r="B984" s="163"/>
      <c r="C984" s="159"/>
      <c r="D984" s="160"/>
      <c r="E984" s="160"/>
      <c r="F984" s="160"/>
      <c r="G984" s="160"/>
      <c r="H984" s="161"/>
    </row>
    <row r="985" spans="2:8" ht="15" customHeight="1" x14ac:dyDescent="0.2">
      <c r="B985" s="163"/>
      <c r="C985" s="159"/>
      <c r="D985" s="160"/>
      <c r="E985" s="160"/>
      <c r="F985" s="160"/>
      <c r="G985" s="160"/>
      <c r="H985" s="161"/>
    </row>
    <row r="986" spans="2:8" ht="15" customHeight="1" x14ac:dyDescent="0.2">
      <c r="B986" s="163"/>
      <c r="C986" s="159"/>
      <c r="D986" s="160"/>
      <c r="E986" s="160"/>
      <c r="F986" s="160"/>
      <c r="G986" s="160"/>
      <c r="H986" s="161"/>
    </row>
    <row r="987" spans="2:8" ht="15" customHeight="1" x14ac:dyDescent="0.2">
      <c r="B987" s="163"/>
      <c r="C987" s="159"/>
      <c r="D987" s="160"/>
      <c r="E987" s="160"/>
      <c r="F987" s="160"/>
      <c r="G987" s="160"/>
      <c r="H987" s="161"/>
    </row>
    <row r="988" spans="2:8" ht="15" customHeight="1" x14ac:dyDescent="0.2">
      <c r="B988" s="163"/>
      <c r="C988" s="159"/>
      <c r="D988" s="160"/>
      <c r="E988" s="160"/>
      <c r="F988" s="160"/>
      <c r="G988" s="160"/>
      <c r="H988" s="161"/>
    </row>
    <row r="989" spans="2:8" ht="15" customHeight="1" x14ac:dyDescent="0.2">
      <c r="B989" s="163"/>
      <c r="C989" s="159"/>
      <c r="D989" s="160"/>
      <c r="E989" s="160"/>
      <c r="F989" s="160"/>
      <c r="G989" s="160"/>
      <c r="H989" s="161"/>
    </row>
    <row r="990" spans="2:8" ht="15" customHeight="1" x14ac:dyDescent="0.2">
      <c r="B990" s="163"/>
      <c r="C990" s="159"/>
      <c r="D990" s="160"/>
      <c r="E990" s="160"/>
      <c r="F990" s="160"/>
      <c r="G990" s="160"/>
      <c r="H990" s="161"/>
    </row>
    <row r="991" spans="2:8" ht="15" customHeight="1" x14ac:dyDescent="0.2">
      <c r="B991" s="163"/>
      <c r="C991" s="159"/>
      <c r="D991" s="160"/>
      <c r="E991" s="160"/>
      <c r="F991" s="160"/>
      <c r="G991" s="160"/>
      <c r="H991" s="161"/>
    </row>
    <row r="992" spans="2:8" ht="15" customHeight="1" x14ac:dyDescent="0.2">
      <c r="B992" s="163"/>
      <c r="C992" s="159"/>
      <c r="D992" s="160"/>
      <c r="E992" s="160"/>
      <c r="F992" s="160"/>
      <c r="G992" s="160"/>
      <c r="H992" s="161"/>
    </row>
    <row r="993" spans="2:8" ht="15" customHeight="1" x14ac:dyDescent="0.2">
      <c r="B993" s="163"/>
      <c r="C993" s="159"/>
      <c r="D993" s="160"/>
      <c r="E993" s="160"/>
      <c r="F993" s="160"/>
      <c r="G993" s="160"/>
      <c r="H993" s="161"/>
    </row>
    <row r="994" spans="2:8" ht="15" customHeight="1" x14ac:dyDescent="0.2">
      <c r="B994" s="163"/>
      <c r="C994" s="159"/>
      <c r="D994" s="160"/>
      <c r="E994" s="160"/>
      <c r="F994" s="160"/>
      <c r="G994" s="160"/>
      <c r="H994" s="161"/>
    </row>
    <row r="995" spans="2:8" ht="15" customHeight="1" x14ac:dyDescent="0.2">
      <c r="B995" s="163"/>
      <c r="C995" s="159"/>
      <c r="D995" s="160"/>
      <c r="E995" s="160"/>
      <c r="F995" s="160"/>
      <c r="G995" s="160"/>
      <c r="H995" s="161"/>
    </row>
    <row r="996" spans="2:8" ht="15" customHeight="1" x14ac:dyDescent="0.2">
      <c r="B996" s="163"/>
      <c r="C996" s="159"/>
      <c r="D996" s="160"/>
      <c r="E996" s="160"/>
      <c r="F996" s="160"/>
      <c r="G996" s="160"/>
      <c r="H996" s="161"/>
    </row>
    <row r="997" spans="2:8" ht="15" customHeight="1" x14ac:dyDescent="0.2">
      <c r="B997" s="163"/>
      <c r="C997" s="159"/>
      <c r="D997" s="160"/>
      <c r="E997" s="160"/>
      <c r="F997" s="160"/>
      <c r="G997" s="160"/>
      <c r="H997" s="161"/>
    </row>
    <row r="998" spans="2:8" ht="15" customHeight="1" x14ac:dyDescent="0.2">
      <c r="B998" s="163"/>
      <c r="C998" s="159"/>
      <c r="D998" s="160"/>
      <c r="E998" s="160"/>
      <c r="F998" s="160"/>
      <c r="G998" s="160"/>
      <c r="H998" s="161"/>
    </row>
    <row r="999" spans="2:8" ht="15" customHeight="1" x14ac:dyDescent="0.2">
      <c r="B999" s="163"/>
      <c r="C999" s="159"/>
      <c r="D999" s="160"/>
      <c r="E999" s="160"/>
      <c r="F999" s="160"/>
      <c r="G999" s="160"/>
      <c r="H999" s="161"/>
    </row>
    <row r="1000" spans="2:8" ht="15" customHeight="1" x14ac:dyDescent="0.2">
      <c r="B1000" s="163"/>
      <c r="C1000" s="159"/>
      <c r="D1000" s="160"/>
      <c r="E1000" s="160"/>
      <c r="F1000" s="160"/>
      <c r="G1000" s="160"/>
      <c r="H1000" s="161"/>
    </row>
    <row r="1001" spans="2:8" ht="15" customHeight="1" x14ac:dyDescent="0.2">
      <c r="B1001" s="163"/>
      <c r="C1001" s="159"/>
      <c r="D1001" s="160"/>
      <c r="E1001" s="160"/>
      <c r="F1001" s="160"/>
      <c r="G1001" s="160"/>
      <c r="H1001" s="161"/>
    </row>
    <row r="1002" spans="2:8" ht="15" customHeight="1" x14ac:dyDescent="0.2">
      <c r="B1002" s="163"/>
      <c r="C1002" s="159"/>
      <c r="D1002" s="160"/>
      <c r="E1002" s="160"/>
      <c r="F1002" s="160"/>
      <c r="G1002" s="160"/>
      <c r="H1002" s="161"/>
    </row>
  </sheetData>
  <autoFilter ref="A1:H129" xr:uid="{00000000-0009-0000-0000-000004000000}">
    <sortState xmlns:xlrd2="http://schemas.microsoft.com/office/spreadsheetml/2017/richdata2" ref="A2:H129">
      <sortCondition ref="A2:A129"/>
    </sortState>
  </autoFilter>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3"/>
  <sheetViews>
    <sheetView zoomScaleNormal="100" workbookViewId="0">
      <pane ySplit="1" topLeftCell="A75" activePane="bottomLeft" state="frozen"/>
      <selection pane="bottomLeft" activeCell="E121" sqref="E121"/>
    </sheetView>
  </sheetViews>
  <sheetFormatPr baseColWidth="10" defaultColWidth="8.6640625" defaultRowHeight="15" x14ac:dyDescent="0.2"/>
  <cols>
    <col min="1" max="1" width="8" customWidth="1"/>
    <col min="2" max="2" width="13" customWidth="1"/>
    <col min="3" max="3" width="46" customWidth="1"/>
    <col min="4" max="5" width="40" customWidth="1"/>
    <col min="6" max="6" width="46" customWidth="1"/>
    <col min="7" max="7" width="70" customWidth="1"/>
  </cols>
  <sheetData>
    <row r="1" spans="1:7" ht="31.5" customHeight="1" x14ac:dyDescent="0.2">
      <c r="A1" s="93" t="s">
        <v>837</v>
      </c>
      <c r="B1" s="93" t="s">
        <v>531</v>
      </c>
      <c r="C1" s="93" t="s">
        <v>838</v>
      </c>
      <c r="D1" s="93" t="s">
        <v>839</v>
      </c>
      <c r="E1" s="93" t="s">
        <v>840</v>
      </c>
      <c r="F1" s="93" t="s">
        <v>841</v>
      </c>
      <c r="G1" s="93" t="s">
        <v>546</v>
      </c>
    </row>
    <row r="2" spans="1:7" ht="15" customHeight="1" x14ac:dyDescent="0.2">
      <c r="A2" s="163" t="s">
        <v>842</v>
      </c>
      <c r="B2" s="163" t="s">
        <v>840</v>
      </c>
      <c r="C2" s="163" t="s">
        <v>843</v>
      </c>
      <c r="D2" s="163"/>
      <c r="E2" s="163"/>
      <c r="F2" s="163"/>
    </row>
    <row r="3" spans="1:7" ht="15" customHeight="1" x14ac:dyDescent="0.2">
      <c r="A3" s="163" t="s">
        <v>844</v>
      </c>
      <c r="B3" s="163" t="s">
        <v>840</v>
      </c>
      <c r="C3" s="163" t="s">
        <v>845</v>
      </c>
      <c r="D3" s="163"/>
      <c r="E3" s="163"/>
      <c r="F3" s="163"/>
    </row>
    <row r="4" spans="1:7" ht="15" customHeight="1" x14ac:dyDescent="0.2">
      <c r="A4" s="163" t="s">
        <v>846</v>
      </c>
      <c r="B4" s="163" t="s">
        <v>840</v>
      </c>
      <c r="C4" s="163" t="s">
        <v>847</v>
      </c>
      <c r="D4" s="163"/>
      <c r="E4" s="163"/>
      <c r="F4" s="163"/>
    </row>
    <row r="5" spans="1:7" ht="15" customHeight="1" x14ac:dyDescent="0.2">
      <c r="A5" s="163" t="s">
        <v>848</v>
      </c>
      <c r="B5" s="163" t="s">
        <v>840</v>
      </c>
      <c r="C5" s="163" t="s">
        <v>849</v>
      </c>
      <c r="D5" s="163"/>
      <c r="E5" s="163"/>
      <c r="F5" s="163"/>
    </row>
    <row r="6" spans="1:7" ht="15" customHeight="1" x14ac:dyDescent="0.2">
      <c r="A6" s="163" t="s">
        <v>850</v>
      </c>
      <c r="B6" s="163" t="s">
        <v>840</v>
      </c>
      <c r="C6" s="163" t="s">
        <v>851</v>
      </c>
      <c r="D6" s="163"/>
      <c r="E6" s="163"/>
      <c r="F6" s="163"/>
    </row>
    <row r="7" spans="1:7" ht="15" customHeight="1" x14ac:dyDescent="0.2">
      <c r="A7" s="163" t="s">
        <v>852</v>
      </c>
      <c r="B7" s="163" t="s">
        <v>840</v>
      </c>
      <c r="C7" s="163" t="s">
        <v>853</v>
      </c>
      <c r="D7" s="163"/>
      <c r="E7" s="163"/>
      <c r="F7" s="163"/>
    </row>
    <row r="8" spans="1:7" ht="15" customHeight="1" x14ac:dyDescent="0.2">
      <c r="A8" s="163" t="s">
        <v>854</v>
      </c>
      <c r="B8" s="163" t="s">
        <v>29</v>
      </c>
      <c r="C8" s="163" t="s">
        <v>855</v>
      </c>
      <c r="D8" s="163"/>
      <c r="E8" s="163" t="s">
        <v>843</v>
      </c>
      <c r="F8" s="163"/>
    </row>
    <row r="9" spans="1:7" ht="15" customHeight="1" x14ac:dyDescent="0.2">
      <c r="A9" s="163" t="s">
        <v>566</v>
      </c>
      <c r="B9" s="163" t="s">
        <v>29</v>
      </c>
      <c r="C9" s="163" t="s">
        <v>856</v>
      </c>
      <c r="D9" s="163"/>
      <c r="E9" s="163" t="s">
        <v>843</v>
      </c>
      <c r="F9" s="163"/>
    </row>
    <row r="10" spans="1:7" ht="15" customHeight="1" x14ac:dyDescent="0.2">
      <c r="A10" s="163" t="s">
        <v>661</v>
      </c>
      <c r="B10" s="163" t="s">
        <v>29</v>
      </c>
      <c r="C10" s="163" t="s">
        <v>425</v>
      </c>
      <c r="D10" s="163"/>
      <c r="E10" s="163" t="s">
        <v>843</v>
      </c>
      <c r="F10" s="163"/>
    </row>
    <row r="11" spans="1:7" ht="15" customHeight="1" x14ac:dyDescent="0.2">
      <c r="A11" s="163" t="s">
        <v>857</v>
      </c>
      <c r="B11" s="163" t="s">
        <v>29</v>
      </c>
      <c r="C11" s="163" t="s">
        <v>417</v>
      </c>
      <c r="D11" s="163"/>
      <c r="E11" s="163" t="s">
        <v>845</v>
      </c>
      <c r="F11" s="163"/>
    </row>
    <row r="12" spans="1:7" ht="15" customHeight="1" x14ac:dyDescent="0.2">
      <c r="A12" s="163" t="s">
        <v>586</v>
      </c>
      <c r="B12" s="163" t="s">
        <v>29</v>
      </c>
      <c r="C12" s="163" t="s">
        <v>514</v>
      </c>
      <c r="D12" s="163"/>
      <c r="E12" s="163" t="s">
        <v>845</v>
      </c>
      <c r="F12" s="163"/>
    </row>
    <row r="13" spans="1:7" ht="15" customHeight="1" x14ac:dyDescent="0.2">
      <c r="A13" s="163" t="s">
        <v>858</v>
      </c>
      <c r="B13" s="163" t="s">
        <v>29</v>
      </c>
      <c r="C13" s="163" t="s">
        <v>421</v>
      </c>
      <c r="D13" s="163"/>
      <c r="E13" s="163" t="s">
        <v>845</v>
      </c>
      <c r="F13" s="163"/>
    </row>
    <row r="14" spans="1:7" ht="15" customHeight="1" x14ac:dyDescent="0.2">
      <c r="A14" s="163" t="s">
        <v>609</v>
      </c>
      <c r="B14" s="163" t="s">
        <v>29</v>
      </c>
      <c r="C14" s="163" t="s">
        <v>407</v>
      </c>
      <c r="D14" s="163"/>
      <c r="E14" s="163" t="s">
        <v>845</v>
      </c>
      <c r="F14" s="163"/>
    </row>
    <row r="15" spans="1:7" ht="15" customHeight="1" x14ac:dyDescent="0.2">
      <c r="A15" s="163" t="s">
        <v>681</v>
      </c>
      <c r="B15" s="163" t="s">
        <v>29</v>
      </c>
      <c r="C15" s="163" t="s">
        <v>434</v>
      </c>
      <c r="D15" s="163"/>
      <c r="E15" s="163" t="s">
        <v>847</v>
      </c>
      <c r="F15" s="163"/>
    </row>
    <row r="16" spans="1:7" ht="15" customHeight="1" x14ac:dyDescent="0.2">
      <c r="A16" s="163" t="s">
        <v>674</v>
      </c>
      <c r="B16" s="163" t="s">
        <v>29</v>
      </c>
      <c r="C16" s="163" t="s">
        <v>859</v>
      </c>
      <c r="D16" s="163"/>
      <c r="E16" s="163" t="s">
        <v>847</v>
      </c>
      <c r="F16" s="163"/>
    </row>
    <row r="17" spans="1:6" ht="15" customHeight="1" x14ac:dyDescent="0.2">
      <c r="A17" s="163" t="s">
        <v>860</v>
      </c>
      <c r="B17" s="163" t="s">
        <v>29</v>
      </c>
      <c r="C17" s="163" t="s">
        <v>428</v>
      </c>
      <c r="D17" s="163"/>
      <c r="E17" s="163" t="s">
        <v>847</v>
      </c>
      <c r="F17" s="163"/>
    </row>
    <row r="18" spans="1:6" ht="15" customHeight="1" x14ac:dyDescent="0.2">
      <c r="A18" s="163" t="s">
        <v>558</v>
      </c>
      <c r="B18" s="163" t="s">
        <v>29</v>
      </c>
      <c r="C18" s="163" t="s">
        <v>454</v>
      </c>
      <c r="D18" s="163"/>
      <c r="E18" s="163" t="s">
        <v>849</v>
      </c>
      <c r="F18" s="163"/>
    </row>
    <row r="19" spans="1:6" ht="15" customHeight="1" x14ac:dyDescent="0.2">
      <c r="A19" s="163" t="s">
        <v>575</v>
      </c>
      <c r="B19" s="163" t="s">
        <v>29</v>
      </c>
      <c r="C19" s="163" t="s">
        <v>462</v>
      </c>
      <c r="D19" s="163"/>
      <c r="E19" s="163" t="s">
        <v>849</v>
      </c>
      <c r="F19" s="163"/>
    </row>
    <row r="20" spans="1:6" ht="15" customHeight="1" x14ac:dyDescent="0.2">
      <c r="A20" s="163" t="s">
        <v>861</v>
      </c>
      <c r="B20" s="163" t="s">
        <v>29</v>
      </c>
      <c r="C20" s="163" t="s">
        <v>862</v>
      </c>
      <c r="D20" s="163"/>
      <c r="E20" s="163" t="s">
        <v>851</v>
      </c>
      <c r="F20" s="163"/>
    </row>
    <row r="21" spans="1:6" ht="15" customHeight="1" x14ac:dyDescent="0.2">
      <c r="A21" s="163" t="s">
        <v>691</v>
      </c>
      <c r="B21" s="163" t="s">
        <v>29</v>
      </c>
      <c r="C21" s="163" t="s">
        <v>483</v>
      </c>
      <c r="D21" s="163"/>
      <c r="E21" s="163" t="s">
        <v>851</v>
      </c>
      <c r="F21" s="163"/>
    </row>
    <row r="22" spans="1:6" ht="15" customHeight="1" x14ac:dyDescent="0.2">
      <c r="A22" s="163" t="s">
        <v>863</v>
      </c>
      <c r="B22" s="163" t="s">
        <v>29</v>
      </c>
      <c r="C22" s="163" t="s">
        <v>265</v>
      </c>
      <c r="D22" s="163"/>
      <c r="E22" s="163" t="s">
        <v>851</v>
      </c>
      <c r="F22" s="163"/>
    </row>
    <row r="23" spans="1:6" ht="15" customHeight="1" x14ac:dyDescent="0.2">
      <c r="A23" s="163" t="s">
        <v>864</v>
      </c>
      <c r="B23" s="163" t="s">
        <v>29</v>
      </c>
      <c r="C23" s="163" t="s">
        <v>494</v>
      </c>
      <c r="D23" s="163"/>
      <c r="E23" s="163" t="s">
        <v>851</v>
      </c>
      <c r="F23" s="163"/>
    </row>
    <row r="24" spans="1:6" ht="15" customHeight="1" x14ac:dyDescent="0.2">
      <c r="A24" s="163" t="s">
        <v>623</v>
      </c>
      <c r="B24" s="163" t="s">
        <v>29</v>
      </c>
      <c r="C24" s="163" t="s">
        <v>465</v>
      </c>
      <c r="D24" s="163"/>
      <c r="E24" s="163" t="s">
        <v>853</v>
      </c>
      <c r="F24" s="163"/>
    </row>
    <row r="25" spans="1:6" ht="15" customHeight="1" x14ac:dyDescent="0.2">
      <c r="A25" s="163" t="s">
        <v>740</v>
      </c>
      <c r="B25" s="163" t="s">
        <v>29</v>
      </c>
      <c r="C25" s="163" t="s">
        <v>865</v>
      </c>
      <c r="D25" s="163"/>
      <c r="E25" s="163" t="s">
        <v>853</v>
      </c>
      <c r="F25" s="163"/>
    </row>
    <row r="26" spans="1:6" ht="15" customHeight="1" x14ac:dyDescent="0.2">
      <c r="A26" s="163" t="s">
        <v>667</v>
      </c>
      <c r="B26" s="163" t="s">
        <v>29</v>
      </c>
      <c r="C26" s="163" t="s">
        <v>469</v>
      </c>
      <c r="D26" s="163"/>
      <c r="E26" s="163" t="s">
        <v>853</v>
      </c>
      <c r="F26" s="163"/>
    </row>
    <row r="27" spans="1:6" ht="15" customHeight="1" x14ac:dyDescent="0.2">
      <c r="A27" s="163" t="s">
        <v>42</v>
      </c>
      <c r="B27" s="163" t="s">
        <v>30</v>
      </c>
      <c r="C27" s="163" t="s">
        <v>41</v>
      </c>
      <c r="D27" s="163" t="s">
        <v>855</v>
      </c>
      <c r="E27" s="163" t="s">
        <v>843</v>
      </c>
      <c r="F27" s="163"/>
    </row>
    <row r="28" spans="1:6" ht="15" customHeight="1" x14ac:dyDescent="0.2">
      <c r="A28" s="163" t="s">
        <v>44</v>
      </c>
      <c r="B28" s="163" t="s">
        <v>30</v>
      </c>
      <c r="C28" s="163" t="s">
        <v>43</v>
      </c>
      <c r="D28" s="163" t="s">
        <v>855</v>
      </c>
      <c r="E28" s="163" t="s">
        <v>843</v>
      </c>
      <c r="F28" s="163"/>
    </row>
    <row r="29" spans="1:6" ht="15" customHeight="1" x14ac:dyDescent="0.2">
      <c r="A29" s="163" t="s">
        <v>46</v>
      </c>
      <c r="B29" s="163" t="s">
        <v>30</v>
      </c>
      <c r="C29" s="163" t="s">
        <v>45</v>
      </c>
      <c r="D29" s="163" t="s">
        <v>855</v>
      </c>
      <c r="E29" s="163" t="s">
        <v>843</v>
      </c>
      <c r="F29" s="163"/>
    </row>
    <row r="30" spans="1:6" ht="15" customHeight="1" x14ac:dyDescent="0.2">
      <c r="A30" s="163" t="s">
        <v>48</v>
      </c>
      <c r="B30" s="163" t="s">
        <v>30</v>
      </c>
      <c r="C30" s="163" t="s">
        <v>47</v>
      </c>
      <c r="D30" s="163" t="s">
        <v>855</v>
      </c>
      <c r="E30" s="163" t="s">
        <v>843</v>
      </c>
      <c r="F30" s="163"/>
    </row>
    <row r="31" spans="1:6" ht="15" customHeight="1" x14ac:dyDescent="0.2">
      <c r="A31" s="163" t="s">
        <v>51</v>
      </c>
      <c r="B31" s="163" t="s">
        <v>30</v>
      </c>
      <c r="C31" s="163" t="s">
        <v>50</v>
      </c>
      <c r="D31" s="163" t="s">
        <v>856</v>
      </c>
      <c r="E31" s="163" t="s">
        <v>843</v>
      </c>
      <c r="F31" s="163"/>
    </row>
    <row r="32" spans="1:6" ht="15" customHeight="1" x14ac:dyDescent="0.2">
      <c r="A32" s="163" t="s">
        <v>54</v>
      </c>
      <c r="B32" s="163" t="s">
        <v>30</v>
      </c>
      <c r="C32" s="163" t="s">
        <v>53</v>
      </c>
      <c r="D32" s="163" t="s">
        <v>856</v>
      </c>
      <c r="E32" s="163" t="s">
        <v>843</v>
      </c>
      <c r="F32" s="163"/>
    </row>
    <row r="33" spans="1:6" ht="15" customHeight="1" x14ac:dyDescent="0.2">
      <c r="A33" s="163" t="s">
        <v>60</v>
      </c>
      <c r="B33" s="163" t="s">
        <v>30</v>
      </c>
      <c r="C33" s="163" t="s">
        <v>59</v>
      </c>
      <c r="D33" s="163" t="s">
        <v>856</v>
      </c>
      <c r="E33" s="163" t="s">
        <v>843</v>
      </c>
      <c r="F33" s="163"/>
    </row>
    <row r="34" spans="1:6" ht="15" customHeight="1" x14ac:dyDescent="0.2">
      <c r="A34" s="163" t="s">
        <v>63</v>
      </c>
      <c r="B34" s="163" t="s">
        <v>30</v>
      </c>
      <c r="C34" s="163" t="s">
        <v>62</v>
      </c>
      <c r="D34" s="163" t="s">
        <v>856</v>
      </c>
      <c r="E34" s="163" t="s">
        <v>843</v>
      </c>
      <c r="F34" s="163"/>
    </row>
    <row r="35" spans="1:6" ht="15" customHeight="1" x14ac:dyDescent="0.2">
      <c r="A35" s="163" t="s">
        <v>68</v>
      </c>
      <c r="B35" s="163" t="s">
        <v>30</v>
      </c>
      <c r="C35" s="163" t="s">
        <v>67</v>
      </c>
      <c r="D35" s="163" t="s">
        <v>425</v>
      </c>
      <c r="E35" s="163" t="s">
        <v>843</v>
      </c>
      <c r="F35" s="163"/>
    </row>
    <row r="36" spans="1:6" ht="15" customHeight="1" x14ac:dyDescent="0.2">
      <c r="A36" s="163" t="s">
        <v>72</v>
      </c>
      <c r="B36" s="163" t="s">
        <v>30</v>
      </c>
      <c r="C36" s="163" t="s">
        <v>71</v>
      </c>
      <c r="D36" s="163" t="s">
        <v>425</v>
      </c>
      <c r="E36" s="163" t="s">
        <v>843</v>
      </c>
      <c r="F36" s="163"/>
    </row>
    <row r="37" spans="1:6" ht="15" customHeight="1" x14ac:dyDescent="0.2">
      <c r="A37" s="163" t="s">
        <v>76</v>
      </c>
      <c r="B37" s="163" t="s">
        <v>30</v>
      </c>
      <c r="C37" s="163" t="s">
        <v>75</v>
      </c>
      <c r="D37" s="163" t="s">
        <v>425</v>
      </c>
      <c r="E37" s="163" t="s">
        <v>843</v>
      </c>
      <c r="F37" s="163"/>
    </row>
    <row r="38" spans="1:6" ht="15" customHeight="1" x14ac:dyDescent="0.2">
      <c r="A38" s="163" t="s">
        <v>83</v>
      </c>
      <c r="B38" s="163" t="s">
        <v>30</v>
      </c>
      <c r="C38" s="163" t="s">
        <v>82</v>
      </c>
      <c r="D38" s="163" t="s">
        <v>417</v>
      </c>
      <c r="E38" s="163" t="s">
        <v>845</v>
      </c>
      <c r="F38" s="163"/>
    </row>
    <row r="39" spans="1:6" ht="15" customHeight="1" x14ac:dyDescent="0.2">
      <c r="A39" s="163" t="s">
        <v>85</v>
      </c>
      <c r="B39" s="163" t="s">
        <v>30</v>
      </c>
      <c r="C39" s="163" t="s">
        <v>84</v>
      </c>
      <c r="D39" s="163" t="s">
        <v>417</v>
      </c>
      <c r="E39" s="163" t="s">
        <v>845</v>
      </c>
      <c r="F39" s="163"/>
    </row>
    <row r="40" spans="1:6" ht="15" customHeight="1" x14ac:dyDescent="0.2">
      <c r="A40" s="163" t="s">
        <v>87</v>
      </c>
      <c r="B40" s="163" t="s">
        <v>30</v>
      </c>
      <c r="C40" s="163" t="s">
        <v>86</v>
      </c>
      <c r="D40" s="163" t="s">
        <v>417</v>
      </c>
      <c r="E40" s="163" t="s">
        <v>845</v>
      </c>
      <c r="F40" s="163"/>
    </row>
    <row r="41" spans="1:6" ht="15" customHeight="1" x14ac:dyDescent="0.2">
      <c r="A41" s="163" t="s">
        <v>89</v>
      </c>
      <c r="B41" s="163" t="s">
        <v>30</v>
      </c>
      <c r="C41" s="163" t="s">
        <v>88</v>
      </c>
      <c r="D41" s="163" t="s">
        <v>417</v>
      </c>
      <c r="E41" s="163" t="s">
        <v>845</v>
      </c>
      <c r="F41" s="163"/>
    </row>
    <row r="42" spans="1:6" ht="15" customHeight="1" x14ac:dyDescent="0.2">
      <c r="A42" s="163" t="s">
        <v>91</v>
      </c>
      <c r="B42" s="163" t="s">
        <v>30</v>
      </c>
      <c r="C42" s="163" t="s">
        <v>90</v>
      </c>
      <c r="D42" s="163" t="s">
        <v>417</v>
      </c>
      <c r="E42" s="163" t="s">
        <v>845</v>
      </c>
      <c r="F42" s="163"/>
    </row>
    <row r="43" spans="1:6" ht="15" customHeight="1" x14ac:dyDescent="0.2">
      <c r="A43" s="163" t="s">
        <v>93</v>
      </c>
      <c r="B43" s="163" t="s">
        <v>30</v>
      </c>
      <c r="C43" s="163" t="s">
        <v>92</v>
      </c>
      <c r="D43" s="163" t="s">
        <v>417</v>
      </c>
      <c r="E43" s="163" t="s">
        <v>845</v>
      </c>
      <c r="F43" s="163"/>
    </row>
    <row r="44" spans="1:6" ht="15" customHeight="1" x14ac:dyDescent="0.2">
      <c r="A44" s="163" t="s">
        <v>95</v>
      </c>
      <c r="B44" s="163" t="s">
        <v>30</v>
      </c>
      <c r="C44" s="163" t="s">
        <v>94</v>
      </c>
      <c r="D44" s="163" t="s">
        <v>417</v>
      </c>
      <c r="E44" s="163" t="s">
        <v>845</v>
      </c>
      <c r="F44" s="163"/>
    </row>
    <row r="45" spans="1:6" ht="15" customHeight="1" x14ac:dyDescent="0.2">
      <c r="A45" s="163" t="s">
        <v>97</v>
      </c>
      <c r="B45" s="163" t="s">
        <v>30</v>
      </c>
      <c r="C45" s="163" t="s">
        <v>96</v>
      </c>
      <c r="D45" s="163" t="s">
        <v>417</v>
      </c>
      <c r="E45" s="163" t="s">
        <v>845</v>
      </c>
      <c r="F45" s="163"/>
    </row>
    <row r="46" spans="1:6" ht="15" customHeight="1" x14ac:dyDescent="0.2">
      <c r="A46" s="163" t="s">
        <v>100</v>
      </c>
      <c r="B46" s="163" t="s">
        <v>30</v>
      </c>
      <c r="C46" s="163" t="s">
        <v>99</v>
      </c>
      <c r="D46" s="163" t="s">
        <v>514</v>
      </c>
      <c r="E46" s="163" t="s">
        <v>845</v>
      </c>
      <c r="F46" s="163"/>
    </row>
    <row r="47" spans="1:6" ht="15" customHeight="1" x14ac:dyDescent="0.2">
      <c r="A47" s="163" t="s">
        <v>105</v>
      </c>
      <c r="B47" s="163" t="s">
        <v>30</v>
      </c>
      <c r="C47" s="163" t="s">
        <v>104</v>
      </c>
      <c r="D47" s="163" t="s">
        <v>514</v>
      </c>
      <c r="E47" s="163" t="s">
        <v>845</v>
      </c>
      <c r="F47" s="163"/>
    </row>
    <row r="48" spans="1:6" ht="15" customHeight="1" x14ac:dyDescent="0.2">
      <c r="A48" s="163" t="s">
        <v>117</v>
      </c>
      <c r="B48" s="163" t="s">
        <v>30</v>
      </c>
      <c r="C48" s="163" t="s">
        <v>116</v>
      </c>
      <c r="D48" s="163" t="s">
        <v>514</v>
      </c>
      <c r="E48" s="163" t="s">
        <v>845</v>
      </c>
      <c r="F48" s="163"/>
    </row>
    <row r="49" spans="1:6" ht="15" customHeight="1" x14ac:dyDescent="0.2">
      <c r="A49" s="163" t="s">
        <v>122</v>
      </c>
      <c r="B49" s="163" t="s">
        <v>30</v>
      </c>
      <c r="C49" s="163" t="s">
        <v>121</v>
      </c>
      <c r="D49" s="163" t="s">
        <v>421</v>
      </c>
      <c r="E49" s="163" t="s">
        <v>845</v>
      </c>
      <c r="F49" s="163"/>
    </row>
    <row r="50" spans="1:6" ht="15" customHeight="1" x14ac:dyDescent="0.2">
      <c r="A50" s="163" t="s">
        <v>124</v>
      </c>
      <c r="B50" s="163" t="s">
        <v>30</v>
      </c>
      <c r="C50" s="163" t="s">
        <v>123</v>
      </c>
      <c r="D50" s="163" t="s">
        <v>421</v>
      </c>
      <c r="E50" s="163" t="s">
        <v>845</v>
      </c>
      <c r="F50" s="163"/>
    </row>
    <row r="51" spans="1:6" ht="15" customHeight="1" x14ac:dyDescent="0.2">
      <c r="A51" s="163" t="s">
        <v>132</v>
      </c>
      <c r="B51" s="163" t="s">
        <v>30</v>
      </c>
      <c r="C51" s="163" t="s">
        <v>131</v>
      </c>
      <c r="D51" s="163" t="s">
        <v>421</v>
      </c>
      <c r="E51" s="163" t="s">
        <v>845</v>
      </c>
      <c r="F51" s="163"/>
    </row>
    <row r="52" spans="1:6" ht="15" customHeight="1" x14ac:dyDescent="0.2">
      <c r="A52" s="163" t="s">
        <v>135</v>
      </c>
      <c r="B52" s="163" t="s">
        <v>30</v>
      </c>
      <c r="C52" s="163" t="s">
        <v>134</v>
      </c>
      <c r="D52" s="163" t="s">
        <v>407</v>
      </c>
      <c r="E52" s="163" t="s">
        <v>845</v>
      </c>
      <c r="F52" s="163"/>
    </row>
    <row r="53" spans="1:6" ht="15" customHeight="1" x14ac:dyDescent="0.2">
      <c r="A53" s="163" t="s">
        <v>138</v>
      </c>
      <c r="B53" s="163" t="s">
        <v>30</v>
      </c>
      <c r="C53" s="163" t="s">
        <v>137</v>
      </c>
      <c r="D53" s="163" t="s">
        <v>407</v>
      </c>
      <c r="E53" s="163" t="s">
        <v>845</v>
      </c>
      <c r="F53" s="163"/>
    </row>
    <row r="54" spans="1:6" ht="15" customHeight="1" x14ac:dyDescent="0.2">
      <c r="A54" s="163" t="s">
        <v>141</v>
      </c>
      <c r="B54" s="163" t="s">
        <v>30</v>
      </c>
      <c r="C54" s="163" t="s">
        <v>140</v>
      </c>
      <c r="D54" s="163" t="s">
        <v>407</v>
      </c>
      <c r="E54" s="163" t="s">
        <v>845</v>
      </c>
      <c r="F54" s="163"/>
    </row>
    <row r="55" spans="1:6" ht="15" customHeight="1" x14ac:dyDescent="0.2">
      <c r="A55" s="163" t="s">
        <v>144</v>
      </c>
      <c r="B55" s="163" t="s">
        <v>30</v>
      </c>
      <c r="C55" s="163" t="s">
        <v>143</v>
      </c>
      <c r="D55" s="163" t="s">
        <v>407</v>
      </c>
      <c r="E55" s="163" t="s">
        <v>845</v>
      </c>
      <c r="F55" s="163"/>
    </row>
    <row r="56" spans="1:6" ht="15" customHeight="1" x14ac:dyDescent="0.2">
      <c r="A56" s="163" t="s">
        <v>149</v>
      </c>
      <c r="B56" s="163" t="s">
        <v>30</v>
      </c>
      <c r="C56" s="163" t="s">
        <v>148</v>
      </c>
      <c r="D56" s="163" t="s">
        <v>407</v>
      </c>
      <c r="E56" s="163" t="s">
        <v>845</v>
      </c>
      <c r="F56" s="163"/>
    </row>
    <row r="57" spans="1:6" ht="15" customHeight="1" x14ac:dyDescent="0.2">
      <c r="A57" s="163" t="s">
        <v>156</v>
      </c>
      <c r="B57" s="163" t="s">
        <v>30</v>
      </c>
      <c r="C57" s="163" t="s">
        <v>155</v>
      </c>
      <c r="D57" s="163" t="s">
        <v>434</v>
      </c>
      <c r="E57" s="163" t="s">
        <v>847</v>
      </c>
      <c r="F57" s="163"/>
    </row>
    <row r="58" spans="1:6" ht="15" customHeight="1" x14ac:dyDescent="0.2">
      <c r="A58" s="163" t="s">
        <v>161</v>
      </c>
      <c r="B58" s="163" t="s">
        <v>30</v>
      </c>
      <c r="C58" s="163" t="s">
        <v>160</v>
      </c>
      <c r="D58" s="163" t="s">
        <v>434</v>
      </c>
      <c r="E58" s="163" t="s">
        <v>847</v>
      </c>
      <c r="F58" s="163"/>
    </row>
    <row r="59" spans="1:6" ht="15" customHeight="1" x14ac:dyDescent="0.2">
      <c r="A59" s="163" t="s">
        <v>167</v>
      </c>
      <c r="B59" s="163" t="s">
        <v>30</v>
      </c>
      <c r="C59" s="163" t="s">
        <v>166</v>
      </c>
      <c r="D59" s="163" t="s">
        <v>434</v>
      </c>
      <c r="E59" s="163" t="s">
        <v>847</v>
      </c>
      <c r="F59" s="163"/>
    </row>
    <row r="60" spans="1:6" ht="15" customHeight="1" x14ac:dyDescent="0.2">
      <c r="A60" s="163" t="s">
        <v>170</v>
      </c>
      <c r="B60" s="163" t="s">
        <v>30</v>
      </c>
      <c r="C60" s="163" t="s">
        <v>169</v>
      </c>
      <c r="D60" s="163" t="s">
        <v>434</v>
      </c>
      <c r="E60" s="163" t="s">
        <v>847</v>
      </c>
      <c r="F60" s="163"/>
    </row>
    <row r="61" spans="1:6" ht="15" customHeight="1" x14ac:dyDescent="0.2">
      <c r="A61" s="163" t="s">
        <v>174</v>
      </c>
      <c r="B61" s="163" t="s">
        <v>30</v>
      </c>
      <c r="C61" s="163" t="s">
        <v>173</v>
      </c>
      <c r="D61" s="163" t="s">
        <v>859</v>
      </c>
      <c r="E61" s="163" t="s">
        <v>847</v>
      </c>
      <c r="F61" s="163"/>
    </row>
    <row r="62" spans="1:6" ht="15" customHeight="1" x14ac:dyDescent="0.2">
      <c r="A62" s="163" t="s">
        <v>178</v>
      </c>
      <c r="B62" s="163" t="s">
        <v>30</v>
      </c>
      <c r="C62" s="163" t="s">
        <v>177</v>
      </c>
      <c r="D62" s="163" t="s">
        <v>859</v>
      </c>
      <c r="E62" s="163" t="s">
        <v>847</v>
      </c>
      <c r="F62" s="163"/>
    </row>
    <row r="63" spans="1:6" ht="15" customHeight="1" x14ac:dyDescent="0.2">
      <c r="A63" s="163" t="s">
        <v>181</v>
      </c>
      <c r="B63" s="163" t="s">
        <v>30</v>
      </c>
      <c r="C63" s="163" t="s">
        <v>180</v>
      </c>
      <c r="D63" s="163" t="s">
        <v>859</v>
      </c>
      <c r="E63" s="163" t="s">
        <v>847</v>
      </c>
      <c r="F63" s="163"/>
    </row>
    <row r="64" spans="1:6" ht="15" customHeight="1" x14ac:dyDescent="0.2">
      <c r="A64" s="163" t="s">
        <v>188</v>
      </c>
      <c r="B64" s="163" t="s">
        <v>30</v>
      </c>
      <c r="C64" s="163" t="s">
        <v>187</v>
      </c>
      <c r="D64" s="163" t="s">
        <v>428</v>
      </c>
      <c r="E64" s="163" t="s">
        <v>847</v>
      </c>
      <c r="F64" s="163"/>
    </row>
    <row r="65" spans="1:6" ht="15" customHeight="1" x14ac:dyDescent="0.2">
      <c r="A65" s="163" t="s">
        <v>190</v>
      </c>
      <c r="B65" s="163" t="s">
        <v>30</v>
      </c>
      <c r="C65" s="163" t="s">
        <v>189</v>
      </c>
      <c r="D65" s="163" t="s">
        <v>428</v>
      </c>
      <c r="E65" s="163" t="s">
        <v>847</v>
      </c>
      <c r="F65" s="163"/>
    </row>
    <row r="66" spans="1:6" ht="15" customHeight="1" x14ac:dyDescent="0.2">
      <c r="A66" s="163" t="s">
        <v>192</v>
      </c>
      <c r="B66" s="163" t="s">
        <v>30</v>
      </c>
      <c r="C66" s="163" t="s">
        <v>191</v>
      </c>
      <c r="D66" s="163" t="s">
        <v>428</v>
      </c>
      <c r="E66" s="163" t="s">
        <v>847</v>
      </c>
      <c r="F66" s="163"/>
    </row>
    <row r="67" spans="1:6" ht="15" customHeight="1" x14ac:dyDescent="0.2">
      <c r="A67" s="163" t="s">
        <v>194</v>
      </c>
      <c r="B67" s="163" t="s">
        <v>30</v>
      </c>
      <c r="C67" s="163" t="s">
        <v>193</v>
      </c>
      <c r="D67" s="163" t="s">
        <v>428</v>
      </c>
      <c r="E67" s="163" t="s">
        <v>847</v>
      </c>
      <c r="F67" s="163"/>
    </row>
    <row r="68" spans="1:6" ht="15" customHeight="1" x14ac:dyDescent="0.2">
      <c r="A68" s="163" t="s">
        <v>196</v>
      </c>
      <c r="B68" s="163" t="s">
        <v>30</v>
      </c>
      <c r="C68" s="163" t="s">
        <v>195</v>
      </c>
      <c r="D68" s="163" t="s">
        <v>428</v>
      </c>
      <c r="E68" s="163" t="s">
        <v>847</v>
      </c>
      <c r="F68" s="163"/>
    </row>
    <row r="69" spans="1:6" ht="15" customHeight="1" x14ac:dyDescent="0.2">
      <c r="A69" s="163" t="s">
        <v>200</v>
      </c>
      <c r="B69" s="163" t="s">
        <v>30</v>
      </c>
      <c r="C69" s="163" t="s">
        <v>199</v>
      </c>
      <c r="D69" s="163" t="s">
        <v>454</v>
      </c>
      <c r="E69" s="163" t="s">
        <v>849</v>
      </c>
      <c r="F69" s="163"/>
    </row>
    <row r="70" spans="1:6" ht="15" customHeight="1" x14ac:dyDescent="0.2">
      <c r="A70" s="163" t="s">
        <v>207</v>
      </c>
      <c r="B70" s="163" t="s">
        <v>30</v>
      </c>
      <c r="C70" s="163" t="s">
        <v>206</v>
      </c>
      <c r="D70" s="163" t="s">
        <v>454</v>
      </c>
      <c r="E70" s="163" t="s">
        <v>849</v>
      </c>
      <c r="F70" s="163"/>
    </row>
    <row r="71" spans="1:6" ht="15" customHeight="1" x14ac:dyDescent="0.2">
      <c r="A71" s="163" t="s">
        <v>212</v>
      </c>
      <c r="B71" s="163" t="s">
        <v>30</v>
      </c>
      <c r="C71" s="163" t="s">
        <v>211</v>
      </c>
      <c r="D71" s="163" t="s">
        <v>454</v>
      </c>
      <c r="E71" s="163" t="s">
        <v>849</v>
      </c>
      <c r="F71" s="163"/>
    </row>
    <row r="72" spans="1:6" ht="15" customHeight="1" x14ac:dyDescent="0.2">
      <c r="A72" s="163" t="s">
        <v>217</v>
      </c>
      <c r="B72" s="163" t="s">
        <v>30</v>
      </c>
      <c r="C72" s="163" t="s">
        <v>216</v>
      </c>
      <c r="D72" s="163" t="s">
        <v>454</v>
      </c>
      <c r="E72" s="163" t="s">
        <v>849</v>
      </c>
      <c r="F72" s="163"/>
    </row>
    <row r="73" spans="1:6" ht="15" customHeight="1" x14ac:dyDescent="0.2">
      <c r="A73" s="163" t="s">
        <v>225</v>
      </c>
      <c r="B73" s="163" t="s">
        <v>30</v>
      </c>
      <c r="C73" s="163" t="s">
        <v>224</v>
      </c>
      <c r="D73" s="163" t="s">
        <v>454</v>
      </c>
      <c r="E73" s="163" t="s">
        <v>849</v>
      </c>
      <c r="F73" s="163"/>
    </row>
    <row r="74" spans="1:6" ht="15" customHeight="1" x14ac:dyDescent="0.2">
      <c r="A74" s="163" t="s">
        <v>233</v>
      </c>
      <c r="B74" s="163" t="s">
        <v>30</v>
      </c>
      <c r="C74" s="163" t="s">
        <v>232</v>
      </c>
      <c r="D74" s="163" t="s">
        <v>454</v>
      </c>
      <c r="E74" s="163" t="s">
        <v>849</v>
      </c>
      <c r="F74" s="163"/>
    </row>
    <row r="75" spans="1:6" ht="15" customHeight="1" x14ac:dyDescent="0.2">
      <c r="A75" s="163" t="s">
        <v>237</v>
      </c>
      <c r="B75" s="163" t="s">
        <v>30</v>
      </c>
      <c r="C75" s="163" t="s">
        <v>236</v>
      </c>
      <c r="D75" s="163" t="s">
        <v>454</v>
      </c>
      <c r="E75" s="163" t="s">
        <v>849</v>
      </c>
      <c r="F75" s="163"/>
    </row>
    <row r="76" spans="1:6" ht="15" customHeight="1" x14ac:dyDescent="0.2">
      <c r="A76" s="163" t="s">
        <v>240</v>
      </c>
      <c r="B76" s="163" t="s">
        <v>30</v>
      </c>
      <c r="C76" s="163" t="s">
        <v>239</v>
      </c>
      <c r="D76" s="163" t="s">
        <v>462</v>
      </c>
      <c r="E76" s="163" t="s">
        <v>849</v>
      </c>
      <c r="F76" s="163"/>
    </row>
    <row r="77" spans="1:6" ht="15" customHeight="1" x14ac:dyDescent="0.2">
      <c r="A77" s="163" t="s">
        <v>245</v>
      </c>
      <c r="B77" s="163" t="s">
        <v>30</v>
      </c>
      <c r="C77" s="163" t="s">
        <v>244</v>
      </c>
      <c r="D77" s="163" t="s">
        <v>462</v>
      </c>
      <c r="E77" s="163" t="s">
        <v>849</v>
      </c>
      <c r="F77" s="163"/>
    </row>
    <row r="78" spans="1:6" ht="15" customHeight="1" x14ac:dyDescent="0.2">
      <c r="A78" s="163" t="s">
        <v>248</v>
      </c>
      <c r="B78" s="163" t="s">
        <v>30</v>
      </c>
      <c r="C78" s="163" t="s">
        <v>247</v>
      </c>
      <c r="D78" s="163" t="s">
        <v>462</v>
      </c>
      <c r="E78" s="163" t="s">
        <v>849</v>
      </c>
      <c r="F78" s="163"/>
    </row>
    <row r="79" spans="1:6" ht="15" customHeight="1" x14ac:dyDescent="0.2">
      <c r="A79" s="163" t="s">
        <v>252</v>
      </c>
      <c r="B79" s="163" t="s">
        <v>30</v>
      </c>
      <c r="C79" s="163" t="s">
        <v>251</v>
      </c>
      <c r="D79" s="163" t="s">
        <v>862</v>
      </c>
      <c r="E79" s="163" t="s">
        <v>851</v>
      </c>
      <c r="F79" s="163"/>
    </row>
    <row r="80" spans="1:6" ht="15" customHeight="1" x14ac:dyDescent="0.2">
      <c r="A80" s="163" t="s">
        <v>254</v>
      </c>
      <c r="B80" s="163" t="s">
        <v>30</v>
      </c>
      <c r="C80" s="163" t="s">
        <v>253</v>
      </c>
      <c r="D80" s="163" t="s">
        <v>862</v>
      </c>
      <c r="E80" s="163" t="s">
        <v>851</v>
      </c>
      <c r="F80" s="163"/>
    </row>
    <row r="81" spans="1:6" ht="15" customHeight="1" x14ac:dyDescent="0.2">
      <c r="A81" s="163" t="s">
        <v>256</v>
      </c>
      <c r="B81" s="163" t="s">
        <v>30</v>
      </c>
      <c r="C81" s="163" t="s">
        <v>255</v>
      </c>
      <c r="D81" s="163" t="s">
        <v>862</v>
      </c>
      <c r="E81" s="163" t="s">
        <v>851</v>
      </c>
      <c r="F81" s="163"/>
    </row>
    <row r="82" spans="1:6" ht="15" customHeight="1" x14ac:dyDescent="0.2">
      <c r="A82" s="163" t="s">
        <v>258</v>
      </c>
      <c r="B82" s="163" t="s">
        <v>30</v>
      </c>
      <c r="C82" s="163" t="s">
        <v>257</v>
      </c>
      <c r="D82" s="163" t="s">
        <v>862</v>
      </c>
      <c r="E82" s="163" t="s">
        <v>851</v>
      </c>
      <c r="F82" s="163"/>
    </row>
    <row r="83" spans="1:6" ht="15" customHeight="1" x14ac:dyDescent="0.2">
      <c r="A83" s="163" t="s">
        <v>260</v>
      </c>
      <c r="B83" s="163" t="s">
        <v>30</v>
      </c>
      <c r="C83" s="163" t="s">
        <v>259</v>
      </c>
      <c r="D83" s="163" t="s">
        <v>862</v>
      </c>
      <c r="E83" s="163" t="s">
        <v>851</v>
      </c>
      <c r="F83" s="163"/>
    </row>
    <row r="84" spans="1:6" ht="15" customHeight="1" x14ac:dyDescent="0.2">
      <c r="A84" s="163" t="s">
        <v>262</v>
      </c>
      <c r="B84" s="163" t="s">
        <v>30</v>
      </c>
      <c r="C84" s="163" t="s">
        <v>261</v>
      </c>
      <c r="D84" s="163" t="s">
        <v>862</v>
      </c>
      <c r="E84" s="163" t="s">
        <v>851</v>
      </c>
      <c r="F84" s="163"/>
    </row>
    <row r="85" spans="1:6" ht="15" customHeight="1" x14ac:dyDescent="0.2">
      <c r="A85" s="163" t="s">
        <v>264</v>
      </c>
      <c r="B85" s="163" t="s">
        <v>30</v>
      </c>
      <c r="C85" s="163" t="s">
        <v>263</v>
      </c>
      <c r="D85" s="163" t="s">
        <v>862</v>
      </c>
      <c r="E85" s="163" t="s">
        <v>851</v>
      </c>
      <c r="F85" s="163"/>
    </row>
    <row r="86" spans="1:6" ht="15" customHeight="1" x14ac:dyDescent="0.2">
      <c r="A86" s="163" t="s">
        <v>266</v>
      </c>
      <c r="B86" s="163" t="s">
        <v>30</v>
      </c>
      <c r="C86" s="163" t="s">
        <v>265</v>
      </c>
      <c r="D86" s="163" t="s">
        <v>862</v>
      </c>
      <c r="E86" s="163" t="s">
        <v>851</v>
      </c>
      <c r="F86" s="163"/>
    </row>
    <row r="87" spans="1:6" ht="15" customHeight="1" x14ac:dyDescent="0.2">
      <c r="A87" s="163" t="s">
        <v>268</v>
      </c>
      <c r="B87" s="163" t="s">
        <v>30</v>
      </c>
      <c r="C87" s="163" t="s">
        <v>267</v>
      </c>
      <c r="D87" s="163" t="s">
        <v>862</v>
      </c>
      <c r="E87" s="163" t="s">
        <v>851</v>
      </c>
      <c r="F87" s="163"/>
    </row>
    <row r="88" spans="1:6" ht="15" customHeight="1" x14ac:dyDescent="0.2">
      <c r="A88" s="163" t="s">
        <v>271</v>
      </c>
      <c r="B88" s="163" t="s">
        <v>30</v>
      </c>
      <c r="C88" s="163" t="s">
        <v>270</v>
      </c>
      <c r="D88" s="163" t="s">
        <v>483</v>
      </c>
      <c r="E88" s="163" t="s">
        <v>851</v>
      </c>
      <c r="F88" s="163"/>
    </row>
    <row r="89" spans="1:6" ht="15" customHeight="1" x14ac:dyDescent="0.2">
      <c r="A89" s="163" t="s">
        <v>276</v>
      </c>
      <c r="B89" s="163" t="s">
        <v>30</v>
      </c>
      <c r="C89" s="163" t="s">
        <v>275</v>
      </c>
      <c r="D89" s="163" t="s">
        <v>483</v>
      </c>
      <c r="E89" s="163" t="s">
        <v>851</v>
      </c>
      <c r="F89" s="163"/>
    </row>
    <row r="90" spans="1:6" ht="15" customHeight="1" x14ac:dyDescent="0.2">
      <c r="A90" s="163" t="s">
        <v>279</v>
      </c>
      <c r="B90" s="163" t="s">
        <v>30</v>
      </c>
      <c r="C90" s="163" t="s">
        <v>278</v>
      </c>
      <c r="D90" s="163" t="s">
        <v>483</v>
      </c>
      <c r="E90" s="163" t="s">
        <v>851</v>
      </c>
      <c r="F90" s="163"/>
    </row>
    <row r="91" spans="1:6" ht="15" customHeight="1" x14ac:dyDescent="0.2">
      <c r="A91" s="163" t="s">
        <v>284</v>
      </c>
      <c r="B91" s="163" t="s">
        <v>30</v>
      </c>
      <c r="C91" s="163" t="s">
        <v>283</v>
      </c>
      <c r="D91" s="163" t="s">
        <v>483</v>
      </c>
      <c r="E91" s="163" t="s">
        <v>851</v>
      </c>
      <c r="F91" s="163"/>
    </row>
    <row r="92" spans="1:6" ht="15" customHeight="1" x14ac:dyDescent="0.2">
      <c r="A92" s="163" t="s">
        <v>288</v>
      </c>
      <c r="B92" s="163" t="s">
        <v>30</v>
      </c>
      <c r="C92" s="163" t="s">
        <v>287</v>
      </c>
      <c r="D92" s="163" t="s">
        <v>483</v>
      </c>
      <c r="E92" s="163" t="s">
        <v>851</v>
      </c>
      <c r="F92" s="163"/>
    </row>
    <row r="93" spans="1:6" ht="15" customHeight="1" x14ac:dyDescent="0.2">
      <c r="A93" s="163" t="s">
        <v>291</v>
      </c>
      <c r="B93" s="163" t="s">
        <v>30</v>
      </c>
      <c r="C93" s="163" t="s">
        <v>290</v>
      </c>
      <c r="D93" s="163" t="s">
        <v>483</v>
      </c>
      <c r="E93" s="163" t="s">
        <v>851</v>
      </c>
      <c r="F93" s="163"/>
    </row>
    <row r="94" spans="1:6" ht="15" customHeight="1" x14ac:dyDescent="0.2">
      <c r="A94" s="163" t="s">
        <v>295</v>
      </c>
      <c r="B94" s="163" t="s">
        <v>30</v>
      </c>
      <c r="C94" s="163" t="s">
        <v>294</v>
      </c>
      <c r="D94" s="163" t="s">
        <v>483</v>
      </c>
      <c r="E94" s="163" t="s">
        <v>851</v>
      </c>
      <c r="F94" s="163"/>
    </row>
    <row r="95" spans="1:6" ht="15" customHeight="1" x14ac:dyDescent="0.2">
      <c r="A95" s="163" t="s">
        <v>302</v>
      </c>
      <c r="B95" s="163" t="s">
        <v>30</v>
      </c>
      <c r="C95" s="163" t="s">
        <v>301</v>
      </c>
      <c r="D95" s="163" t="s">
        <v>265</v>
      </c>
      <c r="E95" s="163" t="s">
        <v>851</v>
      </c>
      <c r="F95" s="163"/>
    </row>
    <row r="96" spans="1:6" ht="15" customHeight="1" x14ac:dyDescent="0.2">
      <c r="A96" s="163" t="s">
        <v>304</v>
      </c>
      <c r="B96" s="163" t="s">
        <v>30</v>
      </c>
      <c r="C96" s="163" t="s">
        <v>303</v>
      </c>
      <c r="D96" s="163" t="s">
        <v>265</v>
      </c>
      <c r="E96" s="163" t="s">
        <v>851</v>
      </c>
      <c r="F96" s="163"/>
    </row>
    <row r="97" spans="1:6" ht="15" customHeight="1" x14ac:dyDescent="0.2">
      <c r="A97" s="163" t="s">
        <v>306</v>
      </c>
      <c r="B97" s="163" t="s">
        <v>30</v>
      </c>
      <c r="C97" s="163" t="s">
        <v>305</v>
      </c>
      <c r="D97" s="163" t="s">
        <v>265</v>
      </c>
      <c r="E97" s="163" t="s">
        <v>851</v>
      </c>
      <c r="F97" s="163"/>
    </row>
    <row r="98" spans="1:6" ht="15" customHeight="1" x14ac:dyDescent="0.2">
      <c r="A98" s="163" t="s">
        <v>308</v>
      </c>
      <c r="B98" s="163" t="s">
        <v>30</v>
      </c>
      <c r="C98" s="163" t="s">
        <v>307</v>
      </c>
      <c r="D98" s="163" t="s">
        <v>265</v>
      </c>
      <c r="E98" s="163" t="s">
        <v>851</v>
      </c>
      <c r="F98" s="163"/>
    </row>
    <row r="99" spans="1:6" ht="15" customHeight="1" x14ac:dyDescent="0.2">
      <c r="A99" s="163" t="s">
        <v>310</v>
      </c>
      <c r="B99" s="163" t="s">
        <v>30</v>
      </c>
      <c r="C99" s="163" t="s">
        <v>309</v>
      </c>
      <c r="D99" s="163" t="s">
        <v>265</v>
      </c>
      <c r="E99" s="163" t="s">
        <v>851</v>
      </c>
      <c r="F99" s="163"/>
    </row>
    <row r="100" spans="1:6" ht="15" customHeight="1" x14ac:dyDescent="0.2">
      <c r="A100" s="163" t="s">
        <v>312</v>
      </c>
      <c r="B100" s="163" t="s">
        <v>30</v>
      </c>
      <c r="C100" s="163" t="s">
        <v>311</v>
      </c>
      <c r="D100" s="163" t="s">
        <v>265</v>
      </c>
      <c r="E100" s="163" t="s">
        <v>851</v>
      </c>
      <c r="F100" s="163"/>
    </row>
    <row r="101" spans="1:6" ht="15" customHeight="1" x14ac:dyDescent="0.2">
      <c r="A101" s="163" t="s">
        <v>314</v>
      </c>
      <c r="B101" s="163" t="s">
        <v>30</v>
      </c>
      <c r="C101" s="163" t="s">
        <v>313</v>
      </c>
      <c r="D101" s="163" t="s">
        <v>265</v>
      </c>
      <c r="E101" s="163" t="s">
        <v>851</v>
      </c>
      <c r="F101" s="163"/>
    </row>
    <row r="102" spans="1:6" ht="15" customHeight="1" x14ac:dyDescent="0.2">
      <c r="A102" s="163" t="s">
        <v>316</v>
      </c>
      <c r="B102" s="163" t="s">
        <v>30</v>
      </c>
      <c r="C102" s="163" t="s">
        <v>315</v>
      </c>
      <c r="D102" s="163" t="s">
        <v>265</v>
      </c>
      <c r="E102" s="163" t="s">
        <v>851</v>
      </c>
      <c r="F102" s="163"/>
    </row>
    <row r="103" spans="1:6" ht="15" customHeight="1" x14ac:dyDescent="0.2">
      <c r="A103" s="163" t="s">
        <v>318</v>
      </c>
      <c r="B103" s="163" t="s">
        <v>30</v>
      </c>
      <c r="C103" s="163" t="s">
        <v>317</v>
      </c>
      <c r="D103" s="163" t="s">
        <v>265</v>
      </c>
      <c r="E103" s="163" t="s">
        <v>851</v>
      </c>
      <c r="F103" s="163"/>
    </row>
    <row r="104" spans="1:6" ht="15" customHeight="1" x14ac:dyDescent="0.2">
      <c r="A104" s="163" t="s">
        <v>320</v>
      </c>
      <c r="B104" s="163" t="s">
        <v>30</v>
      </c>
      <c r="C104" s="163" t="s">
        <v>319</v>
      </c>
      <c r="D104" s="163" t="s">
        <v>265</v>
      </c>
      <c r="E104" s="163" t="s">
        <v>851</v>
      </c>
      <c r="F104" s="163"/>
    </row>
    <row r="105" spans="1:6" ht="15" customHeight="1" x14ac:dyDescent="0.2">
      <c r="A105" s="163" t="s">
        <v>322</v>
      </c>
      <c r="B105" s="163" t="s">
        <v>30</v>
      </c>
      <c r="C105" s="163" t="s">
        <v>321</v>
      </c>
      <c r="D105" s="163" t="s">
        <v>265</v>
      </c>
      <c r="E105" s="163" t="s">
        <v>851</v>
      </c>
      <c r="F105" s="163"/>
    </row>
    <row r="106" spans="1:6" ht="15" customHeight="1" x14ac:dyDescent="0.2">
      <c r="A106" s="163" t="s">
        <v>325</v>
      </c>
      <c r="B106" s="163" t="s">
        <v>30</v>
      </c>
      <c r="C106" s="163" t="s">
        <v>324</v>
      </c>
      <c r="D106" s="163" t="s">
        <v>494</v>
      </c>
      <c r="E106" s="163" t="s">
        <v>851</v>
      </c>
      <c r="F106" s="163"/>
    </row>
    <row r="107" spans="1:6" ht="15" customHeight="1" x14ac:dyDescent="0.2">
      <c r="A107" s="163" t="s">
        <v>327</v>
      </c>
      <c r="B107" s="163" t="s">
        <v>30</v>
      </c>
      <c r="C107" s="163" t="s">
        <v>326</v>
      </c>
      <c r="D107" s="163" t="s">
        <v>494</v>
      </c>
      <c r="E107" s="163" t="s">
        <v>851</v>
      </c>
      <c r="F107" s="163"/>
    </row>
    <row r="108" spans="1:6" ht="15" customHeight="1" x14ac:dyDescent="0.2">
      <c r="A108" s="163" t="s">
        <v>329</v>
      </c>
      <c r="B108" s="163" t="s">
        <v>30</v>
      </c>
      <c r="C108" s="163" t="s">
        <v>328</v>
      </c>
      <c r="D108" s="163" t="s">
        <v>494</v>
      </c>
      <c r="E108" s="163" t="s">
        <v>851</v>
      </c>
      <c r="F108" s="163"/>
    </row>
    <row r="109" spans="1:6" ht="15" customHeight="1" x14ac:dyDescent="0.2">
      <c r="A109" s="163" t="s">
        <v>331</v>
      </c>
      <c r="B109" s="163" t="s">
        <v>30</v>
      </c>
      <c r="C109" s="163" t="s">
        <v>330</v>
      </c>
      <c r="D109" s="163" t="s">
        <v>494</v>
      </c>
      <c r="E109" s="163" t="s">
        <v>851</v>
      </c>
      <c r="F109" s="163"/>
    </row>
    <row r="110" spans="1:6" ht="15" customHeight="1" x14ac:dyDescent="0.2">
      <c r="A110" s="163" t="s">
        <v>335</v>
      </c>
      <c r="B110" s="163" t="s">
        <v>30</v>
      </c>
      <c r="C110" s="163" t="s">
        <v>334</v>
      </c>
      <c r="D110" s="163" t="s">
        <v>465</v>
      </c>
      <c r="E110" s="163" t="s">
        <v>853</v>
      </c>
      <c r="F110" s="163"/>
    </row>
    <row r="111" spans="1:6" ht="15" customHeight="1" x14ac:dyDescent="0.2">
      <c r="A111" s="163" t="s">
        <v>338</v>
      </c>
      <c r="B111" s="163" t="s">
        <v>30</v>
      </c>
      <c r="C111" s="163" t="s">
        <v>337</v>
      </c>
      <c r="D111" s="163" t="s">
        <v>465</v>
      </c>
      <c r="E111" s="163" t="s">
        <v>853</v>
      </c>
      <c r="F111" s="163"/>
    </row>
    <row r="112" spans="1:6" ht="15" customHeight="1" x14ac:dyDescent="0.2">
      <c r="A112" s="163" t="s">
        <v>343</v>
      </c>
      <c r="B112" s="163" t="s">
        <v>30</v>
      </c>
      <c r="C112" s="163" t="s">
        <v>342</v>
      </c>
      <c r="D112" s="163" t="s">
        <v>465</v>
      </c>
      <c r="E112" s="163" t="s">
        <v>853</v>
      </c>
      <c r="F112" s="163"/>
    </row>
    <row r="113" spans="1:7" ht="15" customHeight="1" x14ac:dyDescent="0.2">
      <c r="A113" s="163" t="s">
        <v>346</v>
      </c>
      <c r="B113" s="163" t="s">
        <v>30</v>
      </c>
      <c r="C113" s="163" t="s">
        <v>345</v>
      </c>
      <c r="D113" s="163" t="s">
        <v>465</v>
      </c>
      <c r="E113" s="163" t="s">
        <v>853</v>
      </c>
      <c r="F113" s="163"/>
    </row>
    <row r="114" spans="1:7" ht="15" customHeight="1" x14ac:dyDescent="0.2">
      <c r="A114" s="163" t="s">
        <v>353</v>
      </c>
      <c r="B114" s="163" t="s">
        <v>30</v>
      </c>
      <c r="C114" s="163" t="s">
        <v>352</v>
      </c>
      <c r="D114" s="163" t="s">
        <v>865</v>
      </c>
      <c r="E114" s="163" t="s">
        <v>853</v>
      </c>
      <c r="F114" s="163"/>
    </row>
    <row r="115" spans="1:7" ht="15" customHeight="1" x14ac:dyDescent="0.2">
      <c r="A115" s="163" t="s">
        <v>357</v>
      </c>
      <c r="B115" s="163" t="s">
        <v>30</v>
      </c>
      <c r="C115" s="163" t="s">
        <v>356</v>
      </c>
      <c r="D115" s="163" t="s">
        <v>865</v>
      </c>
      <c r="E115" s="163" t="s">
        <v>853</v>
      </c>
      <c r="F115" s="163"/>
    </row>
    <row r="116" spans="1:7" ht="15" customHeight="1" x14ac:dyDescent="0.2">
      <c r="A116" s="163" t="s">
        <v>361</v>
      </c>
      <c r="B116" s="163" t="s">
        <v>30</v>
      </c>
      <c r="C116" s="163" t="s">
        <v>360</v>
      </c>
      <c r="D116" s="163" t="s">
        <v>865</v>
      </c>
      <c r="E116" s="163" t="s">
        <v>853</v>
      </c>
      <c r="F116" s="163"/>
    </row>
    <row r="117" spans="1:7" ht="15" customHeight="1" x14ac:dyDescent="0.2">
      <c r="A117" s="163" t="s">
        <v>364</v>
      </c>
      <c r="B117" s="163" t="s">
        <v>30</v>
      </c>
      <c r="C117" s="163" t="s">
        <v>363</v>
      </c>
      <c r="D117" s="163" t="s">
        <v>865</v>
      </c>
      <c r="E117" s="163" t="s">
        <v>853</v>
      </c>
      <c r="F117" s="163"/>
    </row>
    <row r="118" spans="1:7" ht="15" customHeight="1" x14ac:dyDescent="0.2">
      <c r="A118" s="163" t="s">
        <v>368</v>
      </c>
      <c r="B118" s="163" t="s">
        <v>30</v>
      </c>
      <c r="C118" s="163" t="s">
        <v>367</v>
      </c>
      <c r="D118" s="163" t="s">
        <v>865</v>
      </c>
      <c r="E118" s="163" t="s">
        <v>853</v>
      </c>
      <c r="F118" s="163"/>
    </row>
    <row r="119" spans="1:7" ht="15" customHeight="1" x14ac:dyDescent="0.2">
      <c r="A119" s="163" t="s">
        <v>372</v>
      </c>
      <c r="B119" s="163" t="s">
        <v>30</v>
      </c>
      <c r="C119" s="163" t="s">
        <v>371</v>
      </c>
      <c r="D119" s="163" t="s">
        <v>865</v>
      </c>
      <c r="E119" s="163" t="s">
        <v>853</v>
      </c>
      <c r="F119" s="163"/>
    </row>
    <row r="120" spans="1:7" ht="15" customHeight="1" x14ac:dyDescent="0.2">
      <c r="A120" s="163" t="s">
        <v>377</v>
      </c>
      <c r="B120" s="163" t="s">
        <v>30</v>
      </c>
      <c r="C120" s="163" t="s">
        <v>376</v>
      </c>
      <c r="D120" s="163" t="s">
        <v>469</v>
      </c>
      <c r="E120" s="163" t="s">
        <v>853</v>
      </c>
      <c r="F120" s="163"/>
    </row>
    <row r="121" spans="1:7" ht="15" customHeight="1" x14ac:dyDescent="0.2">
      <c r="A121" s="163" t="s">
        <v>381</v>
      </c>
      <c r="B121" s="163" t="s">
        <v>30</v>
      </c>
      <c r="C121" s="163" t="s">
        <v>380</v>
      </c>
      <c r="D121" s="163" t="s">
        <v>469</v>
      </c>
      <c r="E121" s="163" t="s">
        <v>853</v>
      </c>
      <c r="F121" s="163"/>
    </row>
    <row r="122" spans="1:7" ht="15" customHeight="1" x14ac:dyDescent="0.2">
      <c r="A122" s="163" t="s">
        <v>384</v>
      </c>
      <c r="B122" s="163" t="s">
        <v>30</v>
      </c>
      <c r="C122" s="163" t="s">
        <v>383</v>
      </c>
      <c r="D122" s="163" t="s">
        <v>469</v>
      </c>
      <c r="E122" s="163" t="s">
        <v>853</v>
      </c>
      <c r="F122" s="163"/>
    </row>
    <row r="123" spans="1:7" ht="15" customHeight="1" x14ac:dyDescent="0.2">
      <c r="A123" s="163" t="s">
        <v>387</v>
      </c>
      <c r="B123" s="163" t="s">
        <v>30</v>
      </c>
      <c r="C123" s="163" t="s">
        <v>386</v>
      </c>
      <c r="D123" s="163" t="s">
        <v>469</v>
      </c>
      <c r="E123" s="163" t="s">
        <v>853</v>
      </c>
      <c r="F123" s="163"/>
    </row>
    <row r="124" spans="1:7" ht="15" customHeight="1" x14ac:dyDescent="0.2">
      <c r="A124" s="163" t="s">
        <v>391</v>
      </c>
      <c r="B124" s="163" t="s">
        <v>30</v>
      </c>
      <c r="C124" s="163" t="s">
        <v>390</v>
      </c>
      <c r="D124" s="163" t="s">
        <v>469</v>
      </c>
      <c r="E124" s="163" t="s">
        <v>853</v>
      </c>
      <c r="F124" s="163"/>
    </row>
    <row r="125" spans="1:7" ht="15" customHeight="1" x14ac:dyDescent="0.2">
      <c r="A125" s="163" t="s">
        <v>394</v>
      </c>
      <c r="B125" s="163" t="s">
        <v>30</v>
      </c>
      <c r="C125" s="163" t="s">
        <v>393</v>
      </c>
      <c r="D125" s="163" t="s">
        <v>469</v>
      </c>
      <c r="E125" s="163" t="s">
        <v>853</v>
      </c>
      <c r="F125" s="163"/>
    </row>
    <row r="126" spans="1:7" ht="15" customHeight="1" x14ac:dyDescent="0.2">
      <c r="A126" s="163" t="s">
        <v>397</v>
      </c>
      <c r="B126" s="163" t="s">
        <v>30</v>
      </c>
      <c r="C126" s="163" t="s">
        <v>396</v>
      </c>
      <c r="D126" s="163" t="s">
        <v>469</v>
      </c>
      <c r="E126" s="163" t="s">
        <v>853</v>
      </c>
      <c r="F126" s="163"/>
    </row>
    <row r="127" spans="1:7" ht="15" customHeight="1" x14ac:dyDescent="0.2">
      <c r="A127" s="163" t="s">
        <v>866</v>
      </c>
      <c r="B127" s="163" t="s">
        <v>867</v>
      </c>
      <c r="C127" s="163" t="s">
        <v>405</v>
      </c>
      <c r="D127" s="163"/>
      <c r="E127" s="163"/>
      <c r="F127" s="163"/>
      <c r="G127" s="161" t="s">
        <v>868</v>
      </c>
    </row>
    <row r="128" spans="1:7" ht="15" customHeight="1" x14ac:dyDescent="0.2">
      <c r="A128" s="163" t="s">
        <v>869</v>
      </c>
      <c r="B128" s="163" t="s">
        <v>867</v>
      </c>
      <c r="C128" s="163" t="s">
        <v>432</v>
      </c>
      <c r="D128" s="163"/>
      <c r="E128" s="163"/>
      <c r="F128" s="163"/>
      <c r="G128" s="161" t="s">
        <v>870</v>
      </c>
    </row>
    <row r="129" spans="1:7" ht="15" customHeight="1" x14ac:dyDescent="0.2">
      <c r="A129" s="163" t="s">
        <v>871</v>
      </c>
      <c r="B129" s="163" t="s">
        <v>867</v>
      </c>
      <c r="C129" s="163" t="s">
        <v>872</v>
      </c>
      <c r="D129" s="163"/>
      <c r="E129" s="163"/>
      <c r="F129" s="163"/>
      <c r="G129" s="161" t="s">
        <v>873</v>
      </c>
    </row>
    <row r="130" spans="1:7" ht="15" customHeight="1" x14ac:dyDescent="0.2">
      <c r="A130" s="163" t="s">
        <v>874</v>
      </c>
      <c r="B130" s="163" t="s">
        <v>867</v>
      </c>
      <c r="C130" s="163" t="s">
        <v>481</v>
      </c>
      <c r="D130" s="163"/>
      <c r="E130" s="163"/>
      <c r="F130" s="163"/>
      <c r="G130" s="161" t="s">
        <v>875</v>
      </c>
    </row>
    <row r="131" spans="1:7" ht="15" customHeight="1" x14ac:dyDescent="0.2">
      <c r="A131" s="163" t="s">
        <v>876</v>
      </c>
      <c r="B131" s="163" t="s">
        <v>867</v>
      </c>
      <c r="C131" s="163" t="s">
        <v>503</v>
      </c>
      <c r="D131" s="163"/>
      <c r="E131" s="163"/>
      <c r="F131" s="163"/>
      <c r="G131" s="161" t="s">
        <v>877</v>
      </c>
    </row>
    <row r="132" spans="1:7" ht="15" customHeight="1" x14ac:dyDescent="0.2">
      <c r="A132" s="163" t="s">
        <v>878</v>
      </c>
      <c r="B132" s="163" t="s">
        <v>867</v>
      </c>
      <c r="C132" s="163" t="s">
        <v>512</v>
      </c>
      <c r="D132" s="163"/>
      <c r="E132" s="163"/>
      <c r="F132" s="163"/>
      <c r="G132" s="161" t="s">
        <v>879</v>
      </c>
    </row>
    <row r="133" spans="1:7" ht="15" customHeight="1" x14ac:dyDescent="0.2">
      <c r="A133" s="163" t="s">
        <v>880</v>
      </c>
      <c r="B133" s="163" t="s">
        <v>402</v>
      </c>
      <c r="C133" s="163" t="s">
        <v>881</v>
      </c>
      <c r="D133" s="163"/>
      <c r="E133" s="163"/>
      <c r="F133" s="163" t="s">
        <v>405</v>
      </c>
      <c r="G133" s="161" t="s">
        <v>882</v>
      </c>
    </row>
    <row r="134" spans="1:7" ht="15" customHeight="1" x14ac:dyDescent="0.2">
      <c r="A134" s="163" t="s">
        <v>883</v>
      </c>
      <c r="B134" s="163" t="s">
        <v>402</v>
      </c>
      <c r="C134" s="163" t="s">
        <v>884</v>
      </c>
      <c r="D134" s="163"/>
      <c r="E134" s="163"/>
      <c r="F134" s="163" t="s">
        <v>405</v>
      </c>
      <c r="G134" s="161" t="s">
        <v>885</v>
      </c>
    </row>
    <row r="135" spans="1:7" ht="15" customHeight="1" x14ac:dyDescent="0.2">
      <c r="A135" s="163" t="s">
        <v>886</v>
      </c>
      <c r="B135" s="163" t="s">
        <v>402</v>
      </c>
      <c r="C135" s="163" t="s">
        <v>887</v>
      </c>
      <c r="D135" s="163"/>
      <c r="E135" s="163"/>
      <c r="F135" s="163" t="s">
        <v>405</v>
      </c>
      <c r="G135" s="161" t="s">
        <v>888</v>
      </c>
    </row>
    <row r="136" spans="1:7" ht="69.75" customHeight="1" x14ac:dyDescent="0.2">
      <c r="A136" s="163" t="s">
        <v>889</v>
      </c>
      <c r="B136" s="163" t="s">
        <v>402</v>
      </c>
      <c r="C136" s="163" t="s">
        <v>890</v>
      </c>
      <c r="D136" s="163"/>
      <c r="E136" s="163"/>
      <c r="F136" s="163" t="s">
        <v>432</v>
      </c>
      <c r="G136" s="161" t="s">
        <v>891</v>
      </c>
    </row>
    <row r="137" spans="1:7" ht="111.75" customHeight="1" x14ac:dyDescent="0.2">
      <c r="A137" s="163" t="s">
        <v>892</v>
      </c>
      <c r="B137" s="163" t="s">
        <v>402</v>
      </c>
      <c r="C137" s="163" t="s">
        <v>893</v>
      </c>
      <c r="D137" s="163"/>
      <c r="E137" s="163"/>
      <c r="F137" s="163" t="s">
        <v>432</v>
      </c>
      <c r="G137" s="161" t="s">
        <v>894</v>
      </c>
    </row>
    <row r="138" spans="1:7" ht="84" customHeight="1" x14ac:dyDescent="0.2">
      <c r="A138" s="163" t="s">
        <v>895</v>
      </c>
      <c r="B138" s="163" t="s">
        <v>402</v>
      </c>
      <c r="C138" s="163" t="s">
        <v>896</v>
      </c>
      <c r="D138" s="163"/>
      <c r="E138" s="163"/>
      <c r="F138" s="163" t="s">
        <v>432</v>
      </c>
      <c r="G138" s="161" t="s">
        <v>897</v>
      </c>
    </row>
    <row r="139" spans="1:7" ht="84" customHeight="1" x14ac:dyDescent="0.2">
      <c r="A139" s="163" t="s">
        <v>898</v>
      </c>
      <c r="B139" s="163" t="s">
        <v>402</v>
      </c>
      <c r="C139" s="163" t="s">
        <v>899</v>
      </c>
      <c r="D139" s="163"/>
      <c r="E139" s="163"/>
      <c r="F139" s="163" t="s">
        <v>872</v>
      </c>
      <c r="G139" s="161" t="s">
        <v>900</v>
      </c>
    </row>
    <row r="140" spans="1:7" ht="69.75" customHeight="1" x14ac:dyDescent="0.2">
      <c r="A140" s="163" t="s">
        <v>901</v>
      </c>
      <c r="B140" s="163" t="s">
        <v>402</v>
      </c>
      <c r="C140" s="163" t="s">
        <v>902</v>
      </c>
      <c r="D140" s="163"/>
      <c r="E140" s="163"/>
      <c r="F140" s="163" t="s">
        <v>872</v>
      </c>
      <c r="G140" s="161" t="s">
        <v>903</v>
      </c>
    </row>
    <row r="141" spans="1:7" ht="97.5" customHeight="1" x14ac:dyDescent="0.2">
      <c r="A141" s="163" t="s">
        <v>904</v>
      </c>
      <c r="B141" s="163" t="s">
        <v>402</v>
      </c>
      <c r="C141" s="163" t="s">
        <v>905</v>
      </c>
      <c r="D141" s="163"/>
      <c r="E141" s="163"/>
      <c r="F141" s="163" t="s">
        <v>872</v>
      </c>
      <c r="G141" s="161" t="s">
        <v>906</v>
      </c>
    </row>
    <row r="142" spans="1:7" ht="42" customHeight="1" x14ac:dyDescent="0.2">
      <c r="A142" s="163" t="s">
        <v>907</v>
      </c>
      <c r="B142" s="163" t="s">
        <v>402</v>
      </c>
      <c r="C142" s="163" t="s">
        <v>908</v>
      </c>
      <c r="D142" s="163"/>
      <c r="E142" s="163"/>
      <c r="F142" s="163" t="s">
        <v>481</v>
      </c>
      <c r="G142" s="161" t="s">
        <v>909</v>
      </c>
    </row>
    <row r="143" spans="1:7" ht="42" customHeight="1" x14ac:dyDescent="0.2">
      <c r="A143" s="163" t="s">
        <v>910</v>
      </c>
      <c r="B143" s="163" t="s">
        <v>402</v>
      </c>
      <c r="C143" s="163" t="s">
        <v>911</v>
      </c>
      <c r="D143" s="163"/>
      <c r="E143" s="163"/>
      <c r="F143" s="163" t="s">
        <v>481</v>
      </c>
      <c r="G143" s="161" t="s">
        <v>912</v>
      </c>
    </row>
    <row r="144" spans="1:7" ht="42" customHeight="1" x14ac:dyDescent="0.2">
      <c r="A144" s="163" t="s">
        <v>913</v>
      </c>
      <c r="B144" s="163" t="s">
        <v>402</v>
      </c>
      <c r="C144" s="163" t="s">
        <v>914</v>
      </c>
      <c r="D144" s="163"/>
      <c r="E144" s="163"/>
      <c r="F144" s="163" t="s">
        <v>481</v>
      </c>
      <c r="G144" s="161" t="s">
        <v>915</v>
      </c>
    </row>
    <row r="145" spans="1:7" ht="42" customHeight="1" x14ac:dyDescent="0.2">
      <c r="A145" s="163" t="s">
        <v>916</v>
      </c>
      <c r="B145" s="163" t="s">
        <v>402</v>
      </c>
      <c r="C145" s="163" t="s">
        <v>917</v>
      </c>
      <c r="D145" s="163"/>
      <c r="E145" s="163"/>
      <c r="F145" s="163" t="s">
        <v>481</v>
      </c>
      <c r="G145" s="161" t="s">
        <v>918</v>
      </c>
    </row>
    <row r="146" spans="1:7" ht="42" customHeight="1" x14ac:dyDescent="0.2">
      <c r="A146" s="163" t="s">
        <v>919</v>
      </c>
      <c r="B146" s="163" t="s">
        <v>402</v>
      </c>
      <c r="C146" s="163" t="s">
        <v>920</v>
      </c>
      <c r="D146" s="163"/>
      <c r="E146" s="163"/>
      <c r="F146" s="163" t="s">
        <v>481</v>
      </c>
      <c r="G146" s="161" t="s">
        <v>921</v>
      </c>
    </row>
    <row r="147" spans="1:7" ht="42" customHeight="1" x14ac:dyDescent="0.2">
      <c r="A147" s="163" t="s">
        <v>922</v>
      </c>
      <c r="B147" s="163" t="s">
        <v>402</v>
      </c>
      <c r="C147" s="163" t="s">
        <v>923</v>
      </c>
      <c r="D147" s="163"/>
      <c r="E147" s="163"/>
      <c r="F147" s="163" t="s">
        <v>481</v>
      </c>
      <c r="G147" s="161" t="s">
        <v>924</v>
      </c>
    </row>
    <row r="148" spans="1:7" ht="69.75" customHeight="1" x14ac:dyDescent="0.2">
      <c r="A148" s="163" t="s">
        <v>925</v>
      </c>
      <c r="B148" s="163" t="s">
        <v>402</v>
      </c>
      <c r="C148" s="163" t="s">
        <v>926</v>
      </c>
      <c r="D148" s="163"/>
      <c r="E148" s="163"/>
      <c r="F148" s="163" t="s">
        <v>503</v>
      </c>
      <c r="G148" s="161" t="s">
        <v>927</v>
      </c>
    </row>
    <row r="149" spans="1:7" ht="27.75" customHeight="1" x14ac:dyDescent="0.2">
      <c r="A149" s="163" t="s">
        <v>928</v>
      </c>
      <c r="B149" s="163" t="s">
        <v>402</v>
      </c>
      <c r="C149" s="163" t="s">
        <v>929</v>
      </c>
      <c r="D149" s="163"/>
      <c r="E149" s="163"/>
      <c r="F149" s="163" t="s">
        <v>503</v>
      </c>
      <c r="G149" s="161" t="s">
        <v>930</v>
      </c>
    </row>
    <row r="150" spans="1:7" ht="27.75" customHeight="1" x14ac:dyDescent="0.2">
      <c r="A150" s="163" t="s">
        <v>931</v>
      </c>
      <c r="B150" s="163" t="s">
        <v>402</v>
      </c>
      <c r="C150" s="163" t="s">
        <v>932</v>
      </c>
      <c r="D150" s="163"/>
      <c r="E150" s="163"/>
      <c r="F150" s="163" t="s">
        <v>512</v>
      </c>
      <c r="G150" s="161" t="s">
        <v>933</v>
      </c>
    </row>
    <row r="151" spans="1:7" ht="27.75" customHeight="1" x14ac:dyDescent="0.2">
      <c r="A151" s="163" t="s">
        <v>934</v>
      </c>
      <c r="B151" s="163" t="s">
        <v>402</v>
      </c>
      <c r="C151" s="163" t="s">
        <v>935</v>
      </c>
      <c r="D151" s="163"/>
      <c r="E151" s="163"/>
      <c r="F151" s="163" t="s">
        <v>512</v>
      </c>
      <c r="G151" s="161" t="s">
        <v>936</v>
      </c>
    </row>
    <row r="152" spans="1:7" ht="27.75" customHeight="1" x14ac:dyDescent="0.2">
      <c r="A152" s="163" t="s">
        <v>937</v>
      </c>
      <c r="B152" s="163" t="s">
        <v>402</v>
      </c>
      <c r="C152" s="163" t="s">
        <v>938</v>
      </c>
      <c r="D152" s="163"/>
      <c r="E152" s="163"/>
      <c r="F152" s="163" t="s">
        <v>512</v>
      </c>
      <c r="G152" s="161" t="s">
        <v>939</v>
      </c>
    </row>
    <row r="153" spans="1:7" ht="27.75" customHeight="1" x14ac:dyDescent="0.2">
      <c r="A153" s="163"/>
      <c r="B153" s="163"/>
      <c r="C153" s="163"/>
      <c r="D153" s="163"/>
      <c r="E153" s="163"/>
      <c r="F153" s="163"/>
      <c r="G153" s="161"/>
    </row>
    <row r="154" spans="1:7" ht="42" customHeight="1" x14ac:dyDescent="0.2">
      <c r="A154" s="164" t="s">
        <v>940</v>
      </c>
      <c r="B154" s="163"/>
      <c r="C154" s="163"/>
      <c r="D154" s="163"/>
      <c r="E154" s="163"/>
      <c r="F154" s="163"/>
      <c r="G154" s="161"/>
    </row>
    <row r="155" spans="1:7" ht="27.75" customHeight="1" x14ac:dyDescent="0.2">
      <c r="A155" s="163"/>
      <c r="B155" s="163"/>
      <c r="C155" s="163"/>
      <c r="D155" s="163"/>
      <c r="E155" s="163"/>
      <c r="F155" s="163"/>
      <c r="G155" s="161"/>
    </row>
    <row r="156" spans="1:7" ht="27.75" customHeight="1" x14ac:dyDescent="0.2">
      <c r="A156" s="163"/>
      <c r="B156" s="163"/>
      <c r="C156" s="163"/>
      <c r="D156" s="163"/>
      <c r="E156" s="163"/>
      <c r="F156" s="163"/>
      <c r="G156" s="161"/>
    </row>
    <row r="157" spans="1:7" ht="27.75" customHeight="1" x14ac:dyDescent="0.2">
      <c r="A157" s="163"/>
      <c r="B157" s="163"/>
      <c r="C157" s="163"/>
      <c r="D157" s="163"/>
      <c r="E157" s="163"/>
      <c r="F157" s="163"/>
      <c r="G157" s="161"/>
    </row>
    <row r="158" spans="1:7" ht="27.75" customHeight="1" x14ac:dyDescent="0.2">
      <c r="A158" s="163"/>
      <c r="B158" s="163"/>
      <c r="C158" s="163"/>
      <c r="D158" s="163"/>
      <c r="E158" s="163"/>
      <c r="F158" s="163"/>
      <c r="G158" s="161"/>
    </row>
    <row r="159" spans="1:7" ht="55.5" customHeight="1" x14ac:dyDescent="0.2">
      <c r="A159" s="163"/>
      <c r="B159" s="163"/>
      <c r="C159" s="163"/>
      <c r="D159" s="163"/>
      <c r="E159" s="163"/>
      <c r="F159" s="163"/>
      <c r="G159" s="161"/>
    </row>
    <row r="160" spans="1:7" ht="27.75" customHeight="1" x14ac:dyDescent="0.2">
      <c r="A160" s="163"/>
      <c r="B160" s="163"/>
      <c r="C160" s="163"/>
      <c r="D160" s="163"/>
      <c r="E160" s="163"/>
      <c r="F160" s="163"/>
      <c r="G160" s="161"/>
    </row>
    <row r="161" spans="1:7" ht="42" customHeight="1" x14ac:dyDescent="0.2">
      <c r="A161" s="163"/>
      <c r="B161" s="163"/>
      <c r="C161" s="163"/>
      <c r="D161" s="163"/>
      <c r="E161" s="163"/>
      <c r="F161" s="163"/>
      <c r="G161" s="161"/>
    </row>
    <row r="163" spans="1:7" ht="15" customHeight="1" x14ac:dyDescent="0.2">
      <c r="A163" s="164"/>
    </row>
  </sheetData>
  <autoFilter ref="A1:F152" xr:uid="{00000000-0009-0000-0000-000005000000}"/>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0"/>
  <sheetViews>
    <sheetView zoomScaleNormal="100" workbookViewId="0">
      <pane ySplit="1" topLeftCell="A2" activePane="bottomLeft" state="frozen"/>
      <selection pane="bottomLeft" activeCell="B17" sqref="B17"/>
    </sheetView>
  </sheetViews>
  <sheetFormatPr baseColWidth="10" defaultColWidth="8.6640625" defaultRowHeight="15" x14ac:dyDescent="0.2"/>
  <cols>
    <col min="1" max="1" width="14" customWidth="1"/>
    <col min="2" max="2" width="42" customWidth="1"/>
    <col min="3" max="3" width="34" customWidth="1"/>
    <col min="4" max="4" width="13" customWidth="1"/>
    <col min="5" max="5" width="46" customWidth="1"/>
    <col min="6" max="6" width="44" customWidth="1"/>
  </cols>
  <sheetData>
    <row r="1" spans="1:6" ht="15" customHeight="1" x14ac:dyDescent="0.2">
      <c r="A1" s="93" t="s">
        <v>941</v>
      </c>
      <c r="B1" s="93" t="s">
        <v>942</v>
      </c>
      <c r="C1" s="93" t="s">
        <v>943</v>
      </c>
      <c r="D1" s="93" t="s">
        <v>944</v>
      </c>
      <c r="E1" s="93" t="s">
        <v>945</v>
      </c>
      <c r="F1" s="93" t="s">
        <v>946</v>
      </c>
    </row>
    <row r="2" spans="1:6" ht="15" customHeight="1" x14ac:dyDescent="0.2">
      <c r="A2" s="163" t="s">
        <v>854</v>
      </c>
      <c r="B2" s="99" t="str">
        <f>IF(A2="","",IFERROR(INDEX('Dashboard Items'!$C$2:$C$495,MATCH(A2,'Dashboard Items'!$A$2:$A$495,0)),"ID not found"))</f>
        <v>Administrative Leadership &amp; Governance</v>
      </c>
      <c r="C2" s="99" t="str">
        <f>IF(A2="","",IFERROR(INDEX('Dashboard Items'!$E$2:$E$495,MATCH(A2,'Dashboard Items'!$A$2:$A$495,0)),"ID not found"))</f>
        <v>Leadership and Governance</v>
      </c>
      <c r="D2" s="163" t="s">
        <v>880</v>
      </c>
      <c r="E2" s="99" t="str">
        <f>IF(D2="","",IFERROR(INDEX('Dashboard Items'!$C$2:$C$495,MATCH(D2,'Dashboard Items'!$A$2:$A$495,0)),"ID not found"))</f>
        <v>1.1 Financial Sustainability and Innovation</v>
      </c>
      <c r="F2" s="99" t="str">
        <f>IF(D2="","",IFERROR(INDEX('Dashboard Items'!$F$2:$F$495,MATCH(D2,'Dashboard Items'!$A$2:$A$495,0)),"ID not found"))</f>
        <v>Organizational Stewardship</v>
      </c>
    </row>
    <row r="3" spans="1:6" ht="15" customHeight="1" x14ac:dyDescent="0.2">
      <c r="A3" s="163" t="s">
        <v>854</v>
      </c>
      <c r="B3" s="99" t="str">
        <f>IF(A3="","",IFERROR(INDEX('Dashboard Items'!$C$2:$C$495,MATCH(A3,'Dashboard Items'!$A$2:$A$495,0)),"ID not found"))</f>
        <v>Administrative Leadership &amp; Governance</v>
      </c>
      <c r="C3" s="99" t="str">
        <f>IF(A3="","",IFERROR(INDEX('Dashboard Items'!$E$2:$E$495,MATCH(A3,'Dashboard Items'!$A$2:$A$495,0)),"ID not found"))</f>
        <v>Leadership and Governance</v>
      </c>
      <c r="D3" s="163" t="s">
        <v>883</v>
      </c>
      <c r="E3" s="99" t="str">
        <f>IF(D3="","",IFERROR(INDEX('Dashboard Items'!$C$2:$C$495,MATCH(D3,'Dashboard Items'!$A$2:$A$495,0)),"ID not found"))</f>
        <v>1.2 Community Partnerships and Inclusion</v>
      </c>
      <c r="F3" s="99" t="str">
        <f>IF(D3="","",IFERROR(INDEX('Dashboard Items'!$F$2:$F$495,MATCH(D3,'Dashboard Items'!$A$2:$A$495,0)),"ID not found"))</f>
        <v>Organizational Stewardship</v>
      </c>
    </row>
    <row r="4" spans="1:6" ht="15" customHeight="1" x14ac:dyDescent="0.2">
      <c r="A4" s="163" t="s">
        <v>854</v>
      </c>
      <c r="B4" s="99" t="str">
        <f>IF(A4="","",IFERROR(INDEX('Dashboard Items'!$C$2:$C$495,MATCH(A4,'Dashboard Items'!$A$2:$A$495,0)),"ID not found"))</f>
        <v>Administrative Leadership &amp; Governance</v>
      </c>
      <c r="C4" s="99" t="str">
        <f>IF(A4="","",IFERROR(INDEX('Dashboard Items'!$E$2:$E$495,MATCH(A4,'Dashboard Items'!$A$2:$A$495,0)),"ID not found"))</f>
        <v>Leadership and Governance</v>
      </c>
      <c r="D4" s="163" t="s">
        <v>934</v>
      </c>
      <c r="E4" s="99" t="str">
        <f>IF(D4="","",IFERROR(INDEX('Dashboard Items'!$C$2:$C$495,MATCH(D4,'Dashboard Items'!$A$2:$A$495,0)),"ID not found"))</f>
        <v>6.2 Comprehensive Career Progression Strategy</v>
      </c>
      <c r="F4" s="99" t="str">
        <f>IF(D4="","",IFERROR(INDEX('Dashboard Items'!$F$2:$F$495,MATCH(D4,'Dashboard Items'!$A$2:$A$495,0)),"ID not found"))</f>
        <v>Strategic Workforce Development</v>
      </c>
    </row>
    <row r="5" spans="1:6" ht="15" customHeight="1" x14ac:dyDescent="0.2">
      <c r="A5" s="163" t="s">
        <v>854</v>
      </c>
      <c r="B5" s="99" t="str">
        <f>IF(A5="","",IFERROR(INDEX('Dashboard Items'!$C$2:$C$495,MATCH(A5,'Dashboard Items'!$A$2:$A$495,0)),"ID not found"))</f>
        <v>Administrative Leadership &amp; Governance</v>
      </c>
      <c r="C5" s="99" t="str">
        <f>IF(A5="","",IFERROR(INDEX('Dashboard Items'!$E$2:$E$495,MATCH(A5,'Dashboard Items'!$A$2:$A$495,0)),"ID not found"))</f>
        <v>Leadership and Governance</v>
      </c>
      <c r="D5" s="163" t="s">
        <v>937</v>
      </c>
      <c r="E5" s="99" t="str">
        <f>IF(D5="","",IFERROR(INDEX('Dashboard Items'!$C$2:$C$495,MATCH(D5,'Dashboard Items'!$A$2:$A$495,0)),"ID not found"))</f>
        <v>6.3 Workforce Preparedness and Optimization</v>
      </c>
      <c r="F5" s="99" t="str">
        <f>IF(D5="","",IFERROR(INDEX('Dashboard Items'!$F$2:$F$495,MATCH(D5,'Dashboard Items'!$A$2:$A$495,0)),"ID not found"))</f>
        <v>Strategic Workforce Development</v>
      </c>
    </row>
    <row r="6" spans="1:6" ht="15" customHeight="1" x14ac:dyDescent="0.2">
      <c r="A6" s="163" t="s">
        <v>566</v>
      </c>
      <c r="B6" s="99" t="str">
        <f>IF(A6="","",IFERROR(INDEX('Dashboard Items'!$C$2:$C$495,MATCH(A6,'Dashboard Items'!$A$2:$A$495,0)),"ID not found"))</f>
        <v>City Clerk &amp; Records Management</v>
      </c>
      <c r="C6" s="99" t="str">
        <f>IF(A6="","",IFERROR(INDEX('Dashboard Items'!$E$2:$E$495,MATCH(A6,'Dashboard Items'!$A$2:$A$495,0)),"ID not found"))</f>
        <v>Leadership and Governance</v>
      </c>
      <c r="D6" s="163" t="s">
        <v>892</v>
      </c>
      <c r="E6" s="99" t="str">
        <f>IF(D6="","",IFERROR(INDEX('Dashboard Items'!$C$2:$C$495,MATCH(D6,'Dashboard Items'!$A$2:$A$495,0)),"ID not found"))</f>
        <v>2.2 Economic Growth and Entrepreneurship</v>
      </c>
      <c r="F6" s="99" t="str">
        <f>IF(D6="","",IFERROR(INDEX('Dashboard Items'!$F$2:$F$495,MATCH(D6,'Dashboard Items'!$A$2:$A$495,0)),"ID not found"))</f>
        <v>Innovative Housing and Economic Development</v>
      </c>
    </row>
    <row r="7" spans="1:6" ht="15" customHeight="1" x14ac:dyDescent="0.2">
      <c r="A7" s="163" t="s">
        <v>566</v>
      </c>
      <c r="B7" s="99" t="str">
        <f>IF(A7="","",IFERROR(INDEX('Dashboard Items'!$C$2:$C$495,MATCH(A7,'Dashboard Items'!$A$2:$A$495,0)),"ID not found"))</f>
        <v>City Clerk &amp; Records Management</v>
      </c>
      <c r="C7" s="99" t="str">
        <f>IF(A7="","",IFERROR(INDEX('Dashboard Items'!$E$2:$E$495,MATCH(A7,'Dashboard Items'!$A$2:$A$495,0)),"ID not found"))</f>
        <v>Leadership and Governance</v>
      </c>
      <c r="D7" s="163" t="s">
        <v>925</v>
      </c>
      <c r="E7" s="99" t="str">
        <f>IF(D7="","",IFERROR(INDEX('Dashboard Items'!$C$2:$C$495,MATCH(D7,'Dashboard Items'!$A$2:$A$495,0)),"ID not found"))</f>
        <v>5.1 Civic and Engaged Communication</v>
      </c>
      <c r="F7" s="99" t="str">
        <f>IF(D7="","",IFERROR(INDEX('Dashboard Items'!$F$2:$F$495,MATCH(D7,'Dashboard Items'!$A$2:$A$495,0)),"ID not found"))</f>
        <v>Engaged and Informed Community</v>
      </c>
    </row>
    <row r="8" spans="1:6" ht="15" customHeight="1" x14ac:dyDescent="0.2">
      <c r="A8" s="163" t="s">
        <v>566</v>
      </c>
      <c r="B8" s="99" t="str">
        <f>IF(A8="","",IFERROR(INDEX('Dashboard Items'!$C$2:$C$495,MATCH(A8,'Dashboard Items'!$A$2:$A$495,0)),"ID not found"))</f>
        <v>City Clerk &amp; Records Management</v>
      </c>
      <c r="C8" s="99" t="str">
        <f>IF(A8="","",IFERROR(INDEX('Dashboard Items'!$E$2:$E$495,MATCH(A8,'Dashboard Items'!$A$2:$A$495,0)),"ID not found"))</f>
        <v>Leadership and Governance</v>
      </c>
      <c r="D8" s="163" t="s">
        <v>928</v>
      </c>
      <c r="E8" s="99" t="str">
        <f>IF(D8="","",IFERROR(INDEX('Dashboard Items'!$C$2:$C$495,MATCH(D8,'Dashboard Items'!$A$2:$A$495,0)),"ID not found"))</f>
        <v>5.2 Open and Accessible Information Communication</v>
      </c>
      <c r="F8" s="99" t="str">
        <f>IF(D8="","",IFERROR(INDEX('Dashboard Items'!$F$2:$F$495,MATCH(D8,'Dashboard Items'!$A$2:$A$495,0)),"ID not found"))</f>
        <v>Engaged and Informed Community</v>
      </c>
    </row>
    <row r="9" spans="1:6" ht="15" customHeight="1" x14ac:dyDescent="0.2">
      <c r="A9" s="163" t="s">
        <v>661</v>
      </c>
      <c r="B9" s="99" t="str">
        <f>IF(A9="","",IFERROR(INDEX('Dashboard Items'!$C$2:$C$495,MATCH(A9,'Dashboard Items'!$A$2:$A$495,0)),"ID not found"))</f>
        <v>Public Information &amp; Community Engagement</v>
      </c>
      <c r="C9" s="99" t="str">
        <f>IF(A9="","",IFERROR(INDEX('Dashboard Items'!$E$2:$E$495,MATCH(A9,'Dashboard Items'!$A$2:$A$495,0)),"ID not found"))</f>
        <v>Leadership and Governance</v>
      </c>
      <c r="D9" s="163" t="s">
        <v>883</v>
      </c>
      <c r="E9" s="99" t="str">
        <f>IF(D9="","",IFERROR(INDEX('Dashboard Items'!$C$2:$C$495,MATCH(D9,'Dashboard Items'!$A$2:$A$495,0)),"ID not found"))</f>
        <v>1.2 Community Partnerships and Inclusion</v>
      </c>
      <c r="F9" s="99" t="str">
        <f>IF(D9="","",IFERROR(INDEX('Dashboard Items'!$F$2:$F$495,MATCH(D9,'Dashboard Items'!$A$2:$A$495,0)),"ID not found"))</f>
        <v>Organizational Stewardship</v>
      </c>
    </row>
    <row r="10" spans="1:6" ht="15" customHeight="1" x14ac:dyDescent="0.2">
      <c r="A10" s="163" t="s">
        <v>661</v>
      </c>
      <c r="B10" s="99" t="str">
        <f>IF(A10="","",IFERROR(INDEX('Dashboard Items'!$C$2:$C$495,MATCH(A10,'Dashboard Items'!$A$2:$A$495,0)),"ID not found"))</f>
        <v>Public Information &amp; Community Engagement</v>
      </c>
      <c r="C10" s="99" t="str">
        <f>IF(A10="","",IFERROR(INDEX('Dashboard Items'!$E$2:$E$495,MATCH(A10,'Dashboard Items'!$A$2:$A$495,0)),"ID not found"))</f>
        <v>Leadership and Governance</v>
      </c>
      <c r="D10" s="163" t="s">
        <v>925</v>
      </c>
      <c r="E10" s="99" t="str">
        <f>IF(D10="","",IFERROR(INDEX('Dashboard Items'!$C$2:$C$495,MATCH(D10,'Dashboard Items'!$A$2:$A$495,0)),"ID not found"))</f>
        <v>5.1 Civic and Engaged Communication</v>
      </c>
      <c r="F10" s="99" t="str">
        <f>IF(D10="","",IFERROR(INDEX('Dashboard Items'!$F$2:$F$495,MATCH(D10,'Dashboard Items'!$A$2:$A$495,0)),"ID not found"))</f>
        <v>Engaged and Informed Community</v>
      </c>
    </row>
    <row r="11" spans="1:6" ht="15" customHeight="1" x14ac:dyDescent="0.2">
      <c r="A11" s="163" t="s">
        <v>661</v>
      </c>
      <c r="B11" s="99" t="str">
        <f>IF(A11="","",IFERROR(INDEX('Dashboard Items'!$C$2:$C$495,MATCH(A11,'Dashboard Items'!$A$2:$A$495,0)),"ID not found"))</f>
        <v>Public Information &amp; Community Engagement</v>
      </c>
      <c r="C11" s="99" t="str">
        <f>IF(A11="","",IFERROR(INDEX('Dashboard Items'!$E$2:$E$495,MATCH(A11,'Dashboard Items'!$A$2:$A$495,0)),"ID not found"))</f>
        <v>Leadership and Governance</v>
      </c>
      <c r="D11" s="163" t="s">
        <v>928</v>
      </c>
      <c r="E11" s="99" t="str">
        <f>IF(D11="","",IFERROR(INDEX('Dashboard Items'!$C$2:$C$495,MATCH(D11,'Dashboard Items'!$A$2:$A$495,0)),"ID not found"))</f>
        <v>5.2 Open and Accessible Information Communication</v>
      </c>
      <c r="F11" s="99" t="str">
        <f>IF(D11="","",IFERROR(INDEX('Dashboard Items'!$F$2:$F$495,MATCH(D11,'Dashboard Items'!$A$2:$A$495,0)),"ID not found"))</f>
        <v>Engaged and Informed Community</v>
      </c>
    </row>
    <row r="12" spans="1:6" ht="15" customHeight="1" x14ac:dyDescent="0.2">
      <c r="A12" s="163" t="s">
        <v>857</v>
      </c>
      <c r="B12" s="99" t="str">
        <f>IF(A12="","",IFERROR(INDEX('Dashboard Items'!$C$2:$C$495,MATCH(A12,'Dashboard Items'!$A$2:$A$495,0)),"ID not found"))</f>
        <v>Financial Management &amp; Accountability</v>
      </c>
      <c r="C12" s="99" t="str">
        <f>IF(A12="","",IFERROR(INDEX('Dashboard Items'!$E$2:$E$495,MATCH(A12,'Dashboard Items'!$A$2:$A$495,0)),"ID not found"))</f>
        <v>Financial and Internal Services</v>
      </c>
      <c r="D12" s="163" t="s">
        <v>880</v>
      </c>
      <c r="E12" s="99" t="str">
        <f>IF(D12="","",IFERROR(INDEX('Dashboard Items'!$C$2:$C$495,MATCH(D12,'Dashboard Items'!$A$2:$A$495,0)),"ID not found"))</f>
        <v>1.1 Financial Sustainability and Innovation</v>
      </c>
      <c r="F12" s="99" t="str">
        <f>IF(D12="","",IFERROR(INDEX('Dashboard Items'!$F$2:$F$495,MATCH(D12,'Dashboard Items'!$A$2:$A$495,0)),"ID not found"))</f>
        <v>Organizational Stewardship</v>
      </c>
    </row>
    <row r="13" spans="1:6" ht="15" customHeight="1" x14ac:dyDescent="0.2">
      <c r="A13" s="163" t="s">
        <v>857</v>
      </c>
      <c r="B13" s="99" t="str">
        <f>IF(A13="","",IFERROR(INDEX('Dashboard Items'!$C$2:$C$495,MATCH(A13,'Dashboard Items'!$A$2:$A$495,0)),"ID not found"))</f>
        <v>Financial Management &amp; Accountability</v>
      </c>
      <c r="C13" s="99" t="str">
        <f>IF(A13="","",IFERROR(INDEX('Dashboard Items'!$E$2:$E$495,MATCH(A13,'Dashboard Items'!$A$2:$A$495,0)),"ID not found"))</f>
        <v>Financial and Internal Services</v>
      </c>
      <c r="D13" s="163" t="s">
        <v>928</v>
      </c>
      <c r="E13" s="99" t="str">
        <f>IF(D13="","",IFERROR(INDEX('Dashboard Items'!$C$2:$C$495,MATCH(D13,'Dashboard Items'!$A$2:$A$495,0)),"ID not found"))</f>
        <v>5.2 Open and Accessible Information Communication</v>
      </c>
      <c r="F13" s="99" t="str">
        <f>IF(D13="","",IFERROR(INDEX('Dashboard Items'!$F$2:$F$495,MATCH(D13,'Dashboard Items'!$A$2:$A$495,0)),"ID not found"))</f>
        <v>Engaged and Informed Community</v>
      </c>
    </row>
    <row r="14" spans="1:6" ht="15" customHeight="1" x14ac:dyDescent="0.2">
      <c r="A14" s="163" t="s">
        <v>857</v>
      </c>
      <c r="B14" s="99" t="str">
        <f>IF(A14="","",IFERROR(INDEX('Dashboard Items'!$C$2:$C$495,MATCH(A14,'Dashboard Items'!$A$2:$A$495,0)),"ID not found"))</f>
        <v>Financial Management &amp; Accountability</v>
      </c>
      <c r="C14" s="99" t="str">
        <f>IF(A14="","",IFERROR(INDEX('Dashboard Items'!$E$2:$E$495,MATCH(A14,'Dashboard Items'!$A$2:$A$495,0)),"ID not found"))</f>
        <v>Financial and Internal Services</v>
      </c>
      <c r="D14" s="163" t="s">
        <v>937</v>
      </c>
      <c r="E14" s="99" t="str">
        <f>IF(D14="","",IFERROR(INDEX('Dashboard Items'!$C$2:$C$495,MATCH(D14,'Dashboard Items'!$A$2:$A$495,0)),"ID not found"))</f>
        <v>6.3 Workforce Preparedness and Optimization</v>
      </c>
      <c r="F14" s="99" t="str">
        <f>IF(D14="","",IFERROR(INDEX('Dashboard Items'!$F$2:$F$495,MATCH(D14,'Dashboard Items'!$A$2:$A$495,0)),"ID not found"))</f>
        <v>Strategic Workforce Development</v>
      </c>
    </row>
    <row r="15" spans="1:6" ht="15" customHeight="1" x14ac:dyDescent="0.2">
      <c r="A15" s="163" t="s">
        <v>586</v>
      </c>
      <c r="B15" s="99" t="str">
        <f>IF(A15="","",IFERROR(INDEX('Dashboard Items'!$C$2:$C$495,MATCH(A15,'Dashboard Items'!$A$2:$A$495,0)),"ID not found"))</f>
        <v>Human Resources &amp; Workforce Development</v>
      </c>
      <c r="C15" s="99" t="str">
        <f>IF(A15="","",IFERROR(INDEX('Dashboard Items'!$E$2:$E$495,MATCH(A15,'Dashboard Items'!$A$2:$A$495,0)),"ID not found"))</f>
        <v>Financial and Internal Services</v>
      </c>
      <c r="D15" s="163" t="s">
        <v>931</v>
      </c>
      <c r="E15" s="99" t="str">
        <f>IF(D15="","",IFERROR(INDEX('Dashboard Items'!$C$2:$C$495,MATCH(D15,'Dashboard Items'!$A$2:$A$495,0)),"ID not found"))</f>
        <v>6.1 Employee Growth and Retention</v>
      </c>
      <c r="F15" s="99" t="str">
        <f>IF(D15="","",IFERROR(INDEX('Dashboard Items'!$F$2:$F$495,MATCH(D15,'Dashboard Items'!$A$2:$A$495,0)),"ID not found"))</f>
        <v>Strategic Workforce Development</v>
      </c>
    </row>
    <row r="16" spans="1:6" ht="15" customHeight="1" x14ac:dyDescent="0.2">
      <c r="A16" s="163" t="s">
        <v>586</v>
      </c>
      <c r="B16" s="99" t="str">
        <f>IF(A16="","",IFERROR(INDEX('Dashboard Items'!$C$2:$C$495,MATCH(A16,'Dashboard Items'!$A$2:$A$495,0)),"ID not found"))</f>
        <v>Human Resources &amp; Workforce Development</v>
      </c>
      <c r="C16" s="99" t="str">
        <f>IF(A16="","",IFERROR(INDEX('Dashboard Items'!$E$2:$E$495,MATCH(A16,'Dashboard Items'!$A$2:$A$495,0)),"ID not found"))</f>
        <v>Financial and Internal Services</v>
      </c>
      <c r="D16" s="163" t="s">
        <v>934</v>
      </c>
      <c r="E16" s="99" t="str">
        <f>IF(D16="","",IFERROR(INDEX('Dashboard Items'!$C$2:$C$495,MATCH(D16,'Dashboard Items'!$A$2:$A$495,0)),"ID not found"))</f>
        <v>6.2 Comprehensive Career Progression Strategy</v>
      </c>
      <c r="F16" s="99" t="str">
        <f>IF(D16="","",IFERROR(INDEX('Dashboard Items'!$F$2:$F$495,MATCH(D16,'Dashboard Items'!$A$2:$A$495,0)),"ID not found"))</f>
        <v>Strategic Workforce Development</v>
      </c>
    </row>
    <row r="17" spans="1:6" ht="15" customHeight="1" x14ac:dyDescent="0.2">
      <c r="A17" s="163" t="s">
        <v>586</v>
      </c>
      <c r="B17" s="99" t="str">
        <f>IF(A17="","",IFERROR(INDEX('Dashboard Items'!$C$2:$C$495,MATCH(A17,'Dashboard Items'!$A$2:$A$495,0)),"ID not found"))</f>
        <v>Human Resources &amp; Workforce Development</v>
      </c>
      <c r="C17" s="99" t="str">
        <f>IF(A17="","",IFERROR(INDEX('Dashboard Items'!$E$2:$E$495,MATCH(A17,'Dashboard Items'!$A$2:$A$495,0)),"ID not found"))</f>
        <v>Financial and Internal Services</v>
      </c>
      <c r="D17" s="163" t="s">
        <v>937</v>
      </c>
      <c r="E17" s="99" t="str">
        <f>IF(D17="","",IFERROR(INDEX('Dashboard Items'!$C$2:$C$495,MATCH(D17,'Dashboard Items'!$A$2:$A$495,0)),"ID not found"))</f>
        <v>6.3 Workforce Preparedness and Optimization</v>
      </c>
      <c r="F17" s="99" t="str">
        <f>IF(D17="","",IFERROR(INDEX('Dashboard Items'!$F$2:$F$495,MATCH(D17,'Dashboard Items'!$A$2:$A$495,0)),"ID not found"))</f>
        <v>Strategic Workforce Development</v>
      </c>
    </row>
    <row r="18" spans="1:6" ht="15" customHeight="1" x14ac:dyDescent="0.2">
      <c r="A18" s="163" t="s">
        <v>858</v>
      </c>
      <c r="B18" s="99" t="str">
        <f>IF(A18="","",IFERROR(INDEX('Dashboard Items'!$C$2:$C$495,MATCH(A18,'Dashboard Items'!$A$2:$A$495,0)),"ID not found"))</f>
        <v>Legal Services</v>
      </c>
      <c r="C18" s="99" t="str">
        <f>IF(A18="","",IFERROR(INDEX('Dashboard Items'!$E$2:$E$495,MATCH(A18,'Dashboard Items'!$A$2:$A$495,0)),"ID not found"))</f>
        <v>Financial and Internal Services</v>
      </c>
      <c r="D18" s="163" t="s">
        <v>880</v>
      </c>
      <c r="E18" s="99" t="str">
        <f>IF(D18="","",IFERROR(INDEX('Dashboard Items'!$C$2:$C$495,MATCH(D18,'Dashboard Items'!$A$2:$A$495,0)),"ID not found"))</f>
        <v>1.1 Financial Sustainability and Innovation</v>
      </c>
      <c r="F18" s="99" t="str">
        <f>IF(D18="","",IFERROR(INDEX('Dashboard Items'!$F$2:$F$495,MATCH(D18,'Dashboard Items'!$A$2:$A$495,0)),"ID not found"))</f>
        <v>Organizational Stewardship</v>
      </c>
    </row>
    <row r="19" spans="1:6" ht="15" customHeight="1" x14ac:dyDescent="0.2">
      <c r="A19" s="163" t="s">
        <v>858</v>
      </c>
      <c r="B19" s="99" t="str">
        <f>IF(A19="","",IFERROR(INDEX('Dashboard Items'!$C$2:$C$495,MATCH(A19,'Dashboard Items'!$A$2:$A$495,0)),"ID not found"))</f>
        <v>Legal Services</v>
      </c>
      <c r="C19" s="99" t="str">
        <f>IF(A19="","",IFERROR(INDEX('Dashboard Items'!$E$2:$E$495,MATCH(A19,'Dashboard Items'!$A$2:$A$495,0)),"ID not found"))</f>
        <v>Financial and Internal Services</v>
      </c>
      <c r="D19" s="163" t="s">
        <v>898</v>
      </c>
      <c r="E19" s="99" t="str">
        <f>IF(D19="","",IFERROR(INDEX('Dashboard Items'!$C$2:$C$495,MATCH(D19,'Dashboard Items'!$A$2:$A$495,0)),"ID not found"))</f>
        <v>3.1 Public Safety and Emergency Services</v>
      </c>
      <c r="F19" s="99" t="str">
        <f>IF(D19="","",IFERROR(INDEX('Dashboard Items'!$F$2:$F$495,MATCH(D19,'Dashboard Items'!$A$2:$A$495,0)),"ID not found"))</f>
        <v>Safety &amp; Quality of Life</v>
      </c>
    </row>
    <row r="20" spans="1:6" ht="15" customHeight="1" x14ac:dyDescent="0.2">
      <c r="A20" s="163" t="s">
        <v>858</v>
      </c>
      <c r="B20" s="99" t="str">
        <f>IF(A20="","",IFERROR(INDEX('Dashboard Items'!$C$2:$C$495,MATCH(A20,'Dashboard Items'!$A$2:$A$495,0)),"ID not found"))</f>
        <v>Legal Services</v>
      </c>
      <c r="C20" s="99" t="str">
        <f>IF(A20="","",IFERROR(INDEX('Dashboard Items'!$E$2:$E$495,MATCH(A20,'Dashboard Items'!$A$2:$A$495,0)),"ID not found"))</f>
        <v>Financial and Internal Services</v>
      </c>
      <c r="D20" s="163" t="s">
        <v>937</v>
      </c>
      <c r="E20" s="99" t="str">
        <f>IF(D20="","",IFERROR(INDEX('Dashboard Items'!$C$2:$C$495,MATCH(D20,'Dashboard Items'!$A$2:$A$495,0)),"ID not found"))</f>
        <v>6.3 Workforce Preparedness and Optimization</v>
      </c>
      <c r="F20" s="99" t="str">
        <f>IF(D20="","",IFERROR(INDEX('Dashboard Items'!$F$2:$F$495,MATCH(D20,'Dashboard Items'!$A$2:$A$495,0)),"ID not found"))</f>
        <v>Strategic Workforce Development</v>
      </c>
    </row>
    <row r="21" spans="1:6" ht="15" customHeight="1" x14ac:dyDescent="0.2">
      <c r="A21" s="163" t="s">
        <v>609</v>
      </c>
      <c r="B21" s="99" t="str">
        <f>IF(A21="","",IFERROR(INDEX('Dashboard Items'!$C$2:$C$495,MATCH(A21,'Dashboard Items'!$A$2:$A$495,0)),"ID not found"))</f>
        <v>Information Technology Services</v>
      </c>
      <c r="C21" s="99" t="str">
        <f>IF(A21="","",IFERROR(INDEX('Dashboard Items'!$E$2:$E$495,MATCH(A21,'Dashboard Items'!$A$2:$A$495,0)),"ID not found"))</f>
        <v>Financial and Internal Services</v>
      </c>
      <c r="D21" s="163" t="s">
        <v>880</v>
      </c>
      <c r="E21" s="99" t="str">
        <f>IF(D21="","",IFERROR(INDEX('Dashboard Items'!$C$2:$C$495,MATCH(D21,'Dashboard Items'!$A$2:$A$495,0)),"ID not found"))</f>
        <v>1.1 Financial Sustainability and Innovation</v>
      </c>
      <c r="F21" s="99" t="str">
        <f>IF(D21="","",IFERROR(INDEX('Dashboard Items'!$F$2:$F$495,MATCH(D21,'Dashboard Items'!$A$2:$A$495,0)),"ID not found"))</f>
        <v>Organizational Stewardship</v>
      </c>
    </row>
    <row r="22" spans="1:6" ht="15" customHeight="1" x14ac:dyDescent="0.2">
      <c r="A22" s="163" t="s">
        <v>609</v>
      </c>
      <c r="B22" s="99" t="str">
        <f>IF(A22="","",IFERROR(INDEX('Dashboard Items'!$C$2:$C$495,MATCH(A22,'Dashboard Items'!$A$2:$A$495,0)),"ID not found"))</f>
        <v>Information Technology Services</v>
      </c>
      <c r="C22" s="99" t="str">
        <f>IF(A22="","",IFERROR(INDEX('Dashboard Items'!$E$2:$E$495,MATCH(A22,'Dashboard Items'!$A$2:$A$495,0)),"ID not found"))</f>
        <v>Financial and Internal Services</v>
      </c>
      <c r="D22" s="163" t="s">
        <v>919</v>
      </c>
      <c r="E22" s="99" t="str">
        <f>IF(D22="","",IFERROR(INDEX('Dashboard Items'!$C$2:$C$495,MATCH(D22,'Dashboard Items'!$A$2:$A$495,0)),"ID not found"))</f>
        <v>4.5 Reliable and Secure IT Infrastrucutre</v>
      </c>
      <c r="F22" s="99" t="str">
        <f>IF(D22="","",IFERROR(INDEX('Dashboard Items'!$F$2:$F$495,MATCH(D22,'Dashboard Items'!$A$2:$A$495,0)),"ID not found"))</f>
        <v>Reliable Infrastructure and Community Connectivity</v>
      </c>
    </row>
    <row r="23" spans="1:6" ht="15" customHeight="1" x14ac:dyDescent="0.2">
      <c r="A23" s="163" t="s">
        <v>609</v>
      </c>
      <c r="B23" s="99" t="str">
        <f>IF(A23="","",IFERROR(INDEX('Dashboard Items'!$C$2:$C$495,MATCH(A23,'Dashboard Items'!$A$2:$A$495,0)),"ID not found"))</f>
        <v>Information Technology Services</v>
      </c>
      <c r="C23" s="99" t="str">
        <f>IF(A23="","",IFERROR(INDEX('Dashboard Items'!$E$2:$E$495,MATCH(A23,'Dashboard Items'!$A$2:$A$495,0)),"ID not found"))</f>
        <v>Financial and Internal Services</v>
      </c>
      <c r="D23" s="163" t="s">
        <v>937</v>
      </c>
      <c r="E23" s="99" t="str">
        <f>IF(D23="","",IFERROR(INDEX('Dashboard Items'!$C$2:$C$495,MATCH(D23,'Dashboard Items'!$A$2:$A$495,0)),"ID not found"))</f>
        <v>6.3 Workforce Preparedness and Optimization</v>
      </c>
      <c r="F23" s="99" t="str">
        <f>IF(D23="","",IFERROR(INDEX('Dashboard Items'!$F$2:$F$495,MATCH(D23,'Dashboard Items'!$A$2:$A$495,0)),"ID not found"))</f>
        <v>Strategic Workforce Development</v>
      </c>
    </row>
    <row r="24" spans="1:6" ht="15" customHeight="1" x14ac:dyDescent="0.2">
      <c r="A24" s="163" t="s">
        <v>681</v>
      </c>
      <c r="B24" s="99" t="str">
        <f>IF(A24="","",IFERROR(INDEX('Dashboard Items'!$C$2:$C$495,MATCH(A24,'Dashboard Items'!$A$2:$A$495,0)),"ID not found"))</f>
        <v>Community Development &amp; Planning</v>
      </c>
      <c r="C24" s="99" t="str">
        <f>IF(A24="","",IFERROR(INDEX('Dashboard Items'!$E$2:$E$495,MATCH(A24,'Dashboard Items'!$A$2:$A$495,0)),"ID not found"))</f>
        <v>Community Growth and Economic Vitality</v>
      </c>
      <c r="D24" s="163" t="s">
        <v>889</v>
      </c>
      <c r="E24" s="99" t="str">
        <f>IF(D24="","",IFERROR(INDEX('Dashboard Items'!$C$2:$C$495,MATCH(D24,'Dashboard Items'!$A$2:$A$495,0)),"ID not found"))</f>
        <v>2.1 Affordable, Multigenerational Housing</v>
      </c>
      <c r="F24" s="99" t="str">
        <f>IF(D24="","",IFERROR(INDEX('Dashboard Items'!$F$2:$F$495,MATCH(D24,'Dashboard Items'!$A$2:$A$495,0)),"ID not found"))</f>
        <v>Innovative Housing and Economic Development</v>
      </c>
    </row>
    <row r="25" spans="1:6" ht="15" customHeight="1" x14ac:dyDescent="0.2">
      <c r="A25" s="163" t="s">
        <v>681</v>
      </c>
      <c r="B25" s="99" t="str">
        <f>IF(A25="","",IFERROR(INDEX('Dashboard Items'!$C$2:$C$495,MATCH(A25,'Dashboard Items'!$A$2:$A$495,0)),"ID not found"))</f>
        <v>Community Development &amp; Planning</v>
      </c>
      <c r="C25" s="99" t="str">
        <f>IF(A25="","",IFERROR(INDEX('Dashboard Items'!$E$2:$E$495,MATCH(A25,'Dashboard Items'!$A$2:$A$495,0)),"ID not found"))</f>
        <v>Community Growth and Economic Vitality</v>
      </c>
      <c r="D25" s="163" t="s">
        <v>892</v>
      </c>
      <c r="E25" s="99" t="str">
        <f>IF(D25="","",IFERROR(INDEX('Dashboard Items'!$C$2:$C$495,MATCH(D25,'Dashboard Items'!$A$2:$A$495,0)),"ID not found"))</f>
        <v>2.2 Economic Growth and Entrepreneurship</v>
      </c>
      <c r="F25" s="99" t="str">
        <f>IF(D25="","",IFERROR(INDEX('Dashboard Items'!$F$2:$F$495,MATCH(D25,'Dashboard Items'!$A$2:$A$495,0)),"ID not found"))</f>
        <v>Innovative Housing and Economic Development</v>
      </c>
    </row>
    <row r="26" spans="1:6" ht="15" customHeight="1" x14ac:dyDescent="0.2">
      <c r="A26" s="163" t="s">
        <v>681</v>
      </c>
      <c r="B26" s="99" t="str">
        <f>IF(A26="","",IFERROR(INDEX('Dashboard Items'!$C$2:$C$495,MATCH(A26,'Dashboard Items'!$A$2:$A$495,0)),"ID not found"))</f>
        <v>Community Development &amp; Planning</v>
      </c>
      <c r="C26" s="99" t="str">
        <f>IF(A26="","",IFERROR(INDEX('Dashboard Items'!$E$2:$E$495,MATCH(A26,'Dashboard Items'!$A$2:$A$495,0)),"ID not found"))</f>
        <v>Community Growth and Economic Vitality</v>
      </c>
      <c r="D26" s="163" t="s">
        <v>895</v>
      </c>
      <c r="E26" s="99" t="str">
        <f>IF(D26="","",IFERROR(INDEX('Dashboard Items'!$C$2:$C$495,MATCH(D26,'Dashboard Items'!$A$2:$A$495,0)),"ID not found"))</f>
        <v>2.3 Community Character and Investments</v>
      </c>
      <c r="F26" s="99" t="str">
        <f>IF(D26="","",IFERROR(INDEX('Dashboard Items'!$F$2:$F$495,MATCH(D26,'Dashboard Items'!$A$2:$A$495,0)),"ID not found"))</f>
        <v>Innovative Housing and Economic Development</v>
      </c>
    </row>
    <row r="27" spans="1:6" ht="15" customHeight="1" x14ac:dyDescent="0.2">
      <c r="A27" s="163" t="s">
        <v>681</v>
      </c>
      <c r="B27" s="99" t="str">
        <f>IF(A27="","",IFERROR(INDEX('Dashboard Items'!$C$2:$C$495,MATCH(A27,'Dashboard Items'!$A$2:$A$495,0)),"ID not found"))</f>
        <v>Community Development &amp; Planning</v>
      </c>
      <c r="C27" s="99" t="str">
        <f>IF(A27="","",IFERROR(INDEX('Dashboard Items'!$E$2:$E$495,MATCH(A27,'Dashboard Items'!$A$2:$A$495,0)),"ID not found"))</f>
        <v>Community Growth and Economic Vitality</v>
      </c>
      <c r="D27" s="163" t="s">
        <v>931</v>
      </c>
      <c r="E27" s="99" t="str">
        <f>IF(D27="","",IFERROR(INDEX('Dashboard Items'!$C$2:$C$495,MATCH(D27,'Dashboard Items'!$A$2:$A$495,0)),"ID not found"))</f>
        <v>6.1 Employee Growth and Retention</v>
      </c>
      <c r="F27" s="99" t="str">
        <f>IF(D27="","",IFERROR(INDEX('Dashboard Items'!$F$2:$F$495,MATCH(D27,'Dashboard Items'!$A$2:$A$495,0)),"ID not found"))</f>
        <v>Strategic Workforce Development</v>
      </c>
    </row>
    <row r="28" spans="1:6" ht="15" customHeight="1" x14ac:dyDescent="0.2">
      <c r="A28" s="163" t="s">
        <v>674</v>
      </c>
      <c r="B28" s="99" t="str">
        <f>IF(A28="","",IFERROR(INDEX('Dashboard Items'!$C$2:$C$495,MATCH(A28,'Dashboard Items'!$A$2:$A$495,0)),"ID not found"))</f>
        <v>Economic Prosperity &amp; Business Support</v>
      </c>
      <c r="C28" s="99" t="str">
        <f>IF(A28="","",IFERROR(INDEX('Dashboard Items'!$E$2:$E$495,MATCH(A28,'Dashboard Items'!$A$2:$A$495,0)),"ID not found"))</f>
        <v>Community Growth and Economic Vitality</v>
      </c>
      <c r="D28" s="163" t="s">
        <v>880</v>
      </c>
      <c r="E28" s="99" t="str">
        <f>IF(D28="","",IFERROR(INDEX('Dashboard Items'!$C$2:$C$495,MATCH(D28,'Dashboard Items'!$A$2:$A$495,0)),"ID not found"))</f>
        <v>1.1 Financial Sustainability and Innovation</v>
      </c>
      <c r="F28" s="99" t="str">
        <f>IF(D28="","",IFERROR(INDEX('Dashboard Items'!$F$2:$F$495,MATCH(D28,'Dashboard Items'!$A$2:$A$495,0)),"ID not found"))</f>
        <v>Organizational Stewardship</v>
      </c>
    </row>
    <row r="29" spans="1:6" ht="15" customHeight="1" x14ac:dyDescent="0.2">
      <c r="A29" s="163" t="s">
        <v>674</v>
      </c>
      <c r="B29" s="99" t="str">
        <f>IF(A29="","",IFERROR(INDEX('Dashboard Items'!$C$2:$C$495,MATCH(A29,'Dashboard Items'!$A$2:$A$495,0)),"ID not found"))</f>
        <v>Economic Prosperity &amp; Business Support</v>
      </c>
      <c r="C29" s="99" t="str">
        <f>IF(A29="","",IFERROR(INDEX('Dashboard Items'!$E$2:$E$495,MATCH(A29,'Dashboard Items'!$A$2:$A$495,0)),"ID not found"))</f>
        <v>Community Growth and Economic Vitality</v>
      </c>
      <c r="D29" s="163" t="s">
        <v>892</v>
      </c>
      <c r="E29" s="99" t="str">
        <f>IF(D29="","",IFERROR(INDEX('Dashboard Items'!$C$2:$C$495,MATCH(D29,'Dashboard Items'!$A$2:$A$495,0)),"ID not found"))</f>
        <v>2.2 Economic Growth and Entrepreneurship</v>
      </c>
      <c r="F29" s="99" t="str">
        <f>IF(D29="","",IFERROR(INDEX('Dashboard Items'!$F$2:$F$495,MATCH(D29,'Dashboard Items'!$A$2:$A$495,0)),"ID not found"))</f>
        <v>Innovative Housing and Economic Development</v>
      </c>
    </row>
    <row r="30" spans="1:6" ht="15" customHeight="1" x14ac:dyDescent="0.2">
      <c r="A30" s="163" t="s">
        <v>674</v>
      </c>
      <c r="B30" s="99" t="str">
        <f>IF(A30="","",IFERROR(INDEX('Dashboard Items'!$C$2:$C$495,MATCH(A30,'Dashboard Items'!$A$2:$A$495,0)),"ID not found"))</f>
        <v>Economic Prosperity &amp; Business Support</v>
      </c>
      <c r="C30" s="99" t="str">
        <f>IF(A30="","",IFERROR(INDEX('Dashboard Items'!$E$2:$E$495,MATCH(A30,'Dashboard Items'!$A$2:$A$495,0)),"ID not found"))</f>
        <v>Community Growth and Economic Vitality</v>
      </c>
      <c r="D30" s="163" t="s">
        <v>895</v>
      </c>
      <c r="E30" s="99" t="str">
        <f>IF(D30="","",IFERROR(INDEX('Dashboard Items'!$C$2:$C$495,MATCH(D30,'Dashboard Items'!$A$2:$A$495,0)),"ID not found"))</f>
        <v>2.3 Community Character and Investments</v>
      </c>
      <c r="F30" s="99" t="str">
        <f>IF(D30="","",IFERROR(INDEX('Dashboard Items'!$F$2:$F$495,MATCH(D30,'Dashboard Items'!$A$2:$A$495,0)),"ID not found"))</f>
        <v>Innovative Housing and Economic Development</v>
      </c>
    </row>
    <row r="31" spans="1:6" ht="15" customHeight="1" x14ac:dyDescent="0.2">
      <c r="A31" s="163" t="s">
        <v>860</v>
      </c>
      <c r="B31" s="99" t="str">
        <f>IF(A31="","",IFERROR(INDEX('Dashboard Items'!$C$2:$C$495,MATCH(A31,'Dashboard Items'!$A$2:$A$495,0)),"ID not found"))</f>
        <v>Sustainability &amp; Environmental Stewardship</v>
      </c>
      <c r="C31" s="99" t="str">
        <f>IF(A31="","",IFERROR(INDEX('Dashboard Items'!$E$2:$E$495,MATCH(A31,'Dashboard Items'!$A$2:$A$495,0)),"ID not found"))</f>
        <v>Community Growth and Economic Vitality</v>
      </c>
      <c r="D31" s="163" t="s">
        <v>886</v>
      </c>
      <c r="E31" s="99" t="str">
        <f>IF(D31="","",IFERROR(INDEX('Dashboard Items'!$C$2:$C$495,MATCH(D31,'Dashboard Items'!$A$2:$A$495,0)),"ID not found"))</f>
        <v>1.3 Environmental Stewardship</v>
      </c>
      <c r="F31" s="99" t="str">
        <f>IF(D31="","",IFERROR(INDEX('Dashboard Items'!$F$2:$F$495,MATCH(D31,'Dashboard Items'!$A$2:$A$495,0)),"ID not found"))</f>
        <v>Organizational Stewardship</v>
      </c>
    </row>
    <row r="32" spans="1:6" ht="15" customHeight="1" x14ac:dyDescent="0.2">
      <c r="A32" s="163" t="s">
        <v>558</v>
      </c>
      <c r="B32" s="99" t="str">
        <f>IF(A32="","",IFERROR(INDEX('Dashboard Items'!$C$2:$C$495,MATCH(A32,'Dashboard Items'!$A$2:$A$495,0)),"ID not found"))</f>
        <v>Public Safety Services</v>
      </c>
      <c r="C32" s="99" t="str">
        <f>IF(A32="","",IFERROR(INDEX('Dashboard Items'!$E$2:$E$495,MATCH(A32,'Dashboard Items'!$A$2:$A$495,0)),"ID not found"))</f>
        <v>Public Safety</v>
      </c>
      <c r="D32" s="163" t="s">
        <v>898</v>
      </c>
      <c r="E32" s="99" t="str">
        <f>IF(D32="","",IFERROR(INDEX('Dashboard Items'!$C$2:$C$495,MATCH(D32,'Dashboard Items'!$A$2:$A$495,0)),"ID not found"))</f>
        <v>3.1 Public Safety and Emergency Services</v>
      </c>
      <c r="F32" s="99" t="str">
        <f>IF(D32="","",IFERROR(INDEX('Dashboard Items'!$F$2:$F$495,MATCH(D32,'Dashboard Items'!$A$2:$A$495,0)),"ID not found"))</f>
        <v>Safety &amp; Quality of Life</v>
      </c>
    </row>
    <row r="33" spans="1:6" ht="15" customHeight="1" x14ac:dyDescent="0.2">
      <c r="A33" s="163" t="s">
        <v>575</v>
      </c>
      <c r="B33" s="99" t="str">
        <f>IF(A33="","",IFERROR(INDEX('Dashboard Items'!$C$2:$C$495,MATCH(A33,'Dashboard Items'!$A$2:$A$495,0)),"ID not found"))</f>
        <v>Municipal Court</v>
      </c>
      <c r="C33" s="99" t="str">
        <f>IF(A33="","",IFERROR(INDEX('Dashboard Items'!$E$2:$E$495,MATCH(A33,'Dashboard Items'!$A$2:$A$495,0)),"ID not found"))</f>
        <v>Public Safety</v>
      </c>
      <c r="D33" s="163" t="s">
        <v>898</v>
      </c>
      <c r="E33" s="99" t="str">
        <f>IF(D33="","",IFERROR(INDEX('Dashboard Items'!$C$2:$C$495,MATCH(D33,'Dashboard Items'!$A$2:$A$495,0)),"ID not found"))</f>
        <v>3.1 Public Safety and Emergency Services</v>
      </c>
      <c r="F33" s="99" t="str">
        <f>IF(D33="","",IFERROR(INDEX('Dashboard Items'!$F$2:$F$495,MATCH(D33,'Dashboard Items'!$A$2:$A$495,0)),"ID not found"))</f>
        <v>Safety &amp; Quality of Life</v>
      </c>
    </row>
    <row r="34" spans="1:6" ht="15" customHeight="1" x14ac:dyDescent="0.2">
      <c r="A34" s="163" t="s">
        <v>861</v>
      </c>
      <c r="B34" s="99" t="str">
        <f>IF(A34="","",IFERROR(INDEX('Dashboard Items'!$C$2:$C$495,MATCH(A34,'Dashboard Items'!$A$2:$A$495,0)),"ID not found"))</f>
        <v>Public Works &amp; Municipal Services</v>
      </c>
      <c r="C34" s="99" t="str">
        <f>IF(A34="","",IFERROR(INDEX('Dashboard Items'!$E$2:$E$495,MATCH(A34,'Dashboard Items'!$A$2:$A$495,0)),"ID not found"))</f>
        <v>Infrastructure</v>
      </c>
      <c r="D34" s="163" t="s">
        <v>886</v>
      </c>
      <c r="E34" s="99" t="str">
        <f>IF(D34="","",IFERROR(INDEX('Dashboard Items'!$C$2:$C$495,MATCH(D34,'Dashboard Items'!$A$2:$A$495,0)),"ID not found"))</f>
        <v>1.3 Environmental Stewardship</v>
      </c>
      <c r="F34" s="99" t="str">
        <f>IF(D34="","",IFERROR(INDEX('Dashboard Items'!$F$2:$F$495,MATCH(D34,'Dashboard Items'!$A$2:$A$495,0)),"ID not found"))</f>
        <v>Organizational Stewardship</v>
      </c>
    </row>
    <row r="35" spans="1:6" ht="15" customHeight="1" x14ac:dyDescent="0.2">
      <c r="A35" s="163" t="s">
        <v>861</v>
      </c>
      <c r="B35" s="99" t="str">
        <f>IF(A35="","",IFERROR(INDEX('Dashboard Items'!$C$2:$C$495,MATCH(A35,'Dashboard Items'!$A$2:$A$495,0)),"ID not found"))</f>
        <v>Public Works &amp; Municipal Services</v>
      </c>
      <c r="C35" s="99" t="str">
        <f>IF(A35="","",IFERROR(INDEX('Dashboard Items'!$E$2:$E$495,MATCH(A35,'Dashboard Items'!$A$2:$A$495,0)),"ID not found"))</f>
        <v>Infrastructure</v>
      </c>
      <c r="D35" s="163" t="s">
        <v>910</v>
      </c>
      <c r="E35" s="99" t="str">
        <f>IF(D35="","",IFERROR(INDEX('Dashboard Items'!$C$2:$C$495,MATCH(D35,'Dashboard Items'!$A$2:$A$495,0)),"ID not found"))</f>
        <v>4.2 Transportation Infrastructure Investment</v>
      </c>
      <c r="F35" s="99" t="str">
        <f>IF(D35="","",IFERROR(INDEX('Dashboard Items'!$F$2:$F$495,MATCH(D35,'Dashboard Items'!$A$2:$A$495,0)),"ID not found"))</f>
        <v>Reliable Infrastructure and Community Connectivity</v>
      </c>
    </row>
    <row r="36" spans="1:6" ht="15" customHeight="1" x14ac:dyDescent="0.2">
      <c r="A36" s="163" t="s">
        <v>861</v>
      </c>
      <c r="B36" s="99" t="str">
        <f>IF(A36="","",IFERROR(INDEX('Dashboard Items'!$C$2:$C$495,MATCH(A36,'Dashboard Items'!$A$2:$A$495,0)),"ID not found"))</f>
        <v>Public Works &amp; Municipal Services</v>
      </c>
      <c r="C36" s="99" t="str">
        <f>IF(A36="","",IFERROR(INDEX('Dashboard Items'!$E$2:$E$495,MATCH(A36,'Dashboard Items'!$A$2:$A$495,0)),"ID not found"))</f>
        <v>Infrastructure</v>
      </c>
      <c r="D36" s="163" t="s">
        <v>913</v>
      </c>
      <c r="E36" s="99" t="str">
        <f>IF(D36="","",IFERROR(INDEX('Dashboard Items'!$C$2:$C$495,MATCH(D36,'Dashboard Items'!$A$2:$A$495,0)),"ID not found"))</f>
        <v>4.3 Water and Wastewater Systems</v>
      </c>
      <c r="F36" s="99" t="str">
        <f>IF(D36="","",IFERROR(INDEX('Dashboard Items'!$F$2:$F$495,MATCH(D36,'Dashboard Items'!$A$2:$A$495,0)),"ID not found"))</f>
        <v>Reliable Infrastructure and Community Connectivity</v>
      </c>
    </row>
    <row r="37" spans="1:6" ht="15" customHeight="1" x14ac:dyDescent="0.2">
      <c r="A37" s="163" t="s">
        <v>861</v>
      </c>
      <c r="B37" s="99" t="str">
        <f>IF(A37="","",IFERROR(INDEX('Dashboard Items'!$C$2:$C$495,MATCH(A37,'Dashboard Items'!$A$2:$A$495,0)),"ID not found"))</f>
        <v>Public Works &amp; Municipal Services</v>
      </c>
      <c r="C37" s="99" t="str">
        <f>IF(A37="","",IFERROR(INDEX('Dashboard Items'!$E$2:$E$495,MATCH(A37,'Dashboard Items'!$A$2:$A$495,0)),"ID not found"))</f>
        <v>Infrastructure</v>
      </c>
      <c r="D37" s="163" t="s">
        <v>922</v>
      </c>
      <c r="E37" s="99" t="str">
        <f>IF(D37="","",IFERROR(INDEX('Dashboard Items'!$C$2:$C$495,MATCH(D37,'Dashboard Items'!$A$2:$A$495,0)),"ID not found"))</f>
        <v>4.6 City surface Transit and Right of Way</v>
      </c>
      <c r="F37" s="99" t="str">
        <f>IF(D37="","",IFERROR(INDEX('Dashboard Items'!$F$2:$F$495,MATCH(D37,'Dashboard Items'!$A$2:$A$495,0)),"ID not found"))</f>
        <v>Reliable Infrastructure and Community Connectivity</v>
      </c>
    </row>
    <row r="38" spans="1:6" ht="15" customHeight="1" x14ac:dyDescent="0.2">
      <c r="A38" s="163" t="s">
        <v>691</v>
      </c>
      <c r="B38" s="99" t="str">
        <f>IF(A38="","",IFERROR(INDEX('Dashboard Items'!$C$2:$C$495,MATCH(A38,'Dashboard Items'!$A$2:$A$495,0)),"ID not found"))</f>
        <v>Transit Services</v>
      </c>
      <c r="C38" s="99" t="str">
        <f>IF(A38="","",IFERROR(INDEX('Dashboard Items'!$E$2:$E$495,MATCH(A38,'Dashboard Items'!$A$2:$A$495,0)),"ID not found"))</f>
        <v>Infrastructure</v>
      </c>
      <c r="D38" s="163" t="s">
        <v>907</v>
      </c>
      <c r="E38" s="99" t="str">
        <f>IF(D38="","",IFERROR(INDEX('Dashboard Items'!$C$2:$C$495,MATCH(D38,'Dashboard Items'!$A$2:$A$495,0)),"ID not found"))</f>
        <v>4.1 Safe, Accessible Mobility</v>
      </c>
      <c r="F38" s="99" t="str">
        <f>IF(D38="","",IFERROR(INDEX('Dashboard Items'!$F$2:$F$495,MATCH(D38,'Dashboard Items'!$A$2:$A$495,0)),"ID not found"))</f>
        <v>Reliable Infrastructure and Community Connectivity</v>
      </c>
    </row>
    <row r="39" spans="1:6" ht="15" customHeight="1" x14ac:dyDescent="0.2">
      <c r="A39" s="163" t="s">
        <v>691</v>
      </c>
      <c r="B39" s="99" t="str">
        <f>IF(A39="","",IFERROR(INDEX('Dashboard Items'!$C$2:$C$495,MATCH(A39,'Dashboard Items'!$A$2:$A$495,0)),"ID not found"))</f>
        <v>Transit Services</v>
      </c>
      <c r="C39" s="99" t="str">
        <f>IF(A39="","",IFERROR(INDEX('Dashboard Items'!$E$2:$E$495,MATCH(A39,'Dashboard Items'!$A$2:$A$495,0)),"ID not found"))</f>
        <v>Infrastructure</v>
      </c>
      <c r="D39" s="163" t="s">
        <v>922</v>
      </c>
      <c r="E39" s="99" t="str">
        <f>IF(D39="","",IFERROR(INDEX('Dashboard Items'!$C$2:$C$495,MATCH(D39,'Dashboard Items'!$A$2:$A$495,0)),"ID not found"))</f>
        <v>4.6 City surface Transit and Right of Way</v>
      </c>
      <c r="F39" s="99" t="str">
        <f>IF(D39="","",IFERROR(INDEX('Dashboard Items'!$F$2:$F$495,MATCH(D39,'Dashboard Items'!$A$2:$A$495,0)),"ID not found"))</f>
        <v>Reliable Infrastructure and Community Connectivity</v>
      </c>
    </row>
    <row r="40" spans="1:6" ht="15" customHeight="1" x14ac:dyDescent="0.2">
      <c r="A40" s="163" t="s">
        <v>863</v>
      </c>
      <c r="B40" s="99" t="str">
        <f>IF(A40="","",IFERROR(INDEX('Dashboard Items'!$C$2:$C$495,MATCH(A40,'Dashboard Items'!$A$2:$A$495,0)),"ID not found"))</f>
        <v>Asset Management</v>
      </c>
      <c r="C40" s="99" t="str">
        <f>IF(A40="","",IFERROR(INDEX('Dashboard Items'!$E$2:$E$495,MATCH(A40,'Dashboard Items'!$A$2:$A$495,0)),"ID not found"))</f>
        <v>Infrastructure</v>
      </c>
      <c r="D40" s="163" t="s">
        <v>913</v>
      </c>
      <c r="E40" s="99" t="str">
        <f>IF(D40="","",IFERROR(INDEX('Dashboard Items'!$C$2:$C$495,MATCH(D40,'Dashboard Items'!$A$2:$A$495,0)),"ID not found"))</f>
        <v>4.3 Water and Wastewater Systems</v>
      </c>
      <c r="F40" s="99" t="str">
        <f>IF(D40="","",IFERROR(INDEX('Dashboard Items'!$F$2:$F$495,MATCH(D40,'Dashboard Items'!$A$2:$A$495,0)),"ID not found"))</f>
        <v>Reliable Infrastructure and Community Connectivity</v>
      </c>
    </row>
    <row r="41" spans="1:6" ht="15" customHeight="1" x14ac:dyDescent="0.2">
      <c r="A41" s="163" t="s">
        <v>863</v>
      </c>
      <c r="B41" s="99" t="str">
        <f>IF(A41="","",IFERROR(INDEX('Dashboard Items'!$C$2:$C$495,MATCH(A41,'Dashboard Items'!$A$2:$A$495,0)),"ID not found"))</f>
        <v>Asset Management</v>
      </c>
      <c r="C41" s="99" t="str">
        <f>IF(A41="","",IFERROR(INDEX('Dashboard Items'!$E$2:$E$495,MATCH(A41,'Dashboard Items'!$A$2:$A$495,0)),"ID not found"))</f>
        <v>Infrastructure</v>
      </c>
      <c r="D41" s="163" t="s">
        <v>919</v>
      </c>
      <c r="E41" s="99" t="str">
        <f>IF(D41="","",IFERROR(INDEX('Dashboard Items'!$C$2:$C$495,MATCH(D41,'Dashboard Items'!$A$2:$A$495,0)),"ID not found"))</f>
        <v>4.5 Reliable and Secure IT Infrastrucutre</v>
      </c>
      <c r="F41" s="99" t="str">
        <f>IF(D41="","",IFERROR(INDEX('Dashboard Items'!$F$2:$F$495,MATCH(D41,'Dashboard Items'!$A$2:$A$495,0)),"ID not found"))</f>
        <v>Reliable Infrastructure and Community Connectivity</v>
      </c>
    </row>
    <row r="42" spans="1:6" ht="15" customHeight="1" x14ac:dyDescent="0.2">
      <c r="A42" s="163" t="s">
        <v>864</v>
      </c>
      <c r="B42" s="99" t="str">
        <f>IF(A42="","",IFERROR(INDEX('Dashboard Items'!$C$2:$C$495,MATCH(A42,'Dashboard Items'!$A$2:$A$495,0)),"ID not found"))</f>
        <v>Airport Operations</v>
      </c>
      <c r="C42" s="99" t="str">
        <f>IF(A42="","",IFERROR(INDEX('Dashboard Items'!$E$2:$E$495,MATCH(A42,'Dashboard Items'!$A$2:$A$495,0)),"ID not found"))</f>
        <v>Infrastructure</v>
      </c>
      <c r="D42" s="163" t="s">
        <v>916</v>
      </c>
      <c r="E42" s="99" t="str">
        <f>IF(D42="","",IFERROR(INDEX('Dashboard Items'!$C$2:$C$495,MATCH(D42,'Dashboard Items'!$A$2:$A$495,0)),"ID not found"))</f>
        <v>4.4 Airport and Aviation Hubs</v>
      </c>
      <c r="F42" s="99" t="str">
        <f>IF(D42="","",IFERROR(INDEX('Dashboard Items'!$F$2:$F$495,MATCH(D42,'Dashboard Items'!$A$2:$A$495,0)),"ID not found"))</f>
        <v>Reliable Infrastructure and Community Connectivity</v>
      </c>
    </row>
    <row r="43" spans="1:6" ht="15" customHeight="1" x14ac:dyDescent="0.2">
      <c r="A43" s="163" t="s">
        <v>623</v>
      </c>
      <c r="B43" s="99" t="str">
        <f>IF(A43="","",IFERROR(INDEX('Dashboard Items'!$C$2:$C$495,MATCH(A43,'Dashboard Items'!$A$2:$A$495,0)),"ID not found"))</f>
        <v>Library &amp; Learning Services</v>
      </c>
      <c r="C43" s="99" t="str">
        <f>IF(A43="","",IFERROR(INDEX('Dashboard Items'!$E$2:$E$495,MATCH(A43,'Dashboard Items'!$A$2:$A$495,0)),"ID not found"))</f>
        <v>Parks, Recreation and Cultural Services</v>
      </c>
      <c r="D43" s="163" t="s">
        <v>901</v>
      </c>
      <c r="E43" s="99" t="str">
        <f>IF(D43="","",IFERROR(INDEX('Dashboard Items'!$C$2:$C$495,MATCH(D43,'Dashboard Items'!$A$2:$A$495,0)),"ID not found"))</f>
        <v>3.2 Arts, Culture, and Recreation</v>
      </c>
      <c r="F43" s="99" t="str">
        <f>IF(D43="","",IFERROR(INDEX('Dashboard Items'!$F$2:$F$495,MATCH(D43,'Dashboard Items'!$A$2:$A$495,0)),"ID not found"))</f>
        <v>Safety &amp; Quality of Life</v>
      </c>
    </row>
    <row r="44" spans="1:6" ht="15" customHeight="1" x14ac:dyDescent="0.2">
      <c r="A44" s="163" t="s">
        <v>623</v>
      </c>
      <c r="B44" s="99" t="str">
        <f>IF(A44="","",IFERROR(INDEX('Dashboard Items'!$C$2:$C$495,MATCH(A44,'Dashboard Items'!$A$2:$A$495,0)),"ID not found"))</f>
        <v>Library &amp; Learning Services</v>
      </c>
      <c r="C44" s="99" t="str">
        <f>IF(A44="","",IFERROR(INDEX('Dashboard Items'!$E$2:$E$495,MATCH(A44,'Dashboard Items'!$A$2:$A$495,0)),"ID not found"))</f>
        <v>Parks, Recreation and Cultural Services</v>
      </c>
      <c r="D44" s="163" t="s">
        <v>928</v>
      </c>
      <c r="E44" s="99" t="str">
        <f>IF(D44="","",IFERROR(INDEX('Dashboard Items'!$C$2:$C$495,MATCH(D44,'Dashboard Items'!$A$2:$A$495,0)),"ID not found"))</f>
        <v>5.2 Open and Accessible Information Communication</v>
      </c>
      <c r="F44" s="99" t="str">
        <f>IF(D44="","",IFERROR(INDEX('Dashboard Items'!$F$2:$F$495,MATCH(D44,'Dashboard Items'!$A$2:$A$495,0)),"ID not found"))</f>
        <v>Engaged and Informed Community</v>
      </c>
    </row>
    <row r="45" spans="1:6" ht="15" customHeight="1" x14ac:dyDescent="0.2">
      <c r="A45" s="163" t="s">
        <v>740</v>
      </c>
      <c r="B45" s="99" t="str">
        <f>IF(A45="","",IFERROR(INDEX('Dashboard Items'!$C$2:$C$495,MATCH(A45,'Dashboard Items'!$A$2:$A$495,0)),"ID not found"))</f>
        <v>Parks &amp; Open Space Management</v>
      </c>
      <c r="C45" s="99" t="str">
        <f>IF(A45="","",IFERROR(INDEX('Dashboard Items'!$E$2:$E$495,MATCH(A45,'Dashboard Items'!$A$2:$A$495,0)),"ID not found"))</f>
        <v>Parks, Recreation and Cultural Services</v>
      </c>
      <c r="D45" s="163" t="s">
        <v>904</v>
      </c>
      <c r="E45" s="99" t="str">
        <f>IF(D45="","",IFERROR(INDEX('Dashboard Items'!$C$2:$C$495,MATCH(D45,'Dashboard Items'!$A$2:$A$495,0)),"ID not found"))</f>
        <v>3.3 Parks, Trails and Natural Lands</v>
      </c>
      <c r="F45" s="99" t="str">
        <f>IF(D45="","",IFERROR(INDEX('Dashboard Items'!$F$2:$F$495,MATCH(D45,'Dashboard Items'!$A$2:$A$495,0)),"ID not found"))</f>
        <v>Safety &amp; Quality of Life</v>
      </c>
    </row>
    <row r="46" spans="1:6" ht="15" customHeight="1" x14ac:dyDescent="0.2">
      <c r="A46" s="163" t="s">
        <v>667</v>
      </c>
      <c r="B46" s="99" t="str">
        <f>IF(A46="","",IFERROR(INDEX('Dashboard Items'!$C$2:$C$495,MATCH(A46,'Dashboard Items'!$A$2:$A$495,0)),"ID not found"))</f>
        <v>Recreation &amp; Community Programs</v>
      </c>
      <c r="C46" s="99" t="str">
        <f>IF(A46="","",IFERROR(INDEX('Dashboard Items'!$E$2:$E$495,MATCH(A46,'Dashboard Items'!$A$2:$A$495,0)),"ID not found"))</f>
        <v>Parks, Recreation and Cultural Services</v>
      </c>
      <c r="D46" s="163" t="s">
        <v>901</v>
      </c>
      <c r="E46" s="99" t="str">
        <f>IF(D46="","",IFERROR(INDEX('Dashboard Items'!$C$2:$C$495,MATCH(D46,'Dashboard Items'!$A$2:$A$495,0)),"ID not found"))</f>
        <v>3.2 Arts, Culture, and Recreation</v>
      </c>
      <c r="F46" s="99" t="str">
        <f>IF(D46="","",IFERROR(INDEX('Dashboard Items'!$F$2:$F$495,MATCH(D46,'Dashboard Items'!$A$2:$A$495,0)),"ID not found"))</f>
        <v>Safety &amp; Quality of Life</v>
      </c>
    </row>
    <row r="47" spans="1:6" ht="15" customHeight="1" x14ac:dyDescent="0.2">
      <c r="A47" s="163"/>
      <c r="B47" s="99" t="str">
        <f>IF(A47="","",IFERROR(INDEX('Dashboard Items'!$C$2:$C$495,MATCH(A47,'Dashboard Items'!$A$2:$A$495,0)),"ID not found"))</f>
        <v/>
      </c>
      <c r="C47" s="99" t="str">
        <f>IF(A47="","",IFERROR(INDEX('Dashboard Items'!$E$2:$E$495,MATCH(A47,'Dashboard Items'!$A$2:$A$495,0)),"ID not found"))</f>
        <v/>
      </c>
      <c r="D47" s="163"/>
      <c r="E47" s="99" t="str">
        <f>IF(D47="","",IFERROR(INDEX('Dashboard Items'!$C$2:$C$495,MATCH(D47,'Dashboard Items'!$A$2:$A$495,0)),"ID not found"))</f>
        <v/>
      </c>
      <c r="F47" s="99" t="str">
        <f>IF(D47="","",IFERROR(INDEX('Dashboard Items'!$F$2:$F$495,MATCH(D47,'Dashboard Items'!$A$2:$A$495,0)),"ID not found"))</f>
        <v/>
      </c>
    </row>
    <row r="48" spans="1:6" ht="15" customHeight="1" x14ac:dyDescent="0.2">
      <c r="A48" s="163"/>
      <c r="B48" s="99" t="str">
        <f>IF(A48="","",IFERROR(INDEX('Dashboard Items'!$C$2:$C$495,MATCH(A48,'Dashboard Items'!$A$2:$A$495,0)),"ID not found"))</f>
        <v/>
      </c>
      <c r="C48" s="99" t="str">
        <f>IF(A48="","",IFERROR(INDEX('Dashboard Items'!$E$2:$E$495,MATCH(A48,'Dashboard Items'!$A$2:$A$495,0)),"ID not found"))</f>
        <v/>
      </c>
      <c r="D48" s="163"/>
      <c r="E48" s="99" t="str">
        <f>IF(D48="","",IFERROR(INDEX('Dashboard Items'!$C$2:$C$495,MATCH(D48,'Dashboard Items'!$A$2:$A$495,0)),"ID not found"))</f>
        <v/>
      </c>
      <c r="F48" s="99" t="str">
        <f>IF(D48="","",IFERROR(INDEX('Dashboard Items'!$F$2:$F$495,MATCH(D48,'Dashboard Items'!$A$2:$A$495,0)),"ID not found"))</f>
        <v/>
      </c>
    </row>
    <row r="49" spans="1:6" ht="15" customHeight="1" x14ac:dyDescent="0.2">
      <c r="A49" s="163"/>
      <c r="B49" s="99" t="str">
        <f>IF(A49="","",IFERROR(INDEX('Dashboard Items'!$C$2:$C$495,MATCH(A49,'Dashboard Items'!$A$2:$A$495,0)),"ID not found"))</f>
        <v/>
      </c>
      <c r="C49" s="99" t="str">
        <f>IF(A49="","",IFERROR(INDEX('Dashboard Items'!$E$2:$E$495,MATCH(A49,'Dashboard Items'!$A$2:$A$495,0)),"ID not found"))</f>
        <v/>
      </c>
      <c r="D49" s="163"/>
      <c r="E49" s="99" t="str">
        <f>IF(D49="","",IFERROR(INDEX('Dashboard Items'!$C$2:$C$495,MATCH(D49,'Dashboard Items'!$A$2:$A$495,0)),"ID not found"))</f>
        <v/>
      </c>
      <c r="F49" s="99" t="str">
        <f>IF(D49="","",IFERROR(INDEX('Dashboard Items'!$F$2:$F$495,MATCH(D49,'Dashboard Items'!$A$2:$A$495,0)),"ID not found"))</f>
        <v/>
      </c>
    </row>
    <row r="50" spans="1:6" ht="15" customHeight="1" x14ac:dyDescent="0.2">
      <c r="A50" s="163"/>
      <c r="B50" s="99" t="str">
        <f>IF(A50="","",IFERROR(INDEX('Dashboard Items'!$C$2:$C$495,MATCH(A50,'Dashboard Items'!$A$2:$A$495,0)),"ID not found"))</f>
        <v/>
      </c>
      <c r="C50" s="99" t="str">
        <f>IF(A50="","",IFERROR(INDEX('Dashboard Items'!$E$2:$E$495,MATCH(A50,'Dashboard Items'!$A$2:$A$495,0)),"ID not found"))</f>
        <v/>
      </c>
      <c r="D50" s="163"/>
      <c r="E50" s="99" t="str">
        <f>IF(D50="","",IFERROR(INDEX('Dashboard Items'!$C$2:$C$495,MATCH(D50,'Dashboard Items'!$A$2:$A$495,0)),"ID not found"))</f>
        <v/>
      </c>
      <c r="F50" s="99" t="str">
        <f>IF(D50="","",IFERROR(INDEX('Dashboard Items'!$F$2:$F$495,MATCH(D50,'Dashboard Items'!$A$2:$A$495,0)),"ID not found"))</f>
        <v/>
      </c>
    </row>
    <row r="51" spans="1:6" ht="15" customHeight="1" x14ac:dyDescent="0.2">
      <c r="A51" s="163"/>
      <c r="B51" s="99" t="str">
        <f>IF(A51="","",IFERROR(INDEX('Dashboard Items'!$C$2:$C$495,MATCH(A51,'Dashboard Items'!$A$2:$A$495,0)),"ID not found"))</f>
        <v/>
      </c>
      <c r="C51" s="99" t="str">
        <f>IF(A51="","",IFERROR(INDEX('Dashboard Items'!$E$2:$E$495,MATCH(A51,'Dashboard Items'!$A$2:$A$495,0)),"ID not found"))</f>
        <v/>
      </c>
      <c r="D51" s="163"/>
      <c r="E51" s="99" t="str">
        <f>IF(D51="","",IFERROR(INDEX('Dashboard Items'!$C$2:$C$495,MATCH(D51,'Dashboard Items'!$A$2:$A$495,0)),"ID not found"))</f>
        <v/>
      </c>
      <c r="F51" s="99" t="str">
        <f>IF(D51="","",IFERROR(INDEX('Dashboard Items'!$F$2:$F$495,MATCH(D51,'Dashboard Items'!$A$2:$A$495,0)),"ID not found"))</f>
        <v/>
      </c>
    </row>
    <row r="52" spans="1:6" ht="15" customHeight="1" x14ac:dyDescent="0.2">
      <c r="A52" s="163"/>
      <c r="B52" s="99" t="str">
        <f>IF(A52="","",IFERROR(INDEX('Dashboard Items'!$C$2:$C$495,MATCH(A52,'Dashboard Items'!$A$2:$A$495,0)),"ID not found"))</f>
        <v/>
      </c>
      <c r="C52" s="99" t="str">
        <f>IF(A52="","",IFERROR(INDEX('Dashboard Items'!$E$2:$E$495,MATCH(A52,'Dashboard Items'!$A$2:$A$495,0)),"ID not found"))</f>
        <v/>
      </c>
      <c r="D52" s="163"/>
      <c r="E52" s="99" t="str">
        <f>IF(D52="","",IFERROR(INDEX('Dashboard Items'!$C$2:$C$495,MATCH(D52,'Dashboard Items'!$A$2:$A$495,0)),"ID not found"))</f>
        <v/>
      </c>
      <c r="F52" s="99" t="str">
        <f>IF(D52="","",IFERROR(INDEX('Dashboard Items'!$F$2:$F$495,MATCH(D52,'Dashboard Items'!$A$2:$A$495,0)),"ID not found"))</f>
        <v/>
      </c>
    </row>
    <row r="53" spans="1:6" ht="15" customHeight="1" x14ac:dyDescent="0.2">
      <c r="A53" s="163"/>
      <c r="B53" s="99" t="str">
        <f>IF(A53="","",IFERROR(INDEX('Dashboard Items'!$C$2:$C$495,MATCH(A53,'Dashboard Items'!$A$2:$A$495,0)),"ID not found"))</f>
        <v/>
      </c>
      <c r="C53" s="99" t="str">
        <f>IF(A53="","",IFERROR(INDEX('Dashboard Items'!$E$2:$E$495,MATCH(A53,'Dashboard Items'!$A$2:$A$495,0)),"ID not found"))</f>
        <v/>
      </c>
      <c r="D53" s="163"/>
      <c r="E53" s="99" t="str">
        <f>IF(D53="","",IFERROR(INDEX('Dashboard Items'!$C$2:$C$495,MATCH(D53,'Dashboard Items'!$A$2:$A$495,0)),"ID not found"))</f>
        <v/>
      </c>
      <c r="F53" s="99" t="str">
        <f>IF(D53="","",IFERROR(INDEX('Dashboard Items'!$F$2:$F$495,MATCH(D53,'Dashboard Items'!$A$2:$A$495,0)),"ID not found"))</f>
        <v/>
      </c>
    </row>
    <row r="54" spans="1:6" ht="15" customHeight="1" x14ac:dyDescent="0.2">
      <c r="A54" s="163"/>
      <c r="B54" s="99" t="str">
        <f>IF(A54="","",IFERROR(INDEX('Dashboard Items'!$C$2:$C$495,MATCH(A54,'Dashboard Items'!$A$2:$A$495,0)),"ID not found"))</f>
        <v/>
      </c>
      <c r="C54" s="99" t="str">
        <f>IF(A54="","",IFERROR(INDEX('Dashboard Items'!$E$2:$E$495,MATCH(A54,'Dashboard Items'!$A$2:$A$495,0)),"ID not found"))</f>
        <v/>
      </c>
      <c r="D54" s="163"/>
      <c r="E54" s="99" t="str">
        <f>IF(D54="","",IFERROR(INDEX('Dashboard Items'!$C$2:$C$495,MATCH(D54,'Dashboard Items'!$A$2:$A$495,0)),"ID not found"))</f>
        <v/>
      </c>
      <c r="F54" s="99" t="str">
        <f>IF(D54="","",IFERROR(INDEX('Dashboard Items'!$F$2:$F$495,MATCH(D54,'Dashboard Items'!$A$2:$A$495,0)),"ID not found"))</f>
        <v/>
      </c>
    </row>
    <row r="55" spans="1:6" ht="15" customHeight="1" x14ac:dyDescent="0.2">
      <c r="A55" s="163"/>
      <c r="B55" s="99" t="str">
        <f>IF(A55="","",IFERROR(INDEX('Dashboard Items'!$C$2:$C$495,MATCH(A55,'Dashboard Items'!$A$2:$A$495,0)),"ID not found"))</f>
        <v/>
      </c>
      <c r="C55" s="99" t="str">
        <f>IF(A55="","",IFERROR(INDEX('Dashboard Items'!$E$2:$E$495,MATCH(A55,'Dashboard Items'!$A$2:$A$495,0)),"ID not found"))</f>
        <v/>
      </c>
      <c r="D55" s="163"/>
      <c r="E55" s="99" t="str">
        <f>IF(D55="","",IFERROR(INDEX('Dashboard Items'!$C$2:$C$495,MATCH(D55,'Dashboard Items'!$A$2:$A$495,0)),"ID not found"))</f>
        <v/>
      </c>
      <c r="F55" s="99" t="str">
        <f>IF(D55="","",IFERROR(INDEX('Dashboard Items'!$F$2:$F$495,MATCH(D55,'Dashboard Items'!$A$2:$A$495,0)),"ID not found"))</f>
        <v/>
      </c>
    </row>
    <row r="56" spans="1:6" ht="15" customHeight="1" x14ac:dyDescent="0.2">
      <c r="A56" s="163"/>
      <c r="B56" s="99" t="str">
        <f>IF(A56="","",IFERROR(INDEX('Dashboard Items'!$C$2:$C$495,MATCH(A56,'Dashboard Items'!$A$2:$A$495,0)),"ID not found"))</f>
        <v/>
      </c>
      <c r="C56" s="99" t="str">
        <f>IF(A56="","",IFERROR(INDEX('Dashboard Items'!$E$2:$E$495,MATCH(A56,'Dashboard Items'!$A$2:$A$495,0)),"ID not found"))</f>
        <v/>
      </c>
      <c r="D56" s="163"/>
      <c r="E56" s="99" t="str">
        <f>IF(D56="","",IFERROR(INDEX('Dashboard Items'!$C$2:$C$495,MATCH(D56,'Dashboard Items'!$A$2:$A$495,0)),"ID not found"))</f>
        <v/>
      </c>
      <c r="F56" s="99" t="str">
        <f>IF(D56="","",IFERROR(INDEX('Dashboard Items'!$F$2:$F$495,MATCH(D56,'Dashboard Items'!$A$2:$A$495,0)),"ID not found"))</f>
        <v/>
      </c>
    </row>
    <row r="57" spans="1:6" ht="15" customHeight="1" x14ac:dyDescent="0.2">
      <c r="A57" s="163"/>
      <c r="B57" s="99" t="str">
        <f>IF(A57="","",IFERROR(INDEX('Dashboard Items'!$C$2:$C$495,MATCH(A57,'Dashboard Items'!$A$2:$A$495,0)),"ID not found"))</f>
        <v/>
      </c>
      <c r="C57" s="99" t="str">
        <f>IF(A57="","",IFERROR(INDEX('Dashboard Items'!$E$2:$E$495,MATCH(A57,'Dashboard Items'!$A$2:$A$495,0)),"ID not found"))</f>
        <v/>
      </c>
      <c r="D57" s="163"/>
      <c r="E57" s="99" t="str">
        <f>IF(D57="","",IFERROR(INDEX('Dashboard Items'!$C$2:$C$495,MATCH(D57,'Dashboard Items'!$A$2:$A$495,0)),"ID not found"))</f>
        <v/>
      </c>
      <c r="F57" s="99" t="str">
        <f>IF(D57="","",IFERROR(INDEX('Dashboard Items'!$F$2:$F$495,MATCH(D57,'Dashboard Items'!$A$2:$A$495,0)),"ID not found"))</f>
        <v/>
      </c>
    </row>
    <row r="58" spans="1:6" ht="15" customHeight="1" x14ac:dyDescent="0.2">
      <c r="A58" s="163"/>
      <c r="B58" s="99" t="str">
        <f>IF(A58="","",IFERROR(INDEX('Dashboard Items'!$C$2:$C$495,MATCH(A58,'Dashboard Items'!$A$2:$A$495,0)),"ID not found"))</f>
        <v/>
      </c>
      <c r="C58" s="99" t="str">
        <f>IF(A58="","",IFERROR(INDEX('Dashboard Items'!$E$2:$E$495,MATCH(A58,'Dashboard Items'!$A$2:$A$495,0)),"ID not found"))</f>
        <v/>
      </c>
      <c r="D58" s="163"/>
      <c r="E58" s="99" t="str">
        <f>IF(D58="","",IFERROR(INDEX('Dashboard Items'!$C$2:$C$495,MATCH(D58,'Dashboard Items'!$A$2:$A$495,0)),"ID not found"))</f>
        <v/>
      </c>
      <c r="F58" s="99" t="str">
        <f>IF(D58="","",IFERROR(INDEX('Dashboard Items'!$F$2:$F$495,MATCH(D58,'Dashboard Items'!$A$2:$A$495,0)),"ID not found"))</f>
        <v/>
      </c>
    </row>
    <row r="59" spans="1:6" ht="15" customHeight="1" x14ac:dyDescent="0.2">
      <c r="B59" s="99" t="str">
        <f>IF(A59="","",IFERROR(INDEX('Dashboard Items'!$C$2:$C$495,MATCH(A59,'Dashboard Items'!$A$2:$A$495,0)),"ID not found"))</f>
        <v/>
      </c>
      <c r="C59" s="99" t="str">
        <f>IF(A59="","",IFERROR(INDEX('Dashboard Items'!$E$2:$E$495,MATCH(A59,'Dashboard Items'!$A$2:$A$495,0)),"ID not found"))</f>
        <v/>
      </c>
      <c r="E59" s="99" t="str">
        <f>IF(D59="","",IFERROR(INDEX('Dashboard Items'!$C$2:$C$495,MATCH(D59,'Dashboard Items'!$A$2:$A$495,0)),"ID not found"))</f>
        <v/>
      </c>
      <c r="F59" s="99" t="str">
        <f>IF(D59="","",IFERROR(INDEX('Dashboard Items'!$F$2:$F$495,MATCH(D59,'Dashboard Items'!$A$2:$A$495,0)),"ID not found"))</f>
        <v/>
      </c>
    </row>
    <row r="60" spans="1:6" ht="15" customHeight="1" x14ac:dyDescent="0.2">
      <c r="B60" s="99" t="str">
        <f>IF(A60="","",IFERROR(INDEX('Dashboard Items'!$C$2:$C$495,MATCH(A60,'Dashboard Items'!$A$2:$A$495,0)),"ID not found"))</f>
        <v/>
      </c>
      <c r="C60" s="99" t="str">
        <f>IF(A60="","",IFERROR(INDEX('Dashboard Items'!$E$2:$E$495,MATCH(A60,'Dashboard Items'!$A$2:$A$495,0)),"ID not found"))</f>
        <v/>
      </c>
      <c r="E60" s="99" t="str">
        <f>IF(D60="","",IFERROR(INDEX('Dashboard Items'!$C$2:$C$495,MATCH(D60,'Dashboard Items'!$A$2:$A$495,0)),"ID not found"))</f>
        <v/>
      </c>
      <c r="F60" s="99" t="str">
        <f>IF(D60="","",IFERROR(INDEX('Dashboard Items'!$F$2:$F$495,MATCH(D60,'Dashboard Items'!$A$2:$A$495,0)),"ID not found"))</f>
        <v/>
      </c>
    </row>
    <row r="61" spans="1:6" ht="15" customHeight="1" x14ac:dyDescent="0.2">
      <c r="B61" s="99" t="str">
        <f>IF(A61="","",IFERROR(INDEX('Dashboard Items'!$C$2:$C$495,MATCH(A61,'Dashboard Items'!$A$2:$A$495,0)),"ID not found"))</f>
        <v/>
      </c>
      <c r="C61" s="99" t="str">
        <f>IF(A61="","",IFERROR(INDEX('Dashboard Items'!$E$2:$E$495,MATCH(A61,'Dashboard Items'!$A$2:$A$495,0)),"ID not found"))</f>
        <v/>
      </c>
      <c r="E61" s="99" t="str">
        <f>IF(D61="","",IFERROR(INDEX('Dashboard Items'!$C$2:$C$495,MATCH(D61,'Dashboard Items'!$A$2:$A$495,0)),"ID not found"))</f>
        <v/>
      </c>
      <c r="F61" s="99" t="str">
        <f>IF(D61="","",IFERROR(INDEX('Dashboard Items'!$F$2:$F$495,MATCH(D61,'Dashboard Items'!$A$2:$A$495,0)),"ID not found"))</f>
        <v/>
      </c>
    </row>
    <row r="62" spans="1:6" ht="15" customHeight="1" x14ac:dyDescent="0.2">
      <c r="B62" s="99" t="str">
        <f>IF(A62="","",IFERROR(INDEX('Dashboard Items'!$C$2:$C$495,MATCH(A62,'Dashboard Items'!$A$2:$A$495,0)),"ID not found"))</f>
        <v/>
      </c>
      <c r="C62" s="99" t="str">
        <f>IF(A62="","",IFERROR(INDEX('Dashboard Items'!$E$2:$E$495,MATCH(A62,'Dashboard Items'!$A$2:$A$495,0)),"ID not found"))</f>
        <v/>
      </c>
      <c r="E62" s="99" t="str">
        <f>IF(D62="","",IFERROR(INDEX('Dashboard Items'!$C$2:$C$495,MATCH(D62,'Dashboard Items'!$A$2:$A$495,0)),"ID not found"))</f>
        <v/>
      </c>
      <c r="F62" s="99" t="str">
        <f>IF(D62="","",IFERROR(INDEX('Dashboard Items'!$F$2:$F$495,MATCH(D62,'Dashboard Items'!$A$2:$A$495,0)),"ID not found"))</f>
        <v/>
      </c>
    </row>
    <row r="63" spans="1:6" ht="15" customHeight="1" x14ac:dyDescent="0.2">
      <c r="B63" s="99" t="str">
        <f>IF(A63="","",IFERROR(INDEX('Dashboard Items'!$C$2:$C$495,MATCH(A63,'Dashboard Items'!$A$2:$A$495,0)),"ID not found"))</f>
        <v/>
      </c>
      <c r="C63" s="99" t="str">
        <f>IF(A63="","",IFERROR(INDEX('Dashboard Items'!$E$2:$E$495,MATCH(A63,'Dashboard Items'!$A$2:$A$495,0)),"ID not found"))</f>
        <v/>
      </c>
      <c r="E63" s="99" t="str">
        <f>IF(D63="","",IFERROR(INDEX('Dashboard Items'!$C$2:$C$495,MATCH(D63,'Dashboard Items'!$A$2:$A$495,0)),"ID not found"))</f>
        <v/>
      </c>
      <c r="F63" s="99" t="str">
        <f>IF(D63="","",IFERROR(INDEX('Dashboard Items'!$F$2:$F$495,MATCH(D63,'Dashboard Items'!$A$2:$A$495,0)),"ID not found"))</f>
        <v/>
      </c>
    </row>
    <row r="64" spans="1:6" ht="15" customHeight="1" x14ac:dyDescent="0.2">
      <c r="B64" s="99" t="str">
        <f>IF(A64="","",IFERROR(INDEX('Dashboard Items'!$C$2:$C$495,MATCH(A64,'Dashboard Items'!$A$2:$A$495,0)),"ID not found"))</f>
        <v/>
      </c>
      <c r="C64" s="99" t="str">
        <f>IF(A64="","",IFERROR(INDEX('Dashboard Items'!$E$2:$E$495,MATCH(A64,'Dashboard Items'!$A$2:$A$495,0)),"ID not found"))</f>
        <v/>
      </c>
      <c r="E64" s="99" t="str">
        <f>IF(D64="","",IFERROR(INDEX('Dashboard Items'!$C$2:$C$495,MATCH(D64,'Dashboard Items'!$A$2:$A$495,0)),"ID not found"))</f>
        <v/>
      </c>
      <c r="F64" s="99" t="str">
        <f>IF(D64="","",IFERROR(INDEX('Dashboard Items'!$F$2:$F$495,MATCH(D64,'Dashboard Items'!$A$2:$A$495,0)),"ID not found"))</f>
        <v/>
      </c>
    </row>
    <row r="65" spans="2:6" ht="15" customHeight="1" x14ac:dyDescent="0.2">
      <c r="B65" s="99" t="str">
        <f>IF(A65="","",IFERROR(INDEX('Dashboard Items'!$C$2:$C$495,MATCH(A65,'Dashboard Items'!$A$2:$A$495,0)),"ID not found"))</f>
        <v/>
      </c>
      <c r="C65" s="99" t="str">
        <f>IF(A65="","",IFERROR(INDEX('Dashboard Items'!$E$2:$E$495,MATCH(A65,'Dashboard Items'!$A$2:$A$495,0)),"ID not found"))</f>
        <v/>
      </c>
      <c r="E65" s="99" t="str">
        <f>IF(D65="","",IFERROR(INDEX('Dashboard Items'!$C$2:$C$495,MATCH(D65,'Dashboard Items'!$A$2:$A$495,0)),"ID not found"))</f>
        <v/>
      </c>
      <c r="F65" s="99" t="str">
        <f>IF(D65="","",IFERROR(INDEX('Dashboard Items'!$F$2:$F$495,MATCH(D65,'Dashboard Items'!$A$2:$A$495,0)),"ID not found"))</f>
        <v/>
      </c>
    </row>
    <row r="66" spans="2:6" ht="15" customHeight="1" x14ac:dyDescent="0.2">
      <c r="B66" s="99" t="str">
        <f>IF(A66="","",IFERROR(INDEX('Dashboard Items'!$C$2:$C$495,MATCH(A66,'Dashboard Items'!$A$2:$A$495,0)),"ID not found"))</f>
        <v/>
      </c>
      <c r="C66" s="99" t="str">
        <f>IF(A66="","",IFERROR(INDEX('Dashboard Items'!$E$2:$E$495,MATCH(A66,'Dashboard Items'!$A$2:$A$495,0)),"ID not found"))</f>
        <v/>
      </c>
      <c r="E66" s="99" t="str">
        <f>IF(D66="","",IFERROR(INDEX('Dashboard Items'!$C$2:$C$495,MATCH(D66,'Dashboard Items'!$A$2:$A$495,0)),"ID not found"))</f>
        <v/>
      </c>
      <c r="F66" s="99" t="str">
        <f>IF(D66="","",IFERROR(INDEX('Dashboard Items'!$F$2:$F$495,MATCH(D66,'Dashboard Items'!$A$2:$A$495,0)),"ID not found"))</f>
        <v/>
      </c>
    </row>
    <row r="67" spans="2:6" ht="15" customHeight="1" x14ac:dyDescent="0.2">
      <c r="B67" s="99" t="str">
        <f>IF(A67="","",IFERROR(INDEX('Dashboard Items'!$C$2:$C$495,MATCH(A67,'Dashboard Items'!$A$2:$A$495,0)),"ID not found"))</f>
        <v/>
      </c>
      <c r="C67" s="99" t="str">
        <f>IF(A67="","",IFERROR(INDEX('Dashboard Items'!$E$2:$E$495,MATCH(A67,'Dashboard Items'!$A$2:$A$495,0)),"ID not found"))</f>
        <v/>
      </c>
      <c r="E67" s="99" t="str">
        <f>IF(D67="","",IFERROR(INDEX('Dashboard Items'!$C$2:$C$495,MATCH(D67,'Dashboard Items'!$A$2:$A$495,0)),"ID not found"))</f>
        <v/>
      </c>
      <c r="F67" s="99" t="str">
        <f>IF(D67="","",IFERROR(INDEX('Dashboard Items'!$F$2:$F$495,MATCH(D67,'Dashboard Items'!$A$2:$A$495,0)),"ID not found"))</f>
        <v/>
      </c>
    </row>
    <row r="68" spans="2:6" ht="15" customHeight="1" x14ac:dyDescent="0.2">
      <c r="B68" s="99" t="str">
        <f>IF(A68="","",IFERROR(INDEX('Dashboard Items'!$C$2:$C$495,MATCH(A68,'Dashboard Items'!$A$2:$A$495,0)),"ID not found"))</f>
        <v/>
      </c>
      <c r="C68" s="99" t="str">
        <f>IF(A68="","",IFERROR(INDEX('Dashboard Items'!$E$2:$E$495,MATCH(A68,'Dashboard Items'!$A$2:$A$495,0)),"ID not found"))</f>
        <v/>
      </c>
      <c r="E68" s="99" t="str">
        <f>IF(D68="","",IFERROR(INDEX('Dashboard Items'!$C$2:$C$495,MATCH(D68,'Dashboard Items'!$A$2:$A$495,0)),"ID not found"))</f>
        <v/>
      </c>
      <c r="F68" s="99" t="str">
        <f>IF(D68="","",IFERROR(INDEX('Dashboard Items'!$F$2:$F$495,MATCH(D68,'Dashboard Items'!$A$2:$A$495,0)),"ID not found"))</f>
        <v/>
      </c>
    </row>
    <row r="69" spans="2:6" ht="15" customHeight="1" x14ac:dyDescent="0.2">
      <c r="B69" s="99" t="str">
        <f>IF(A69="","",IFERROR(INDEX('Dashboard Items'!$C$2:$C$495,MATCH(A69,'Dashboard Items'!$A$2:$A$495,0)),"ID not found"))</f>
        <v/>
      </c>
      <c r="C69" s="99" t="str">
        <f>IF(A69="","",IFERROR(INDEX('Dashboard Items'!$E$2:$E$495,MATCH(A69,'Dashboard Items'!$A$2:$A$495,0)),"ID not found"))</f>
        <v/>
      </c>
      <c r="E69" s="99" t="str">
        <f>IF(D69="","",IFERROR(INDEX('Dashboard Items'!$C$2:$C$495,MATCH(D69,'Dashboard Items'!$A$2:$A$495,0)),"ID not found"))</f>
        <v/>
      </c>
      <c r="F69" s="99" t="str">
        <f>IF(D69="","",IFERROR(INDEX('Dashboard Items'!$F$2:$F$495,MATCH(D69,'Dashboard Items'!$A$2:$A$495,0)),"ID not found"))</f>
        <v/>
      </c>
    </row>
    <row r="70" spans="2:6" ht="15" customHeight="1" x14ac:dyDescent="0.2">
      <c r="B70" s="99" t="str">
        <f>IF(A70="","",IFERROR(INDEX('Dashboard Items'!$C$2:$C$495,MATCH(A70,'Dashboard Items'!$A$2:$A$495,0)),"ID not found"))</f>
        <v/>
      </c>
      <c r="C70" s="99" t="str">
        <f>IF(A70="","",IFERROR(INDEX('Dashboard Items'!$E$2:$E$495,MATCH(A70,'Dashboard Items'!$A$2:$A$495,0)),"ID not found"))</f>
        <v/>
      </c>
      <c r="E70" s="99" t="str">
        <f>IF(D70="","",IFERROR(INDEX('Dashboard Items'!$C$2:$C$495,MATCH(D70,'Dashboard Items'!$A$2:$A$495,0)),"ID not found"))</f>
        <v/>
      </c>
      <c r="F70" s="99" t="str">
        <f>IF(D70="","",IFERROR(INDEX('Dashboard Items'!$F$2:$F$495,MATCH(D70,'Dashboard Items'!$A$2:$A$495,0)),"ID not found"))</f>
        <v/>
      </c>
    </row>
    <row r="71" spans="2:6" ht="15" customHeight="1" x14ac:dyDescent="0.2">
      <c r="B71" s="99" t="str">
        <f>IF(A71="","",IFERROR(INDEX('Dashboard Items'!$C$2:$C$495,MATCH(A71,'Dashboard Items'!$A$2:$A$495,0)),"ID not found"))</f>
        <v/>
      </c>
      <c r="C71" s="99" t="str">
        <f>IF(A71="","",IFERROR(INDEX('Dashboard Items'!$E$2:$E$495,MATCH(A71,'Dashboard Items'!$A$2:$A$495,0)),"ID not found"))</f>
        <v/>
      </c>
      <c r="E71" s="99" t="str">
        <f>IF(D71="","",IFERROR(INDEX('Dashboard Items'!$C$2:$C$495,MATCH(D71,'Dashboard Items'!$A$2:$A$495,0)),"ID not found"))</f>
        <v/>
      </c>
      <c r="F71" s="99" t="str">
        <f>IF(D71="","",IFERROR(INDEX('Dashboard Items'!$F$2:$F$495,MATCH(D71,'Dashboard Items'!$A$2:$A$495,0)),"ID not found"))</f>
        <v/>
      </c>
    </row>
    <row r="72" spans="2:6" ht="15" customHeight="1" x14ac:dyDescent="0.2">
      <c r="B72" s="99" t="str">
        <f>IF(A72="","",IFERROR(INDEX('Dashboard Items'!$C$2:$C$495,MATCH(A72,'Dashboard Items'!$A$2:$A$495,0)),"ID not found"))</f>
        <v/>
      </c>
      <c r="C72" s="99" t="str">
        <f>IF(A72="","",IFERROR(INDEX('Dashboard Items'!$E$2:$E$495,MATCH(A72,'Dashboard Items'!$A$2:$A$495,0)),"ID not found"))</f>
        <v/>
      </c>
      <c r="E72" s="99" t="str">
        <f>IF(D72="","",IFERROR(INDEX('Dashboard Items'!$C$2:$C$495,MATCH(D72,'Dashboard Items'!$A$2:$A$495,0)),"ID not found"))</f>
        <v/>
      </c>
      <c r="F72" s="99" t="str">
        <f>IF(D72="","",IFERROR(INDEX('Dashboard Items'!$F$2:$F$495,MATCH(D72,'Dashboard Items'!$A$2:$A$495,0)),"ID not found"))</f>
        <v/>
      </c>
    </row>
    <row r="73" spans="2:6" ht="15" customHeight="1" x14ac:dyDescent="0.2">
      <c r="B73" s="99" t="str">
        <f>IF(A73="","",IFERROR(INDEX('Dashboard Items'!$C$2:$C$495,MATCH(A73,'Dashboard Items'!$A$2:$A$495,0)),"ID not found"))</f>
        <v/>
      </c>
      <c r="C73" s="99" t="str">
        <f>IF(A73="","",IFERROR(INDEX('Dashboard Items'!$E$2:$E$495,MATCH(A73,'Dashboard Items'!$A$2:$A$495,0)),"ID not found"))</f>
        <v/>
      </c>
      <c r="E73" s="99" t="str">
        <f>IF(D73="","",IFERROR(INDEX('Dashboard Items'!$C$2:$C$495,MATCH(D73,'Dashboard Items'!$A$2:$A$495,0)),"ID not found"))</f>
        <v/>
      </c>
      <c r="F73" s="99" t="str">
        <f>IF(D73="","",IFERROR(INDEX('Dashboard Items'!$F$2:$F$495,MATCH(D73,'Dashboard Items'!$A$2:$A$495,0)),"ID not found"))</f>
        <v/>
      </c>
    </row>
    <row r="74" spans="2:6" ht="15" customHeight="1" x14ac:dyDescent="0.2">
      <c r="B74" s="99" t="str">
        <f>IF(A74="","",IFERROR(INDEX('Dashboard Items'!$C$2:$C$495,MATCH(A74,'Dashboard Items'!$A$2:$A$495,0)),"ID not found"))</f>
        <v/>
      </c>
      <c r="C74" s="99" t="str">
        <f>IF(A74="","",IFERROR(INDEX('Dashboard Items'!$E$2:$E$495,MATCH(A74,'Dashboard Items'!$A$2:$A$495,0)),"ID not found"))</f>
        <v/>
      </c>
      <c r="E74" s="99" t="str">
        <f>IF(D74="","",IFERROR(INDEX('Dashboard Items'!$C$2:$C$495,MATCH(D74,'Dashboard Items'!$A$2:$A$495,0)),"ID not found"))</f>
        <v/>
      </c>
      <c r="F74" s="99" t="str">
        <f>IF(D74="","",IFERROR(INDEX('Dashboard Items'!$F$2:$F$495,MATCH(D74,'Dashboard Items'!$A$2:$A$495,0)),"ID not found"))</f>
        <v/>
      </c>
    </row>
    <row r="75" spans="2:6" ht="15" customHeight="1" x14ac:dyDescent="0.2">
      <c r="B75" s="99" t="str">
        <f>IF(A75="","",IFERROR(INDEX('Dashboard Items'!$C$2:$C$495,MATCH(A75,'Dashboard Items'!$A$2:$A$495,0)),"ID not found"))</f>
        <v/>
      </c>
      <c r="C75" s="99" t="str">
        <f>IF(A75="","",IFERROR(INDEX('Dashboard Items'!$E$2:$E$495,MATCH(A75,'Dashboard Items'!$A$2:$A$495,0)),"ID not found"))</f>
        <v/>
      </c>
      <c r="E75" s="99" t="str">
        <f>IF(D75="","",IFERROR(INDEX('Dashboard Items'!$C$2:$C$495,MATCH(D75,'Dashboard Items'!$A$2:$A$495,0)),"ID not found"))</f>
        <v/>
      </c>
      <c r="F75" s="99" t="str">
        <f>IF(D75="","",IFERROR(INDEX('Dashboard Items'!$F$2:$F$495,MATCH(D75,'Dashboard Items'!$A$2:$A$495,0)),"ID not found"))</f>
        <v/>
      </c>
    </row>
    <row r="76" spans="2:6" ht="15" customHeight="1" x14ac:dyDescent="0.2">
      <c r="B76" s="99" t="str">
        <f>IF(A76="","",IFERROR(INDEX('Dashboard Items'!$C$2:$C$495,MATCH(A76,'Dashboard Items'!$A$2:$A$495,0)),"ID not found"))</f>
        <v/>
      </c>
      <c r="C76" s="99" t="str">
        <f>IF(A76="","",IFERROR(INDEX('Dashboard Items'!$E$2:$E$495,MATCH(A76,'Dashboard Items'!$A$2:$A$495,0)),"ID not found"))</f>
        <v/>
      </c>
      <c r="E76" s="99" t="str">
        <f>IF(D76="","",IFERROR(INDEX('Dashboard Items'!$C$2:$C$495,MATCH(D76,'Dashboard Items'!$A$2:$A$495,0)),"ID not found"))</f>
        <v/>
      </c>
      <c r="F76" s="99" t="str">
        <f>IF(D76="","",IFERROR(INDEX('Dashboard Items'!$F$2:$F$495,MATCH(D76,'Dashboard Items'!$A$2:$A$495,0)),"ID not found"))</f>
        <v/>
      </c>
    </row>
    <row r="77" spans="2:6" ht="15" customHeight="1" x14ac:dyDescent="0.2">
      <c r="B77" s="99" t="str">
        <f>IF(A77="","",IFERROR(INDEX('Dashboard Items'!$C$2:$C$495,MATCH(A77,'Dashboard Items'!$A$2:$A$495,0)),"ID not found"))</f>
        <v/>
      </c>
      <c r="C77" s="99" t="str">
        <f>IF(A77="","",IFERROR(INDEX('Dashboard Items'!$E$2:$E$495,MATCH(A77,'Dashboard Items'!$A$2:$A$495,0)),"ID not found"))</f>
        <v/>
      </c>
      <c r="E77" s="99" t="str">
        <f>IF(D77="","",IFERROR(INDEX('Dashboard Items'!$C$2:$C$495,MATCH(D77,'Dashboard Items'!$A$2:$A$495,0)),"ID not found"))</f>
        <v/>
      </c>
      <c r="F77" s="99" t="str">
        <f>IF(D77="","",IFERROR(INDEX('Dashboard Items'!$F$2:$F$495,MATCH(D77,'Dashboard Items'!$A$2:$A$495,0)),"ID not found"))</f>
        <v/>
      </c>
    </row>
    <row r="78" spans="2:6" ht="15" customHeight="1" x14ac:dyDescent="0.2">
      <c r="B78" s="99" t="str">
        <f>IF(A78="","",IFERROR(INDEX('Dashboard Items'!$C$2:$C$495,MATCH(A78,'Dashboard Items'!$A$2:$A$495,0)),"ID not found"))</f>
        <v/>
      </c>
      <c r="C78" s="99" t="str">
        <f>IF(A78="","",IFERROR(INDEX('Dashboard Items'!$E$2:$E$495,MATCH(A78,'Dashboard Items'!$A$2:$A$495,0)),"ID not found"))</f>
        <v/>
      </c>
      <c r="E78" s="99" t="str">
        <f>IF(D78="","",IFERROR(INDEX('Dashboard Items'!$C$2:$C$495,MATCH(D78,'Dashboard Items'!$A$2:$A$495,0)),"ID not found"))</f>
        <v/>
      </c>
      <c r="F78" s="99" t="str">
        <f>IF(D78="","",IFERROR(INDEX('Dashboard Items'!$F$2:$F$495,MATCH(D78,'Dashboard Items'!$A$2:$A$495,0)),"ID not found"))</f>
        <v/>
      </c>
    </row>
    <row r="79" spans="2:6" ht="15" customHeight="1" x14ac:dyDescent="0.2">
      <c r="B79" s="99" t="str">
        <f>IF(A79="","",IFERROR(INDEX('Dashboard Items'!$C$2:$C$495,MATCH(A79,'Dashboard Items'!$A$2:$A$495,0)),"ID not found"))</f>
        <v/>
      </c>
      <c r="C79" s="99" t="str">
        <f>IF(A79="","",IFERROR(INDEX('Dashboard Items'!$E$2:$E$495,MATCH(A79,'Dashboard Items'!$A$2:$A$495,0)),"ID not found"))</f>
        <v/>
      </c>
      <c r="E79" s="99" t="str">
        <f>IF(D79="","",IFERROR(INDEX('Dashboard Items'!$C$2:$C$495,MATCH(D79,'Dashboard Items'!$A$2:$A$495,0)),"ID not found"))</f>
        <v/>
      </c>
      <c r="F79" s="99" t="str">
        <f>IF(D79="","",IFERROR(INDEX('Dashboard Items'!$F$2:$F$495,MATCH(D79,'Dashboard Items'!$A$2:$A$495,0)),"ID not found"))</f>
        <v/>
      </c>
    </row>
    <row r="80" spans="2:6" ht="15" customHeight="1" x14ac:dyDescent="0.2">
      <c r="B80" s="99" t="str">
        <f>IF(A80="","",IFERROR(INDEX('Dashboard Items'!$C$2:$C$495,MATCH(A80,'Dashboard Items'!$A$2:$A$495,0)),"ID not found"))</f>
        <v/>
      </c>
      <c r="C80" s="99" t="str">
        <f>IF(A80="","",IFERROR(INDEX('Dashboard Items'!$E$2:$E$495,MATCH(A80,'Dashboard Items'!$A$2:$A$495,0)),"ID not found"))</f>
        <v/>
      </c>
      <c r="E80" s="99" t="str">
        <f>IF(D80="","",IFERROR(INDEX('Dashboard Items'!$C$2:$C$495,MATCH(D80,'Dashboard Items'!$A$2:$A$495,0)),"ID not found"))</f>
        <v/>
      </c>
      <c r="F80" s="99" t="str">
        <f>IF(D80="","",IFERROR(INDEX('Dashboard Items'!$F$2:$F$495,MATCH(D80,'Dashboard Items'!$A$2:$A$495,0)),"ID not found"))</f>
        <v/>
      </c>
    </row>
    <row r="81" spans="2:6" ht="15" customHeight="1" x14ac:dyDescent="0.2">
      <c r="B81" s="99" t="str">
        <f>IF(A81="","",IFERROR(INDEX('Dashboard Items'!$C$2:$C$495,MATCH(A81,'Dashboard Items'!$A$2:$A$495,0)),"ID not found"))</f>
        <v/>
      </c>
      <c r="C81" s="99" t="str">
        <f>IF(A81="","",IFERROR(INDEX('Dashboard Items'!$E$2:$E$495,MATCH(A81,'Dashboard Items'!$A$2:$A$495,0)),"ID not found"))</f>
        <v/>
      </c>
      <c r="E81" s="99" t="str">
        <f>IF(D81="","",IFERROR(INDEX('Dashboard Items'!$C$2:$C$495,MATCH(D81,'Dashboard Items'!$A$2:$A$495,0)),"ID not found"))</f>
        <v/>
      </c>
      <c r="F81" s="99" t="str">
        <f>IF(D81="","",IFERROR(INDEX('Dashboard Items'!$F$2:$F$495,MATCH(D81,'Dashboard Items'!$A$2:$A$495,0)),"ID not found"))</f>
        <v/>
      </c>
    </row>
    <row r="82" spans="2:6" ht="15" customHeight="1" x14ac:dyDescent="0.2">
      <c r="B82" s="99" t="str">
        <f>IF(A82="","",IFERROR(INDEX('Dashboard Items'!$C$2:$C$495,MATCH(A82,'Dashboard Items'!$A$2:$A$495,0)),"ID not found"))</f>
        <v/>
      </c>
      <c r="C82" s="99" t="str">
        <f>IF(A82="","",IFERROR(INDEX('Dashboard Items'!$E$2:$E$495,MATCH(A82,'Dashboard Items'!$A$2:$A$495,0)),"ID not found"))</f>
        <v/>
      </c>
      <c r="E82" s="99" t="str">
        <f>IF(D82="","",IFERROR(INDEX('Dashboard Items'!$C$2:$C$495,MATCH(D82,'Dashboard Items'!$A$2:$A$495,0)),"ID not found"))</f>
        <v/>
      </c>
      <c r="F82" s="99" t="str">
        <f>IF(D82="","",IFERROR(INDEX('Dashboard Items'!$F$2:$F$495,MATCH(D82,'Dashboard Items'!$A$2:$A$495,0)),"ID not found"))</f>
        <v/>
      </c>
    </row>
    <row r="83" spans="2:6" ht="15" customHeight="1" x14ac:dyDescent="0.2">
      <c r="B83" s="99" t="str">
        <f>IF(A83="","",IFERROR(INDEX('Dashboard Items'!$C$2:$C$495,MATCH(A83,'Dashboard Items'!$A$2:$A$495,0)),"ID not found"))</f>
        <v/>
      </c>
      <c r="C83" s="99" t="str">
        <f>IF(A83="","",IFERROR(INDEX('Dashboard Items'!$E$2:$E$495,MATCH(A83,'Dashboard Items'!$A$2:$A$495,0)),"ID not found"))</f>
        <v/>
      </c>
      <c r="E83" s="99" t="str">
        <f>IF(D83="","",IFERROR(INDEX('Dashboard Items'!$C$2:$C$495,MATCH(D83,'Dashboard Items'!$A$2:$A$495,0)),"ID not found"))</f>
        <v/>
      </c>
      <c r="F83" s="99" t="str">
        <f>IF(D83="","",IFERROR(INDEX('Dashboard Items'!$F$2:$F$495,MATCH(D83,'Dashboard Items'!$A$2:$A$495,0)),"ID not found"))</f>
        <v/>
      </c>
    </row>
    <row r="84" spans="2:6" ht="15" customHeight="1" x14ac:dyDescent="0.2">
      <c r="B84" s="99" t="str">
        <f>IF(A84="","",IFERROR(INDEX('Dashboard Items'!$C$2:$C$495,MATCH(A84,'Dashboard Items'!$A$2:$A$495,0)),"ID not found"))</f>
        <v/>
      </c>
      <c r="C84" s="99" t="str">
        <f>IF(A84="","",IFERROR(INDEX('Dashboard Items'!$E$2:$E$495,MATCH(A84,'Dashboard Items'!$A$2:$A$495,0)),"ID not found"))</f>
        <v/>
      </c>
      <c r="E84" s="99" t="str">
        <f>IF(D84="","",IFERROR(INDEX('Dashboard Items'!$C$2:$C$495,MATCH(D84,'Dashboard Items'!$A$2:$A$495,0)),"ID not found"))</f>
        <v/>
      </c>
      <c r="F84" s="99" t="str">
        <f>IF(D84="","",IFERROR(INDEX('Dashboard Items'!$F$2:$F$495,MATCH(D84,'Dashboard Items'!$A$2:$A$495,0)),"ID not found"))</f>
        <v/>
      </c>
    </row>
    <row r="85" spans="2:6" ht="15" customHeight="1" x14ac:dyDescent="0.2">
      <c r="B85" s="99" t="str">
        <f>IF(A85="","",IFERROR(INDEX('Dashboard Items'!$C$2:$C$495,MATCH(A85,'Dashboard Items'!$A$2:$A$495,0)),"ID not found"))</f>
        <v/>
      </c>
      <c r="C85" s="99" t="str">
        <f>IF(A85="","",IFERROR(INDEX('Dashboard Items'!$E$2:$E$495,MATCH(A85,'Dashboard Items'!$A$2:$A$495,0)),"ID not found"))</f>
        <v/>
      </c>
      <c r="E85" s="99" t="str">
        <f>IF(D85="","",IFERROR(INDEX('Dashboard Items'!$C$2:$C$495,MATCH(D85,'Dashboard Items'!$A$2:$A$495,0)),"ID not found"))</f>
        <v/>
      </c>
      <c r="F85" s="99" t="str">
        <f>IF(D85="","",IFERROR(INDEX('Dashboard Items'!$F$2:$F$495,MATCH(D85,'Dashboard Items'!$A$2:$A$495,0)),"ID not found"))</f>
        <v/>
      </c>
    </row>
    <row r="86" spans="2:6" ht="15" customHeight="1" x14ac:dyDescent="0.2">
      <c r="B86" s="99" t="str">
        <f>IF(A86="","",IFERROR(INDEX('Dashboard Items'!$C$2:$C$495,MATCH(A86,'Dashboard Items'!$A$2:$A$495,0)),"ID not found"))</f>
        <v/>
      </c>
      <c r="C86" s="99" t="str">
        <f>IF(A86="","",IFERROR(INDEX('Dashboard Items'!$E$2:$E$495,MATCH(A86,'Dashboard Items'!$A$2:$A$495,0)),"ID not found"))</f>
        <v/>
      </c>
      <c r="E86" s="99" t="str">
        <f>IF(D86="","",IFERROR(INDEX('Dashboard Items'!$C$2:$C$495,MATCH(D86,'Dashboard Items'!$A$2:$A$495,0)),"ID not found"))</f>
        <v/>
      </c>
      <c r="F86" s="99" t="str">
        <f>IF(D86="","",IFERROR(INDEX('Dashboard Items'!$F$2:$F$495,MATCH(D86,'Dashboard Items'!$A$2:$A$495,0)),"ID not found"))</f>
        <v/>
      </c>
    </row>
    <row r="87" spans="2:6" ht="15" customHeight="1" x14ac:dyDescent="0.2">
      <c r="B87" s="99" t="str">
        <f>IF(A87="","",IFERROR(INDEX('Dashboard Items'!$C$2:$C$495,MATCH(A87,'Dashboard Items'!$A$2:$A$495,0)),"ID not found"))</f>
        <v/>
      </c>
      <c r="C87" s="99" t="str">
        <f>IF(A87="","",IFERROR(INDEX('Dashboard Items'!$E$2:$E$495,MATCH(A87,'Dashboard Items'!$A$2:$A$495,0)),"ID not found"))</f>
        <v/>
      </c>
      <c r="E87" s="99" t="str">
        <f>IF(D87="","",IFERROR(INDEX('Dashboard Items'!$C$2:$C$495,MATCH(D87,'Dashboard Items'!$A$2:$A$495,0)),"ID not found"))</f>
        <v/>
      </c>
      <c r="F87" s="99" t="str">
        <f>IF(D87="","",IFERROR(INDEX('Dashboard Items'!$F$2:$F$495,MATCH(D87,'Dashboard Items'!$A$2:$A$495,0)),"ID not found"))</f>
        <v/>
      </c>
    </row>
    <row r="88" spans="2:6" ht="15" customHeight="1" x14ac:dyDescent="0.2">
      <c r="B88" s="99" t="str">
        <f>IF(A88="","",IFERROR(INDEX('Dashboard Items'!$C$2:$C$495,MATCH(A88,'Dashboard Items'!$A$2:$A$495,0)),"ID not found"))</f>
        <v/>
      </c>
      <c r="C88" s="99" t="str">
        <f>IF(A88="","",IFERROR(INDEX('Dashboard Items'!$E$2:$E$495,MATCH(A88,'Dashboard Items'!$A$2:$A$495,0)),"ID not found"))</f>
        <v/>
      </c>
      <c r="E88" s="99" t="str">
        <f>IF(D88="","",IFERROR(INDEX('Dashboard Items'!$C$2:$C$495,MATCH(D88,'Dashboard Items'!$A$2:$A$495,0)),"ID not found"))</f>
        <v/>
      </c>
      <c r="F88" s="99" t="str">
        <f>IF(D88="","",IFERROR(INDEX('Dashboard Items'!$F$2:$F$495,MATCH(D88,'Dashboard Items'!$A$2:$A$495,0)),"ID not found"))</f>
        <v/>
      </c>
    </row>
    <row r="89" spans="2:6" ht="15" customHeight="1" x14ac:dyDescent="0.2">
      <c r="B89" s="99" t="str">
        <f>IF(A89="","",IFERROR(INDEX('Dashboard Items'!$C$2:$C$495,MATCH(A89,'Dashboard Items'!$A$2:$A$495,0)),"ID not found"))</f>
        <v/>
      </c>
      <c r="C89" s="99" t="str">
        <f>IF(A89="","",IFERROR(INDEX('Dashboard Items'!$E$2:$E$495,MATCH(A89,'Dashboard Items'!$A$2:$A$495,0)),"ID not found"))</f>
        <v/>
      </c>
      <c r="E89" s="99" t="str">
        <f>IF(D89="","",IFERROR(INDEX('Dashboard Items'!$C$2:$C$495,MATCH(D89,'Dashboard Items'!$A$2:$A$495,0)),"ID not found"))</f>
        <v/>
      </c>
      <c r="F89" s="99" t="str">
        <f>IF(D89="","",IFERROR(INDEX('Dashboard Items'!$F$2:$F$495,MATCH(D89,'Dashboard Items'!$A$2:$A$495,0)),"ID not found"))</f>
        <v/>
      </c>
    </row>
    <row r="90" spans="2:6" ht="15" customHeight="1" x14ac:dyDescent="0.2">
      <c r="B90" s="99" t="str">
        <f>IF(A90="","",IFERROR(INDEX('Dashboard Items'!$C$2:$C$495,MATCH(A90,'Dashboard Items'!$A$2:$A$495,0)),"ID not found"))</f>
        <v/>
      </c>
      <c r="C90" s="99" t="str">
        <f>IF(A90="","",IFERROR(INDEX('Dashboard Items'!$E$2:$E$495,MATCH(A90,'Dashboard Items'!$A$2:$A$495,0)),"ID not found"))</f>
        <v/>
      </c>
      <c r="E90" s="99" t="str">
        <f>IF(D90="","",IFERROR(INDEX('Dashboard Items'!$C$2:$C$495,MATCH(D90,'Dashboard Items'!$A$2:$A$495,0)),"ID not found"))</f>
        <v/>
      </c>
      <c r="F90" s="99" t="str">
        <f>IF(D90="","",IFERROR(INDEX('Dashboard Items'!$F$2:$F$495,MATCH(D90,'Dashboard Items'!$A$2:$A$495,0)),"ID not found"))</f>
        <v/>
      </c>
    </row>
    <row r="91" spans="2:6" ht="15" customHeight="1" x14ac:dyDescent="0.2">
      <c r="B91" s="99" t="str">
        <f>IF(A91="","",IFERROR(INDEX('Dashboard Items'!$C$2:$C$495,MATCH(A91,'Dashboard Items'!$A$2:$A$495,0)),"ID not found"))</f>
        <v/>
      </c>
      <c r="C91" s="99" t="str">
        <f>IF(A91="","",IFERROR(INDEX('Dashboard Items'!$E$2:$E$495,MATCH(A91,'Dashboard Items'!$A$2:$A$495,0)),"ID not found"))</f>
        <v/>
      </c>
      <c r="E91" s="99" t="str">
        <f>IF(D91="","",IFERROR(INDEX('Dashboard Items'!$C$2:$C$495,MATCH(D91,'Dashboard Items'!$A$2:$A$495,0)),"ID not found"))</f>
        <v/>
      </c>
      <c r="F91" s="99" t="str">
        <f>IF(D91="","",IFERROR(INDEX('Dashboard Items'!$F$2:$F$495,MATCH(D91,'Dashboard Items'!$A$2:$A$495,0)),"ID not found"))</f>
        <v/>
      </c>
    </row>
    <row r="92" spans="2:6" ht="15" customHeight="1" x14ac:dyDescent="0.2">
      <c r="B92" s="99" t="str">
        <f>IF(A92="","",IFERROR(INDEX('Dashboard Items'!$C$2:$C$495,MATCH(A92,'Dashboard Items'!$A$2:$A$495,0)),"ID not found"))</f>
        <v/>
      </c>
      <c r="C92" s="99" t="str">
        <f>IF(A92="","",IFERROR(INDEX('Dashboard Items'!$E$2:$E$495,MATCH(A92,'Dashboard Items'!$A$2:$A$495,0)),"ID not found"))</f>
        <v/>
      </c>
      <c r="E92" s="99" t="str">
        <f>IF(D92="","",IFERROR(INDEX('Dashboard Items'!$C$2:$C$495,MATCH(D92,'Dashboard Items'!$A$2:$A$495,0)),"ID not found"))</f>
        <v/>
      </c>
      <c r="F92" s="99" t="str">
        <f>IF(D92="","",IFERROR(INDEX('Dashboard Items'!$F$2:$F$495,MATCH(D92,'Dashboard Items'!$A$2:$A$495,0)),"ID not found"))</f>
        <v/>
      </c>
    </row>
    <row r="93" spans="2:6" ht="15" customHeight="1" x14ac:dyDescent="0.2">
      <c r="B93" s="99" t="str">
        <f>IF(A93="","",IFERROR(INDEX('Dashboard Items'!$C$2:$C$495,MATCH(A93,'Dashboard Items'!$A$2:$A$495,0)),"ID not found"))</f>
        <v/>
      </c>
      <c r="C93" s="99" t="str">
        <f>IF(A93="","",IFERROR(INDEX('Dashboard Items'!$E$2:$E$495,MATCH(A93,'Dashboard Items'!$A$2:$A$495,0)),"ID not found"))</f>
        <v/>
      </c>
      <c r="E93" s="99" t="str">
        <f>IF(D93="","",IFERROR(INDEX('Dashboard Items'!$C$2:$C$495,MATCH(D93,'Dashboard Items'!$A$2:$A$495,0)),"ID not found"))</f>
        <v/>
      </c>
      <c r="F93" s="99" t="str">
        <f>IF(D93="","",IFERROR(INDEX('Dashboard Items'!$F$2:$F$495,MATCH(D93,'Dashboard Items'!$A$2:$A$495,0)),"ID not found"))</f>
        <v/>
      </c>
    </row>
    <row r="94" spans="2:6" ht="15" customHeight="1" x14ac:dyDescent="0.2">
      <c r="B94" s="99" t="str">
        <f>IF(A94="","",IFERROR(INDEX('Dashboard Items'!$C$2:$C$495,MATCH(A94,'Dashboard Items'!$A$2:$A$495,0)),"ID not found"))</f>
        <v/>
      </c>
      <c r="C94" s="99" t="str">
        <f>IF(A94="","",IFERROR(INDEX('Dashboard Items'!$E$2:$E$495,MATCH(A94,'Dashboard Items'!$A$2:$A$495,0)),"ID not found"))</f>
        <v/>
      </c>
      <c r="E94" s="99" t="str">
        <f>IF(D94="","",IFERROR(INDEX('Dashboard Items'!$C$2:$C$495,MATCH(D94,'Dashboard Items'!$A$2:$A$495,0)),"ID not found"))</f>
        <v/>
      </c>
      <c r="F94" s="99" t="str">
        <f>IF(D94="","",IFERROR(INDEX('Dashboard Items'!$F$2:$F$495,MATCH(D94,'Dashboard Items'!$A$2:$A$495,0)),"ID not found"))</f>
        <v/>
      </c>
    </row>
    <row r="95" spans="2:6" ht="15" customHeight="1" x14ac:dyDescent="0.2">
      <c r="B95" s="99" t="str">
        <f>IF(A95="","",IFERROR(INDEX('Dashboard Items'!$C$2:$C$495,MATCH(A95,'Dashboard Items'!$A$2:$A$495,0)),"ID not found"))</f>
        <v/>
      </c>
      <c r="C95" s="99" t="str">
        <f>IF(A95="","",IFERROR(INDEX('Dashboard Items'!$E$2:$E$495,MATCH(A95,'Dashboard Items'!$A$2:$A$495,0)),"ID not found"))</f>
        <v/>
      </c>
      <c r="E95" s="99" t="str">
        <f>IF(D95="","",IFERROR(INDEX('Dashboard Items'!$C$2:$C$495,MATCH(D95,'Dashboard Items'!$A$2:$A$495,0)),"ID not found"))</f>
        <v/>
      </c>
      <c r="F95" s="99" t="str">
        <f>IF(D95="","",IFERROR(INDEX('Dashboard Items'!$F$2:$F$495,MATCH(D95,'Dashboard Items'!$A$2:$A$495,0)),"ID not found"))</f>
        <v/>
      </c>
    </row>
    <row r="96" spans="2:6" ht="15" customHeight="1" x14ac:dyDescent="0.2">
      <c r="B96" s="99" t="str">
        <f>IF(A96="","",IFERROR(INDEX('Dashboard Items'!$C$2:$C$495,MATCH(A96,'Dashboard Items'!$A$2:$A$495,0)),"ID not found"))</f>
        <v/>
      </c>
      <c r="C96" s="99" t="str">
        <f>IF(A96="","",IFERROR(INDEX('Dashboard Items'!$E$2:$E$495,MATCH(A96,'Dashboard Items'!$A$2:$A$495,0)),"ID not found"))</f>
        <v/>
      </c>
      <c r="E96" s="99" t="str">
        <f>IF(D96="","",IFERROR(INDEX('Dashboard Items'!$C$2:$C$495,MATCH(D96,'Dashboard Items'!$A$2:$A$495,0)),"ID not found"))</f>
        <v/>
      </c>
      <c r="F96" s="99" t="str">
        <f>IF(D96="","",IFERROR(INDEX('Dashboard Items'!$F$2:$F$495,MATCH(D96,'Dashboard Items'!$A$2:$A$495,0)),"ID not found"))</f>
        <v/>
      </c>
    </row>
    <row r="97" spans="2:6" ht="15" customHeight="1" x14ac:dyDescent="0.2">
      <c r="B97" s="99" t="str">
        <f>IF(A97="","",IFERROR(INDEX('Dashboard Items'!$C$2:$C$495,MATCH(A97,'Dashboard Items'!$A$2:$A$495,0)),"ID not found"))</f>
        <v/>
      </c>
      <c r="C97" s="99" t="str">
        <f>IF(A97="","",IFERROR(INDEX('Dashboard Items'!$E$2:$E$495,MATCH(A97,'Dashboard Items'!$A$2:$A$495,0)),"ID not found"))</f>
        <v/>
      </c>
      <c r="E97" s="99" t="str">
        <f>IF(D97="","",IFERROR(INDEX('Dashboard Items'!$C$2:$C$495,MATCH(D97,'Dashboard Items'!$A$2:$A$495,0)),"ID not found"))</f>
        <v/>
      </c>
      <c r="F97" s="99" t="str">
        <f>IF(D97="","",IFERROR(INDEX('Dashboard Items'!$F$2:$F$495,MATCH(D97,'Dashboard Items'!$A$2:$A$495,0)),"ID not found"))</f>
        <v/>
      </c>
    </row>
    <row r="98" spans="2:6" ht="15" customHeight="1" x14ac:dyDescent="0.2">
      <c r="B98" s="99" t="str">
        <f>IF(A98="","",IFERROR(INDEX('Dashboard Items'!$C$2:$C$495,MATCH(A98,'Dashboard Items'!$A$2:$A$495,0)),"ID not found"))</f>
        <v/>
      </c>
      <c r="C98" s="99" t="str">
        <f>IF(A98="","",IFERROR(INDEX('Dashboard Items'!$E$2:$E$495,MATCH(A98,'Dashboard Items'!$A$2:$A$495,0)),"ID not found"))</f>
        <v/>
      </c>
      <c r="E98" s="99" t="str">
        <f>IF(D98="","",IFERROR(INDEX('Dashboard Items'!$C$2:$C$495,MATCH(D98,'Dashboard Items'!$A$2:$A$495,0)),"ID not found"))</f>
        <v/>
      </c>
      <c r="F98" s="99" t="str">
        <f>IF(D98="","",IFERROR(INDEX('Dashboard Items'!$F$2:$F$495,MATCH(D98,'Dashboard Items'!$A$2:$A$495,0)),"ID not found"))</f>
        <v/>
      </c>
    </row>
    <row r="99" spans="2:6" ht="15" customHeight="1" x14ac:dyDescent="0.2">
      <c r="B99" s="99" t="str">
        <f>IF(A99="","",IFERROR(INDEX('Dashboard Items'!$C$2:$C$495,MATCH(A99,'Dashboard Items'!$A$2:$A$495,0)),"ID not found"))</f>
        <v/>
      </c>
      <c r="C99" s="99" t="str">
        <f>IF(A99="","",IFERROR(INDEX('Dashboard Items'!$E$2:$E$495,MATCH(A99,'Dashboard Items'!$A$2:$A$495,0)),"ID not found"))</f>
        <v/>
      </c>
      <c r="E99" s="99" t="str">
        <f>IF(D99="","",IFERROR(INDEX('Dashboard Items'!$C$2:$C$495,MATCH(D99,'Dashboard Items'!$A$2:$A$495,0)),"ID not found"))</f>
        <v/>
      </c>
      <c r="F99" s="99" t="str">
        <f>IF(D99="","",IFERROR(INDEX('Dashboard Items'!$F$2:$F$495,MATCH(D99,'Dashboard Items'!$A$2:$A$495,0)),"ID not found"))</f>
        <v/>
      </c>
    </row>
    <row r="100" spans="2:6" ht="15" customHeight="1" x14ac:dyDescent="0.2">
      <c r="B100" s="99" t="str">
        <f>IF(A100="","",IFERROR(INDEX('Dashboard Items'!$C$2:$C$495,MATCH(A100,'Dashboard Items'!$A$2:$A$495,0)),"ID not found"))</f>
        <v/>
      </c>
      <c r="C100" s="99" t="str">
        <f>IF(A100="","",IFERROR(INDEX('Dashboard Items'!$E$2:$E$495,MATCH(A100,'Dashboard Items'!$A$2:$A$495,0)),"ID not found"))</f>
        <v/>
      </c>
      <c r="E100" s="99" t="str">
        <f>IF(D100="","",IFERROR(INDEX('Dashboard Items'!$C$2:$C$495,MATCH(D100,'Dashboard Items'!$A$2:$A$495,0)),"ID not found"))</f>
        <v/>
      </c>
      <c r="F100" s="99" t="str">
        <f>IF(D100="","",IFERROR(INDEX('Dashboard Items'!$F$2:$F$495,MATCH(D100,'Dashboard Items'!$A$2:$A$495,0)),"ID not found"))</f>
        <v/>
      </c>
    </row>
    <row r="101" spans="2:6" ht="15" customHeight="1" x14ac:dyDescent="0.2">
      <c r="B101" s="99" t="str">
        <f>IF(A101="","",IFERROR(INDEX('Dashboard Items'!$C$2:$C$495,MATCH(A101,'Dashboard Items'!$A$2:$A$495,0)),"ID not found"))</f>
        <v/>
      </c>
      <c r="C101" s="99" t="str">
        <f>IF(A101="","",IFERROR(INDEX('Dashboard Items'!$E$2:$E$495,MATCH(A101,'Dashboard Items'!$A$2:$A$495,0)),"ID not found"))</f>
        <v/>
      </c>
      <c r="E101" s="99" t="str">
        <f>IF(D101="","",IFERROR(INDEX('Dashboard Items'!$C$2:$C$495,MATCH(D101,'Dashboard Items'!$A$2:$A$495,0)),"ID not found"))</f>
        <v/>
      </c>
      <c r="F101" s="99" t="str">
        <f>IF(D101="","",IFERROR(INDEX('Dashboard Items'!$F$2:$F$495,MATCH(D101,'Dashboard Items'!$A$2:$A$495,0)),"ID not found"))</f>
        <v/>
      </c>
    </row>
    <row r="102" spans="2:6" ht="15" customHeight="1" x14ac:dyDescent="0.2">
      <c r="B102" s="99" t="str">
        <f>IF(A102="","",IFERROR(INDEX('Dashboard Items'!$C$2:$C$495,MATCH(A102,'Dashboard Items'!$A$2:$A$495,0)),"ID not found"))</f>
        <v/>
      </c>
      <c r="C102" s="99" t="str">
        <f>IF(A102="","",IFERROR(INDEX('Dashboard Items'!$E$2:$E$495,MATCH(A102,'Dashboard Items'!$A$2:$A$495,0)),"ID not found"))</f>
        <v/>
      </c>
      <c r="E102" s="99" t="str">
        <f>IF(D102="","",IFERROR(INDEX('Dashboard Items'!$C$2:$C$495,MATCH(D102,'Dashboard Items'!$A$2:$A$495,0)),"ID not found"))</f>
        <v/>
      </c>
      <c r="F102" s="99" t="str">
        <f>IF(D102="","",IFERROR(INDEX('Dashboard Items'!$F$2:$F$495,MATCH(D102,'Dashboard Items'!$A$2:$A$495,0)),"ID not found"))</f>
        <v/>
      </c>
    </row>
    <row r="103" spans="2:6" ht="15" customHeight="1" x14ac:dyDescent="0.2">
      <c r="B103" s="99" t="str">
        <f>IF(A103="","",IFERROR(INDEX('Dashboard Items'!$C$2:$C$495,MATCH(A103,'Dashboard Items'!$A$2:$A$495,0)),"ID not found"))</f>
        <v/>
      </c>
      <c r="C103" s="99" t="str">
        <f>IF(A103="","",IFERROR(INDEX('Dashboard Items'!$E$2:$E$495,MATCH(A103,'Dashboard Items'!$A$2:$A$495,0)),"ID not found"))</f>
        <v/>
      </c>
      <c r="E103" s="99" t="str">
        <f>IF(D103="","",IFERROR(INDEX('Dashboard Items'!$C$2:$C$495,MATCH(D103,'Dashboard Items'!$A$2:$A$495,0)),"ID not found"))</f>
        <v/>
      </c>
      <c r="F103" s="99" t="str">
        <f>IF(D103="","",IFERROR(INDEX('Dashboard Items'!$F$2:$F$495,MATCH(D103,'Dashboard Items'!$A$2:$A$495,0)),"ID not found"))</f>
        <v/>
      </c>
    </row>
    <row r="104" spans="2:6" ht="15" customHeight="1" x14ac:dyDescent="0.2">
      <c r="B104" s="99" t="str">
        <f>IF(A104="","",IFERROR(INDEX('Dashboard Items'!$C$2:$C$495,MATCH(A104,'Dashboard Items'!$A$2:$A$495,0)),"ID not found"))</f>
        <v/>
      </c>
      <c r="C104" s="99" t="str">
        <f>IF(A104="","",IFERROR(INDEX('Dashboard Items'!$E$2:$E$495,MATCH(A104,'Dashboard Items'!$A$2:$A$495,0)),"ID not found"))</f>
        <v/>
      </c>
      <c r="E104" s="99" t="str">
        <f>IF(D104="","",IFERROR(INDEX('Dashboard Items'!$C$2:$C$495,MATCH(D104,'Dashboard Items'!$A$2:$A$495,0)),"ID not found"))</f>
        <v/>
      </c>
      <c r="F104" s="99" t="str">
        <f>IF(D104="","",IFERROR(INDEX('Dashboard Items'!$F$2:$F$495,MATCH(D104,'Dashboard Items'!$A$2:$A$495,0)),"ID not found"))</f>
        <v/>
      </c>
    </row>
    <row r="105" spans="2:6" ht="15" customHeight="1" x14ac:dyDescent="0.2">
      <c r="B105" s="99" t="str">
        <f>IF(A105="","",IFERROR(INDEX('Dashboard Items'!$C$2:$C$495,MATCH(A105,'Dashboard Items'!$A$2:$A$495,0)),"ID not found"))</f>
        <v/>
      </c>
      <c r="C105" s="99" t="str">
        <f>IF(A105="","",IFERROR(INDEX('Dashboard Items'!$E$2:$E$495,MATCH(A105,'Dashboard Items'!$A$2:$A$495,0)),"ID not found"))</f>
        <v/>
      </c>
      <c r="E105" s="99" t="str">
        <f>IF(D105="","",IFERROR(INDEX('Dashboard Items'!$C$2:$C$495,MATCH(D105,'Dashboard Items'!$A$2:$A$495,0)),"ID not found"))</f>
        <v/>
      </c>
      <c r="F105" s="99" t="str">
        <f>IF(D105="","",IFERROR(INDEX('Dashboard Items'!$F$2:$F$495,MATCH(D105,'Dashboard Items'!$A$2:$A$495,0)),"ID not found"))</f>
        <v/>
      </c>
    </row>
    <row r="106" spans="2:6" ht="15" customHeight="1" x14ac:dyDescent="0.2">
      <c r="B106" s="99" t="str">
        <f>IF(A106="","",IFERROR(INDEX('Dashboard Items'!$C$2:$C$495,MATCH(A106,'Dashboard Items'!$A$2:$A$495,0)),"ID not found"))</f>
        <v/>
      </c>
      <c r="C106" s="99" t="str">
        <f>IF(A106="","",IFERROR(INDEX('Dashboard Items'!$E$2:$E$495,MATCH(A106,'Dashboard Items'!$A$2:$A$495,0)),"ID not found"))</f>
        <v/>
      </c>
      <c r="E106" s="99" t="str">
        <f>IF(D106="","",IFERROR(INDEX('Dashboard Items'!$C$2:$C$495,MATCH(D106,'Dashboard Items'!$A$2:$A$495,0)),"ID not found"))</f>
        <v/>
      </c>
      <c r="F106" s="99" t="str">
        <f>IF(D106="","",IFERROR(INDEX('Dashboard Items'!$F$2:$F$495,MATCH(D106,'Dashboard Items'!$A$2:$A$495,0)),"ID not found"))</f>
        <v/>
      </c>
    </row>
    <row r="107" spans="2:6" ht="15" customHeight="1" x14ac:dyDescent="0.2">
      <c r="B107" s="99" t="str">
        <f>IF(A107="","",IFERROR(INDEX('Dashboard Items'!$C$2:$C$495,MATCH(A107,'Dashboard Items'!$A$2:$A$495,0)),"ID not found"))</f>
        <v/>
      </c>
      <c r="C107" s="99" t="str">
        <f>IF(A107="","",IFERROR(INDEX('Dashboard Items'!$E$2:$E$495,MATCH(A107,'Dashboard Items'!$A$2:$A$495,0)),"ID not found"))</f>
        <v/>
      </c>
      <c r="E107" s="99" t="str">
        <f>IF(D107="","",IFERROR(INDEX('Dashboard Items'!$C$2:$C$495,MATCH(D107,'Dashboard Items'!$A$2:$A$495,0)),"ID not found"))</f>
        <v/>
      </c>
      <c r="F107" s="99" t="str">
        <f>IF(D107="","",IFERROR(INDEX('Dashboard Items'!$F$2:$F$495,MATCH(D107,'Dashboard Items'!$A$2:$A$495,0)),"ID not found"))</f>
        <v/>
      </c>
    </row>
    <row r="108" spans="2:6" ht="15" customHeight="1" x14ac:dyDescent="0.2">
      <c r="B108" s="99" t="str">
        <f>IF(A108="","",IFERROR(INDEX('Dashboard Items'!$C$2:$C$495,MATCH(A108,'Dashboard Items'!$A$2:$A$495,0)),"ID not found"))</f>
        <v/>
      </c>
      <c r="C108" s="99" t="str">
        <f>IF(A108="","",IFERROR(INDEX('Dashboard Items'!$E$2:$E$495,MATCH(A108,'Dashboard Items'!$A$2:$A$495,0)),"ID not found"))</f>
        <v/>
      </c>
      <c r="E108" s="99" t="str">
        <f>IF(D108="","",IFERROR(INDEX('Dashboard Items'!$C$2:$C$495,MATCH(D108,'Dashboard Items'!$A$2:$A$495,0)),"ID not found"))</f>
        <v/>
      </c>
      <c r="F108" s="99" t="str">
        <f>IF(D108="","",IFERROR(INDEX('Dashboard Items'!$F$2:$F$495,MATCH(D108,'Dashboard Items'!$A$2:$A$495,0)),"ID not found"))</f>
        <v/>
      </c>
    </row>
    <row r="109" spans="2:6" ht="15" customHeight="1" x14ac:dyDescent="0.2">
      <c r="B109" s="99" t="str">
        <f>IF(A109="","",IFERROR(INDEX('Dashboard Items'!$C$2:$C$495,MATCH(A109,'Dashboard Items'!$A$2:$A$495,0)),"ID not found"))</f>
        <v/>
      </c>
      <c r="C109" s="99" t="str">
        <f>IF(A109="","",IFERROR(INDEX('Dashboard Items'!$E$2:$E$495,MATCH(A109,'Dashboard Items'!$A$2:$A$495,0)),"ID not found"))</f>
        <v/>
      </c>
      <c r="E109" s="99" t="str">
        <f>IF(D109="","",IFERROR(INDEX('Dashboard Items'!$C$2:$C$495,MATCH(D109,'Dashboard Items'!$A$2:$A$495,0)),"ID not found"))</f>
        <v/>
      </c>
      <c r="F109" s="99" t="str">
        <f>IF(D109="","",IFERROR(INDEX('Dashboard Items'!$F$2:$F$495,MATCH(D109,'Dashboard Items'!$A$2:$A$495,0)),"ID not found"))</f>
        <v/>
      </c>
    </row>
    <row r="110" spans="2:6" ht="15" customHeight="1" x14ac:dyDescent="0.2">
      <c r="B110" s="99" t="str">
        <f>IF(A110="","",IFERROR(INDEX('Dashboard Items'!$C$2:$C$495,MATCH(A110,'Dashboard Items'!$A$2:$A$495,0)),"ID not found"))</f>
        <v/>
      </c>
      <c r="C110" s="99" t="str">
        <f>IF(A110="","",IFERROR(INDEX('Dashboard Items'!$E$2:$E$495,MATCH(A110,'Dashboard Items'!$A$2:$A$495,0)),"ID not found"))</f>
        <v/>
      </c>
      <c r="E110" s="99" t="str">
        <f>IF(D110="","",IFERROR(INDEX('Dashboard Items'!$C$2:$C$495,MATCH(D110,'Dashboard Items'!$A$2:$A$495,0)),"ID not found"))</f>
        <v/>
      </c>
      <c r="F110" s="99" t="str">
        <f>IF(D110="","",IFERROR(INDEX('Dashboard Items'!$F$2:$F$495,MATCH(D110,'Dashboard Items'!$A$2:$A$495,0)),"ID not found"))</f>
        <v/>
      </c>
    </row>
    <row r="111" spans="2:6" ht="15" customHeight="1" x14ac:dyDescent="0.2">
      <c r="B111" s="99" t="str">
        <f>IF(A111="","",IFERROR(INDEX('Dashboard Items'!$C$2:$C$495,MATCH(A111,'Dashboard Items'!$A$2:$A$495,0)),"ID not found"))</f>
        <v/>
      </c>
      <c r="C111" s="99" t="str">
        <f>IF(A111="","",IFERROR(INDEX('Dashboard Items'!$E$2:$E$495,MATCH(A111,'Dashboard Items'!$A$2:$A$495,0)),"ID not found"))</f>
        <v/>
      </c>
      <c r="E111" s="99" t="str">
        <f>IF(D111="","",IFERROR(INDEX('Dashboard Items'!$C$2:$C$495,MATCH(D111,'Dashboard Items'!$A$2:$A$495,0)),"ID not found"))</f>
        <v/>
      </c>
      <c r="F111" s="99" t="str">
        <f>IF(D111="","",IFERROR(INDEX('Dashboard Items'!$F$2:$F$495,MATCH(D111,'Dashboard Items'!$A$2:$A$495,0)),"ID not found"))</f>
        <v/>
      </c>
    </row>
    <row r="112" spans="2:6" ht="15" customHeight="1" x14ac:dyDescent="0.2">
      <c r="B112" s="99" t="str">
        <f>IF(A112="","",IFERROR(INDEX('Dashboard Items'!$C$2:$C$495,MATCH(A112,'Dashboard Items'!$A$2:$A$495,0)),"ID not found"))</f>
        <v/>
      </c>
      <c r="C112" s="99" t="str">
        <f>IF(A112="","",IFERROR(INDEX('Dashboard Items'!$E$2:$E$495,MATCH(A112,'Dashboard Items'!$A$2:$A$495,0)),"ID not found"))</f>
        <v/>
      </c>
      <c r="E112" s="99" t="str">
        <f>IF(D112="","",IFERROR(INDEX('Dashboard Items'!$C$2:$C$495,MATCH(D112,'Dashboard Items'!$A$2:$A$495,0)),"ID not found"))</f>
        <v/>
      </c>
      <c r="F112" s="99" t="str">
        <f>IF(D112="","",IFERROR(INDEX('Dashboard Items'!$F$2:$F$495,MATCH(D112,'Dashboard Items'!$A$2:$A$495,0)),"ID not found"))</f>
        <v/>
      </c>
    </row>
    <row r="113" spans="2:6" ht="15" customHeight="1" x14ac:dyDescent="0.2">
      <c r="B113" s="99" t="str">
        <f>IF(A113="","",IFERROR(INDEX('Dashboard Items'!$C$2:$C$495,MATCH(A113,'Dashboard Items'!$A$2:$A$495,0)),"ID not found"))</f>
        <v/>
      </c>
      <c r="C113" s="99" t="str">
        <f>IF(A113="","",IFERROR(INDEX('Dashboard Items'!$E$2:$E$495,MATCH(A113,'Dashboard Items'!$A$2:$A$495,0)),"ID not found"))</f>
        <v/>
      </c>
      <c r="E113" s="99" t="str">
        <f>IF(D113="","",IFERROR(INDEX('Dashboard Items'!$C$2:$C$495,MATCH(D113,'Dashboard Items'!$A$2:$A$495,0)),"ID not found"))</f>
        <v/>
      </c>
      <c r="F113" s="99" t="str">
        <f>IF(D113="","",IFERROR(INDEX('Dashboard Items'!$F$2:$F$495,MATCH(D113,'Dashboard Items'!$A$2:$A$495,0)),"ID not found"))</f>
        <v/>
      </c>
    </row>
    <row r="114" spans="2:6" ht="15" customHeight="1" x14ac:dyDescent="0.2">
      <c r="B114" s="99" t="str">
        <f>IF(A114="","",IFERROR(INDEX('Dashboard Items'!$C$2:$C$495,MATCH(A114,'Dashboard Items'!$A$2:$A$495,0)),"ID not found"))</f>
        <v/>
      </c>
      <c r="C114" s="99" t="str">
        <f>IF(A114="","",IFERROR(INDEX('Dashboard Items'!$E$2:$E$495,MATCH(A114,'Dashboard Items'!$A$2:$A$495,0)),"ID not found"))</f>
        <v/>
      </c>
      <c r="E114" s="99" t="str">
        <f>IF(D114="","",IFERROR(INDEX('Dashboard Items'!$C$2:$C$495,MATCH(D114,'Dashboard Items'!$A$2:$A$495,0)),"ID not found"))</f>
        <v/>
      </c>
      <c r="F114" s="99" t="str">
        <f>IF(D114="","",IFERROR(INDEX('Dashboard Items'!$F$2:$F$495,MATCH(D114,'Dashboard Items'!$A$2:$A$495,0)),"ID not found"))</f>
        <v/>
      </c>
    </row>
    <row r="115" spans="2:6" ht="15" customHeight="1" x14ac:dyDescent="0.2">
      <c r="B115" s="99" t="str">
        <f>IF(A115="","",IFERROR(INDEX('Dashboard Items'!$C$2:$C$495,MATCH(A115,'Dashboard Items'!$A$2:$A$495,0)),"ID not found"))</f>
        <v/>
      </c>
      <c r="C115" s="99" t="str">
        <f>IF(A115="","",IFERROR(INDEX('Dashboard Items'!$E$2:$E$495,MATCH(A115,'Dashboard Items'!$A$2:$A$495,0)),"ID not found"))</f>
        <v/>
      </c>
      <c r="E115" s="99" t="str">
        <f>IF(D115="","",IFERROR(INDEX('Dashboard Items'!$C$2:$C$495,MATCH(D115,'Dashboard Items'!$A$2:$A$495,0)),"ID not found"))</f>
        <v/>
      </c>
      <c r="F115" s="99" t="str">
        <f>IF(D115="","",IFERROR(INDEX('Dashboard Items'!$F$2:$F$495,MATCH(D115,'Dashboard Items'!$A$2:$A$495,0)),"ID not found"))</f>
        <v/>
      </c>
    </row>
    <row r="116" spans="2:6" ht="15" customHeight="1" x14ac:dyDescent="0.2">
      <c r="B116" s="99" t="str">
        <f>IF(A116="","",IFERROR(INDEX('Dashboard Items'!$C$2:$C$495,MATCH(A116,'Dashboard Items'!$A$2:$A$495,0)),"ID not found"))</f>
        <v/>
      </c>
      <c r="C116" s="99" t="str">
        <f>IF(A116="","",IFERROR(INDEX('Dashboard Items'!$E$2:$E$495,MATCH(A116,'Dashboard Items'!$A$2:$A$495,0)),"ID not found"))</f>
        <v/>
      </c>
      <c r="E116" s="99" t="str">
        <f>IF(D116="","",IFERROR(INDEX('Dashboard Items'!$C$2:$C$495,MATCH(D116,'Dashboard Items'!$A$2:$A$495,0)),"ID not found"))</f>
        <v/>
      </c>
      <c r="F116" s="99" t="str">
        <f>IF(D116="","",IFERROR(INDEX('Dashboard Items'!$F$2:$F$495,MATCH(D116,'Dashboard Items'!$A$2:$A$495,0)),"ID not found"))</f>
        <v/>
      </c>
    </row>
    <row r="117" spans="2:6" ht="15" customHeight="1" x14ac:dyDescent="0.2">
      <c r="B117" s="99" t="str">
        <f>IF(A117="","",IFERROR(INDEX('Dashboard Items'!$C$2:$C$495,MATCH(A117,'Dashboard Items'!$A$2:$A$495,0)),"ID not found"))</f>
        <v/>
      </c>
      <c r="C117" s="99" t="str">
        <f>IF(A117="","",IFERROR(INDEX('Dashboard Items'!$E$2:$E$495,MATCH(A117,'Dashboard Items'!$A$2:$A$495,0)),"ID not found"))</f>
        <v/>
      </c>
      <c r="E117" s="99" t="str">
        <f>IF(D117="","",IFERROR(INDEX('Dashboard Items'!$C$2:$C$495,MATCH(D117,'Dashboard Items'!$A$2:$A$495,0)),"ID not found"))</f>
        <v/>
      </c>
      <c r="F117" s="99" t="str">
        <f>IF(D117="","",IFERROR(INDEX('Dashboard Items'!$F$2:$F$495,MATCH(D117,'Dashboard Items'!$A$2:$A$495,0)),"ID not found"))</f>
        <v/>
      </c>
    </row>
    <row r="118" spans="2:6" ht="15" customHeight="1" x14ac:dyDescent="0.2">
      <c r="B118" s="99" t="str">
        <f>IF(A118="","",IFERROR(INDEX('Dashboard Items'!$C$2:$C$495,MATCH(A118,'Dashboard Items'!$A$2:$A$495,0)),"ID not found"))</f>
        <v/>
      </c>
      <c r="C118" s="99" t="str">
        <f>IF(A118="","",IFERROR(INDEX('Dashboard Items'!$E$2:$E$495,MATCH(A118,'Dashboard Items'!$A$2:$A$495,0)),"ID not found"))</f>
        <v/>
      </c>
      <c r="E118" s="99" t="str">
        <f>IF(D118="","",IFERROR(INDEX('Dashboard Items'!$C$2:$C$495,MATCH(D118,'Dashboard Items'!$A$2:$A$495,0)),"ID not found"))</f>
        <v/>
      </c>
      <c r="F118" s="99" t="str">
        <f>IF(D118="","",IFERROR(INDEX('Dashboard Items'!$F$2:$F$495,MATCH(D118,'Dashboard Items'!$A$2:$A$495,0)),"ID not found"))</f>
        <v/>
      </c>
    </row>
    <row r="119" spans="2:6" ht="15" customHeight="1" x14ac:dyDescent="0.2">
      <c r="B119" s="99" t="str">
        <f>IF(A119="","",IFERROR(INDEX('Dashboard Items'!$C$2:$C$495,MATCH(A119,'Dashboard Items'!$A$2:$A$495,0)),"ID not found"))</f>
        <v/>
      </c>
      <c r="C119" s="99" t="str">
        <f>IF(A119="","",IFERROR(INDEX('Dashboard Items'!$E$2:$E$495,MATCH(A119,'Dashboard Items'!$A$2:$A$495,0)),"ID not found"))</f>
        <v/>
      </c>
      <c r="E119" s="99" t="str">
        <f>IF(D119="","",IFERROR(INDEX('Dashboard Items'!$C$2:$C$495,MATCH(D119,'Dashboard Items'!$A$2:$A$495,0)),"ID not found"))</f>
        <v/>
      </c>
      <c r="F119" s="99" t="str">
        <f>IF(D119="","",IFERROR(INDEX('Dashboard Items'!$F$2:$F$495,MATCH(D119,'Dashboard Items'!$A$2:$A$495,0)),"ID not found"))</f>
        <v/>
      </c>
    </row>
    <row r="120" spans="2:6" ht="15" customHeight="1" x14ac:dyDescent="0.2">
      <c r="B120" s="99" t="str">
        <f>IF(A120="","",IFERROR(INDEX('Dashboard Items'!$C$2:$C$495,MATCH(A120,'Dashboard Items'!$A$2:$A$495,0)),"ID not found"))</f>
        <v/>
      </c>
      <c r="C120" s="99" t="str">
        <f>IF(A120="","",IFERROR(INDEX('Dashboard Items'!$E$2:$E$495,MATCH(A120,'Dashboard Items'!$A$2:$A$495,0)),"ID not found"))</f>
        <v/>
      </c>
      <c r="E120" s="99" t="str">
        <f>IF(D120="","",IFERROR(INDEX('Dashboard Items'!$C$2:$C$495,MATCH(D120,'Dashboard Items'!$A$2:$A$495,0)),"ID not found"))</f>
        <v/>
      </c>
      <c r="F120" s="99" t="str">
        <f>IF(D120="","",IFERROR(INDEX('Dashboard Items'!$F$2:$F$495,MATCH(D120,'Dashboard Items'!$A$2:$A$495,0)),"ID not found"))</f>
        <v/>
      </c>
    </row>
    <row r="121" spans="2:6" ht="15" customHeight="1" x14ac:dyDescent="0.2">
      <c r="B121" s="99" t="str">
        <f>IF(A121="","",IFERROR(INDEX('Dashboard Items'!$C$2:$C$495,MATCH(A121,'Dashboard Items'!$A$2:$A$495,0)),"ID not found"))</f>
        <v/>
      </c>
      <c r="C121" s="99" t="str">
        <f>IF(A121="","",IFERROR(INDEX('Dashboard Items'!$E$2:$E$495,MATCH(A121,'Dashboard Items'!$A$2:$A$495,0)),"ID not found"))</f>
        <v/>
      </c>
      <c r="E121" s="99" t="str">
        <f>IF(D121="","",IFERROR(INDEX('Dashboard Items'!$C$2:$C$495,MATCH(D121,'Dashboard Items'!$A$2:$A$495,0)),"ID not found"))</f>
        <v/>
      </c>
      <c r="F121" s="99" t="str">
        <f>IF(D121="","",IFERROR(INDEX('Dashboard Items'!$F$2:$F$495,MATCH(D121,'Dashboard Items'!$A$2:$A$495,0)),"ID not found"))</f>
        <v/>
      </c>
    </row>
    <row r="122" spans="2:6" ht="15" customHeight="1" x14ac:dyDescent="0.2">
      <c r="B122" s="99" t="str">
        <f>IF(A122="","",IFERROR(INDEX('Dashboard Items'!$C$2:$C$495,MATCH(A122,'Dashboard Items'!$A$2:$A$495,0)),"ID not found"))</f>
        <v/>
      </c>
      <c r="C122" s="99" t="str">
        <f>IF(A122="","",IFERROR(INDEX('Dashboard Items'!$E$2:$E$495,MATCH(A122,'Dashboard Items'!$A$2:$A$495,0)),"ID not found"))</f>
        <v/>
      </c>
      <c r="E122" s="99" t="str">
        <f>IF(D122="","",IFERROR(INDEX('Dashboard Items'!$C$2:$C$495,MATCH(D122,'Dashboard Items'!$A$2:$A$495,0)),"ID not found"))</f>
        <v/>
      </c>
      <c r="F122" s="99" t="str">
        <f>IF(D122="","",IFERROR(INDEX('Dashboard Items'!$F$2:$F$495,MATCH(D122,'Dashboard Items'!$A$2:$A$495,0)),"ID not found"))</f>
        <v/>
      </c>
    </row>
    <row r="123" spans="2:6" ht="15" customHeight="1" x14ac:dyDescent="0.2">
      <c r="B123" s="99" t="str">
        <f>IF(A123="","",IFERROR(INDEX('Dashboard Items'!$C$2:$C$495,MATCH(A123,'Dashboard Items'!$A$2:$A$495,0)),"ID not found"))</f>
        <v/>
      </c>
      <c r="C123" s="99" t="str">
        <f>IF(A123="","",IFERROR(INDEX('Dashboard Items'!$E$2:$E$495,MATCH(A123,'Dashboard Items'!$A$2:$A$495,0)),"ID not found"))</f>
        <v/>
      </c>
      <c r="E123" s="99" t="str">
        <f>IF(D123="","",IFERROR(INDEX('Dashboard Items'!$C$2:$C$495,MATCH(D123,'Dashboard Items'!$A$2:$A$495,0)),"ID not found"))</f>
        <v/>
      </c>
      <c r="F123" s="99" t="str">
        <f>IF(D123="","",IFERROR(INDEX('Dashboard Items'!$F$2:$F$495,MATCH(D123,'Dashboard Items'!$A$2:$A$495,0)),"ID not found"))</f>
        <v/>
      </c>
    </row>
    <row r="124" spans="2:6" ht="15" customHeight="1" x14ac:dyDescent="0.2">
      <c r="B124" s="99" t="str">
        <f>IF(A124="","",IFERROR(INDEX('Dashboard Items'!$C$2:$C$495,MATCH(A124,'Dashboard Items'!$A$2:$A$495,0)),"ID not found"))</f>
        <v/>
      </c>
      <c r="C124" s="99" t="str">
        <f>IF(A124="","",IFERROR(INDEX('Dashboard Items'!$E$2:$E$495,MATCH(A124,'Dashboard Items'!$A$2:$A$495,0)),"ID not found"))</f>
        <v/>
      </c>
      <c r="E124" s="99" t="str">
        <f>IF(D124="","",IFERROR(INDEX('Dashboard Items'!$C$2:$C$495,MATCH(D124,'Dashboard Items'!$A$2:$A$495,0)),"ID not found"))</f>
        <v/>
      </c>
      <c r="F124" s="99" t="str">
        <f>IF(D124="","",IFERROR(INDEX('Dashboard Items'!$F$2:$F$495,MATCH(D124,'Dashboard Items'!$A$2:$A$495,0)),"ID not found"))</f>
        <v/>
      </c>
    </row>
    <row r="125" spans="2:6" ht="15" customHeight="1" x14ac:dyDescent="0.2">
      <c r="B125" s="99" t="str">
        <f>IF(A125="","",IFERROR(INDEX('Dashboard Items'!$C$2:$C$495,MATCH(A125,'Dashboard Items'!$A$2:$A$495,0)),"ID not found"))</f>
        <v/>
      </c>
      <c r="C125" s="99" t="str">
        <f>IF(A125="","",IFERROR(INDEX('Dashboard Items'!$E$2:$E$495,MATCH(A125,'Dashboard Items'!$A$2:$A$495,0)),"ID not found"))</f>
        <v/>
      </c>
      <c r="E125" s="99" t="str">
        <f>IF(D125="","",IFERROR(INDEX('Dashboard Items'!$C$2:$C$495,MATCH(D125,'Dashboard Items'!$A$2:$A$495,0)),"ID not found"))</f>
        <v/>
      </c>
      <c r="F125" s="99" t="str">
        <f>IF(D125="","",IFERROR(INDEX('Dashboard Items'!$F$2:$F$495,MATCH(D125,'Dashboard Items'!$A$2:$A$495,0)),"ID not found"))</f>
        <v/>
      </c>
    </row>
    <row r="126" spans="2:6" ht="15" customHeight="1" x14ac:dyDescent="0.2">
      <c r="B126" s="99" t="str">
        <f>IF(A126="","",IFERROR(INDEX('Dashboard Items'!$C$2:$C$495,MATCH(A126,'Dashboard Items'!$A$2:$A$495,0)),"ID not found"))</f>
        <v/>
      </c>
      <c r="C126" s="99" t="str">
        <f>IF(A126="","",IFERROR(INDEX('Dashboard Items'!$E$2:$E$495,MATCH(A126,'Dashboard Items'!$A$2:$A$495,0)),"ID not found"))</f>
        <v/>
      </c>
      <c r="E126" s="99" t="str">
        <f>IF(D126="","",IFERROR(INDEX('Dashboard Items'!$C$2:$C$495,MATCH(D126,'Dashboard Items'!$A$2:$A$495,0)),"ID not found"))</f>
        <v/>
      </c>
      <c r="F126" s="99" t="str">
        <f>IF(D126="","",IFERROR(INDEX('Dashboard Items'!$F$2:$F$495,MATCH(D126,'Dashboard Items'!$A$2:$A$495,0)),"ID not found"))</f>
        <v/>
      </c>
    </row>
    <row r="127" spans="2:6" ht="15" customHeight="1" x14ac:dyDescent="0.2">
      <c r="B127" s="99" t="str">
        <f>IF(A127="","",IFERROR(INDEX('Dashboard Items'!$C$2:$C$495,MATCH(A127,'Dashboard Items'!$A$2:$A$495,0)),"ID not found"))</f>
        <v/>
      </c>
      <c r="C127" s="99" t="str">
        <f>IF(A127="","",IFERROR(INDEX('Dashboard Items'!$E$2:$E$495,MATCH(A127,'Dashboard Items'!$A$2:$A$495,0)),"ID not found"))</f>
        <v/>
      </c>
      <c r="E127" s="99" t="str">
        <f>IF(D127="","",IFERROR(INDEX('Dashboard Items'!$C$2:$C$495,MATCH(D127,'Dashboard Items'!$A$2:$A$495,0)),"ID not found"))</f>
        <v/>
      </c>
      <c r="F127" s="99" t="str">
        <f>IF(D127="","",IFERROR(INDEX('Dashboard Items'!$F$2:$F$495,MATCH(D127,'Dashboard Items'!$A$2:$A$495,0)),"ID not found"))</f>
        <v/>
      </c>
    </row>
    <row r="128" spans="2:6" ht="15" customHeight="1" x14ac:dyDescent="0.2">
      <c r="B128" s="99" t="str">
        <f>IF(A128="","",IFERROR(INDEX('Dashboard Items'!$C$2:$C$495,MATCH(A128,'Dashboard Items'!$A$2:$A$495,0)),"ID not found"))</f>
        <v/>
      </c>
      <c r="C128" s="99" t="str">
        <f>IF(A128="","",IFERROR(INDEX('Dashboard Items'!$E$2:$E$495,MATCH(A128,'Dashboard Items'!$A$2:$A$495,0)),"ID not found"))</f>
        <v/>
      </c>
      <c r="E128" s="99" t="str">
        <f>IF(D128="","",IFERROR(INDEX('Dashboard Items'!$C$2:$C$495,MATCH(D128,'Dashboard Items'!$A$2:$A$495,0)),"ID not found"))</f>
        <v/>
      </c>
      <c r="F128" s="99" t="str">
        <f>IF(D128="","",IFERROR(INDEX('Dashboard Items'!$F$2:$F$495,MATCH(D128,'Dashboard Items'!$A$2:$A$495,0)),"ID not found"))</f>
        <v/>
      </c>
    </row>
    <row r="129" spans="2:6" ht="15" customHeight="1" x14ac:dyDescent="0.2">
      <c r="B129" s="99" t="str">
        <f>IF(A129="","",IFERROR(INDEX('Dashboard Items'!$C$2:$C$495,MATCH(A129,'Dashboard Items'!$A$2:$A$495,0)),"ID not found"))</f>
        <v/>
      </c>
      <c r="C129" s="99" t="str">
        <f>IF(A129="","",IFERROR(INDEX('Dashboard Items'!$E$2:$E$495,MATCH(A129,'Dashboard Items'!$A$2:$A$495,0)),"ID not found"))</f>
        <v/>
      </c>
      <c r="E129" s="99" t="str">
        <f>IF(D129="","",IFERROR(INDEX('Dashboard Items'!$C$2:$C$495,MATCH(D129,'Dashboard Items'!$A$2:$A$495,0)),"ID not found"))</f>
        <v/>
      </c>
      <c r="F129" s="99" t="str">
        <f>IF(D129="","",IFERROR(INDEX('Dashboard Items'!$F$2:$F$495,MATCH(D129,'Dashboard Items'!$A$2:$A$495,0)),"ID not found"))</f>
        <v/>
      </c>
    </row>
    <row r="130" spans="2:6" ht="15" customHeight="1" x14ac:dyDescent="0.2">
      <c r="B130" s="99" t="str">
        <f>IF(A130="","",IFERROR(INDEX('Dashboard Items'!$C$2:$C$495,MATCH(A130,'Dashboard Items'!$A$2:$A$495,0)),"ID not found"))</f>
        <v/>
      </c>
      <c r="C130" s="99" t="str">
        <f>IF(A130="","",IFERROR(INDEX('Dashboard Items'!$E$2:$E$495,MATCH(A130,'Dashboard Items'!$A$2:$A$495,0)),"ID not found"))</f>
        <v/>
      </c>
      <c r="E130" s="99" t="str">
        <f>IF(D130="","",IFERROR(INDEX('Dashboard Items'!$C$2:$C$495,MATCH(D130,'Dashboard Items'!$A$2:$A$495,0)),"ID not found"))</f>
        <v/>
      </c>
      <c r="F130" s="99" t="str">
        <f>IF(D130="","",IFERROR(INDEX('Dashboard Items'!$F$2:$F$495,MATCH(D130,'Dashboard Items'!$A$2:$A$495,0)),"ID not found"))</f>
        <v/>
      </c>
    </row>
    <row r="131" spans="2:6" ht="15" customHeight="1" x14ac:dyDescent="0.2">
      <c r="B131" s="99" t="str">
        <f>IF(A131="","",IFERROR(INDEX('Dashboard Items'!$C$2:$C$495,MATCH(A131,'Dashboard Items'!$A$2:$A$495,0)),"ID not found"))</f>
        <v/>
      </c>
      <c r="C131" s="99" t="str">
        <f>IF(A131="","",IFERROR(INDEX('Dashboard Items'!$E$2:$E$495,MATCH(A131,'Dashboard Items'!$A$2:$A$495,0)),"ID not found"))</f>
        <v/>
      </c>
      <c r="E131" s="99" t="str">
        <f>IF(D131="","",IFERROR(INDEX('Dashboard Items'!$C$2:$C$495,MATCH(D131,'Dashboard Items'!$A$2:$A$495,0)),"ID not found"))</f>
        <v/>
      </c>
      <c r="F131" s="99" t="str">
        <f>IF(D131="","",IFERROR(INDEX('Dashboard Items'!$F$2:$F$495,MATCH(D131,'Dashboard Items'!$A$2:$A$495,0)),"ID not found"))</f>
        <v/>
      </c>
    </row>
    <row r="132" spans="2:6" ht="15" customHeight="1" x14ac:dyDescent="0.2">
      <c r="B132" s="99" t="str">
        <f>IF(A132="","",IFERROR(INDEX('Dashboard Items'!$C$2:$C$495,MATCH(A132,'Dashboard Items'!$A$2:$A$495,0)),"ID not found"))</f>
        <v/>
      </c>
      <c r="C132" s="99" t="str">
        <f>IF(A132="","",IFERROR(INDEX('Dashboard Items'!$E$2:$E$495,MATCH(A132,'Dashboard Items'!$A$2:$A$495,0)),"ID not found"))</f>
        <v/>
      </c>
      <c r="E132" s="99" t="str">
        <f>IF(D132="","",IFERROR(INDEX('Dashboard Items'!$C$2:$C$495,MATCH(D132,'Dashboard Items'!$A$2:$A$495,0)),"ID not found"))</f>
        <v/>
      </c>
      <c r="F132" s="99" t="str">
        <f>IF(D132="","",IFERROR(INDEX('Dashboard Items'!$F$2:$F$495,MATCH(D132,'Dashboard Items'!$A$2:$A$495,0)),"ID not found"))</f>
        <v/>
      </c>
    </row>
    <row r="133" spans="2:6" ht="15" customHeight="1" x14ac:dyDescent="0.2">
      <c r="B133" s="99" t="str">
        <f>IF(A133="","",IFERROR(INDEX('Dashboard Items'!$C$2:$C$495,MATCH(A133,'Dashboard Items'!$A$2:$A$495,0)),"ID not found"))</f>
        <v/>
      </c>
      <c r="C133" s="99" t="str">
        <f>IF(A133="","",IFERROR(INDEX('Dashboard Items'!$E$2:$E$495,MATCH(A133,'Dashboard Items'!$A$2:$A$495,0)),"ID not found"))</f>
        <v/>
      </c>
      <c r="E133" s="99" t="str">
        <f>IF(D133="","",IFERROR(INDEX('Dashboard Items'!$C$2:$C$495,MATCH(D133,'Dashboard Items'!$A$2:$A$495,0)),"ID not found"))</f>
        <v/>
      </c>
      <c r="F133" s="99" t="str">
        <f>IF(D133="","",IFERROR(INDEX('Dashboard Items'!$F$2:$F$495,MATCH(D133,'Dashboard Items'!$A$2:$A$495,0)),"ID not found"))</f>
        <v/>
      </c>
    </row>
    <row r="134" spans="2:6" ht="15" customHeight="1" x14ac:dyDescent="0.2">
      <c r="B134" s="99" t="str">
        <f>IF(A134="","",IFERROR(INDEX('Dashboard Items'!$C$2:$C$495,MATCH(A134,'Dashboard Items'!$A$2:$A$495,0)),"ID not found"))</f>
        <v/>
      </c>
      <c r="C134" s="99" t="str">
        <f>IF(A134="","",IFERROR(INDEX('Dashboard Items'!$E$2:$E$495,MATCH(A134,'Dashboard Items'!$A$2:$A$495,0)),"ID not found"))</f>
        <v/>
      </c>
      <c r="E134" s="99" t="str">
        <f>IF(D134="","",IFERROR(INDEX('Dashboard Items'!$C$2:$C$495,MATCH(D134,'Dashboard Items'!$A$2:$A$495,0)),"ID not found"))</f>
        <v/>
      </c>
      <c r="F134" s="99" t="str">
        <f>IF(D134="","",IFERROR(INDEX('Dashboard Items'!$F$2:$F$495,MATCH(D134,'Dashboard Items'!$A$2:$A$495,0)),"ID not found"))</f>
        <v/>
      </c>
    </row>
    <row r="135" spans="2:6" ht="15" customHeight="1" x14ac:dyDescent="0.2">
      <c r="B135" s="99" t="str">
        <f>IF(A135="","",IFERROR(INDEX('Dashboard Items'!$C$2:$C$495,MATCH(A135,'Dashboard Items'!$A$2:$A$495,0)),"ID not found"))</f>
        <v/>
      </c>
      <c r="C135" s="99" t="str">
        <f>IF(A135="","",IFERROR(INDEX('Dashboard Items'!$E$2:$E$495,MATCH(A135,'Dashboard Items'!$A$2:$A$495,0)),"ID not found"))</f>
        <v/>
      </c>
      <c r="E135" s="99" t="str">
        <f>IF(D135="","",IFERROR(INDEX('Dashboard Items'!$C$2:$C$495,MATCH(D135,'Dashboard Items'!$A$2:$A$495,0)),"ID not found"))</f>
        <v/>
      </c>
      <c r="F135" s="99" t="str">
        <f>IF(D135="","",IFERROR(INDEX('Dashboard Items'!$F$2:$F$495,MATCH(D135,'Dashboard Items'!$A$2:$A$495,0)),"ID not found"))</f>
        <v/>
      </c>
    </row>
    <row r="136" spans="2:6" ht="15" customHeight="1" x14ac:dyDescent="0.2">
      <c r="B136" s="99" t="str">
        <f>IF(A136="","",IFERROR(INDEX('Dashboard Items'!$C$2:$C$495,MATCH(A136,'Dashboard Items'!$A$2:$A$495,0)),"ID not found"))</f>
        <v/>
      </c>
      <c r="C136" s="99" t="str">
        <f>IF(A136="","",IFERROR(INDEX('Dashboard Items'!$E$2:$E$495,MATCH(A136,'Dashboard Items'!$A$2:$A$495,0)),"ID not found"))</f>
        <v/>
      </c>
      <c r="E136" s="99" t="str">
        <f>IF(D136="","",IFERROR(INDEX('Dashboard Items'!$C$2:$C$495,MATCH(D136,'Dashboard Items'!$A$2:$A$495,0)),"ID not found"))</f>
        <v/>
      </c>
      <c r="F136" s="99" t="str">
        <f>IF(D136="","",IFERROR(INDEX('Dashboard Items'!$F$2:$F$495,MATCH(D136,'Dashboard Items'!$A$2:$A$495,0)),"ID not found"))</f>
        <v/>
      </c>
    </row>
    <row r="137" spans="2:6" ht="15" customHeight="1" x14ac:dyDescent="0.2">
      <c r="B137" s="99" t="str">
        <f>IF(A137="","",IFERROR(INDEX('Dashboard Items'!$C$2:$C$495,MATCH(A137,'Dashboard Items'!$A$2:$A$495,0)),"ID not found"))</f>
        <v/>
      </c>
      <c r="C137" s="99" t="str">
        <f>IF(A137="","",IFERROR(INDEX('Dashboard Items'!$E$2:$E$495,MATCH(A137,'Dashboard Items'!$A$2:$A$495,0)),"ID not found"))</f>
        <v/>
      </c>
      <c r="E137" s="99" t="str">
        <f>IF(D137="","",IFERROR(INDEX('Dashboard Items'!$C$2:$C$495,MATCH(D137,'Dashboard Items'!$A$2:$A$495,0)),"ID not found"))</f>
        <v/>
      </c>
      <c r="F137" s="99" t="str">
        <f>IF(D137="","",IFERROR(INDEX('Dashboard Items'!$F$2:$F$495,MATCH(D137,'Dashboard Items'!$A$2:$A$495,0)),"ID not found"))</f>
        <v/>
      </c>
    </row>
    <row r="138" spans="2:6" ht="15" customHeight="1" x14ac:dyDescent="0.2">
      <c r="B138" s="99" t="str">
        <f>IF(A138="","",IFERROR(INDEX('Dashboard Items'!$C$2:$C$495,MATCH(A138,'Dashboard Items'!$A$2:$A$495,0)),"ID not found"))</f>
        <v/>
      </c>
      <c r="C138" s="99" t="str">
        <f>IF(A138="","",IFERROR(INDEX('Dashboard Items'!$E$2:$E$495,MATCH(A138,'Dashboard Items'!$A$2:$A$495,0)),"ID not found"))</f>
        <v/>
      </c>
      <c r="E138" s="99" t="str">
        <f>IF(D138="","",IFERROR(INDEX('Dashboard Items'!$C$2:$C$495,MATCH(D138,'Dashboard Items'!$A$2:$A$495,0)),"ID not found"))</f>
        <v/>
      </c>
      <c r="F138" s="99" t="str">
        <f>IF(D138="","",IFERROR(INDEX('Dashboard Items'!$F$2:$F$495,MATCH(D138,'Dashboard Items'!$A$2:$A$495,0)),"ID not found"))</f>
        <v/>
      </c>
    </row>
    <row r="139" spans="2:6" ht="15" customHeight="1" x14ac:dyDescent="0.2">
      <c r="B139" s="99" t="str">
        <f>IF(A139="","",IFERROR(INDEX('Dashboard Items'!$C$2:$C$495,MATCH(A139,'Dashboard Items'!$A$2:$A$495,0)),"ID not found"))</f>
        <v/>
      </c>
      <c r="C139" s="99" t="str">
        <f>IF(A139="","",IFERROR(INDEX('Dashboard Items'!$E$2:$E$495,MATCH(A139,'Dashboard Items'!$A$2:$A$495,0)),"ID not found"))</f>
        <v/>
      </c>
      <c r="E139" s="99" t="str">
        <f>IF(D139="","",IFERROR(INDEX('Dashboard Items'!$C$2:$C$495,MATCH(D139,'Dashboard Items'!$A$2:$A$495,0)),"ID not found"))</f>
        <v/>
      </c>
      <c r="F139" s="99" t="str">
        <f>IF(D139="","",IFERROR(INDEX('Dashboard Items'!$F$2:$F$495,MATCH(D139,'Dashboard Items'!$A$2:$A$495,0)),"ID not found"))</f>
        <v/>
      </c>
    </row>
    <row r="140" spans="2:6" ht="15" customHeight="1" x14ac:dyDescent="0.2">
      <c r="B140" s="99" t="str">
        <f>IF(A140="","",IFERROR(INDEX('Dashboard Items'!$C$2:$C$495,MATCH(A140,'Dashboard Items'!$A$2:$A$495,0)),"ID not found"))</f>
        <v/>
      </c>
      <c r="C140" s="99" t="str">
        <f>IF(A140="","",IFERROR(INDEX('Dashboard Items'!$E$2:$E$495,MATCH(A140,'Dashboard Items'!$A$2:$A$495,0)),"ID not found"))</f>
        <v/>
      </c>
      <c r="E140" s="99" t="str">
        <f>IF(D140="","",IFERROR(INDEX('Dashboard Items'!$C$2:$C$495,MATCH(D140,'Dashboard Items'!$A$2:$A$495,0)),"ID not found"))</f>
        <v/>
      </c>
      <c r="F140" s="99" t="str">
        <f>IF(D140="","",IFERROR(INDEX('Dashboard Items'!$F$2:$F$495,MATCH(D140,'Dashboard Items'!$A$2:$A$495,0)),"ID not found"))</f>
        <v/>
      </c>
    </row>
    <row r="141" spans="2:6" ht="15" customHeight="1" x14ac:dyDescent="0.2">
      <c r="B141" s="99" t="str">
        <f>IF(A141="","",IFERROR(INDEX('Dashboard Items'!$C$2:$C$495,MATCH(A141,'Dashboard Items'!$A$2:$A$495,0)),"ID not found"))</f>
        <v/>
      </c>
      <c r="C141" s="99" t="str">
        <f>IF(A141="","",IFERROR(INDEX('Dashboard Items'!$E$2:$E$495,MATCH(A141,'Dashboard Items'!$A$2:$A$495,0)),"ID not found"))</f>
        <v/>
      </c>
      <c r="E141" s="99" t="str">
        <f>IF(D141="","",IFERROR(INDEX('Dashboard Items'!$C$2:$C$495,MATCH(D141,'Dashboard Items'!$A$2:$A$495,0)),"ID not found"))</f>
        <v/>
      </c>
      <c r="F141" s="99" t="str">
        <f>IF(D141="","",IFERROR(INDEX('Dashboard Items'!$F$2:$F$495,MATCH(D141,'Dashboard Items'!$A$2:$A$495,0)),"ID not found"))</f>
        <v/>
      </c>
    </row>
    <row r="142" spans="2:6" ht="15" customHeight="1" x14ac:dyDescent="0.2">
      <c r="B142" s="99" t="str">
        <f>IF(A142="","",IFERROR(INDEX('Dashboard Items'!$C$2:$C$495,MATCH(A142,'Dashboard Items'!$A$2:$A$495,0)),"ID not found"))</f>
        <v/>
      </c>
      <c r="C142" s="99" t="str">
        <f>IF(A142="","",IFERROR(INDEX('Dashboard Items'!$E$2:$E$495,MATCH(A142,'Dashboard Items'!$A$2:$A$495,0)),"ID not found"))</f>
        <v/>
      </c>
      <c r="E142" s="99" t="str">
        <f>IF(D142="","",IFERROR(INDEX('Dashboard Items'!$C$2:$C$495,MATCH(D142,'Dashboard Items'!$A$2:$A$495,0)),"ID not found"))</f>
        <v/>
      </c>
      <c r="F142" s="99" t="str">
        <f>IF(D142="","",IFERROR(INDEX('Dashboard Items'!$F$2:$F$495,MATCH(D142,'Dashboard Items'!$A$2:$A$495,0)),"ID not found"))</f>
        <v/>
      </c>
    </row>
    <row r="143" spans="2:6" ht="15" customHeight="1" x14ac:dyDescent="0.2">
      <c r="B143" s="99" t="str">
        <f>IF(A143="","",IFERROR(INDEX('Dashboard Items'!$C$2:$C$495,MATCH(A143,'Dashboard Items'!$A$2:$A$495,0)),"ID not found"))</f>
        <v/>
      </c>
      <c r="C143" s="99" t="str">
        <f>IF(A143="","",IFERROR(INDEX('Dashboard Items'!$E$2:$E$495,MATCH(A143,'Dashboard Items'!$A$2:$A$495,0)),"ID not found"))</f>
        <v/>
      </c>
      <c r="E143" s="99" t="str">
        <f>IF(D143="","",IFERROR(INDEX('Dashboard Items'!$C$2:$C$495,MATCH(D143,'Dashboard Items'!$A$2:$A$495,0)),"ID not found"))</f>
        <v/>
      </c>
      <c r="F143" s="99" t="str">
        <f>IF(D143="","",IFERROR(INDEX('Dashboard Items'!$F$2:$F$495,MATCH(D143,'Dashboard Items'!$A$2:$A$495,0)),"ID not found"))</f>
        <v/>
      </c>
    </row>
    <row r="144" spans="2:6" ht="15" customHeight="1" x14ac:dyDescent="0.2">
      <c r="B144" s="99" t="str">
        <f>IF(A144="","",IFERROR(INDEX('Dashboard Items'!$C$2:$C$495,MATCH(A144,'Dashboard Items'!$A$2:$A$495,0)),"ID not found"))</f>
        <v/>
      </c>
      <c r="C144" s="99" t="str">
        <f>IF(A144="","",IFERROR(INDEX('Dashboard Items'!$E$2:$E$495,MATCH(A144,'Dashboard Items'!$A$2:$A$495,0)),"ID not found"))</f>
        <v/>
      </c>
      <c r="E144" s="99" t="str">
        <f>IF(D144="","",IFERROR(INDEX('Dashboard Items'!$C$2:$C$495,MATCH(D144,'Dashboard Items'!$A$2:$A$495,0)),"ID not found"))</f>
        <v/>
      </c>
      <c r="F144" s="99" t="str">
        <f>IF(D144="","",IFERROR(INDEX('Dashboard Items'!$F$2:$F$495,MATCH(D144,'Dashboard Items'!$A$2:$A$495,0)),"ID not found"))</f>
        <v/>
      </c>
    </row>
    <row r="145" spans="2:6" ht="15" customHeight="1" x14ac:dyDescent="0.2">
      <c r="B145" s="99" t="str">
        <f>IF(A145="","",IFERROR(INDEX('Dashboard Items'!$C$2:$C$495,MATCH(A145,'Dashboard Items'!$A$2:$A$495,0)),"ID not found"))</f>
        <v/>
      </c>
      <c r="C145" s="99" t="str">
        <f>IF(A145="","",IFERROR(INDEX('Dashboard Items'!$E$2:$E$495,MATCH(A145,'Dashboard Items'!$A$2:$A$495,0)),"ID not found"))</f>
        <v/>
      </c>
      <c r="E145" s="99" t="str">
        <f>IF(D145="","",IFERROR(INDEX('Dashboard Items'!$C$2:$C$495,MATCH(D145,'Dashboard Items'!$A$2:$A$495,0)),"ID not found"))</f>
        <v/>
      </c>
      <c r="F145" s="99" t="str">
        <f>IF(D145="","",IFERROR(INDEX('Dashboard Items'!$F$2:$F$495,MATCH(D145,'Dashboard Items'!$A$2:$A$495,0)),"ID not found"))</f>
        <v/>
      </c>
    </row>
    <row r="146" spans="2:6" ht="15" customHeight="1" x14ac:dyDescent="0.2">
      <c r="B146" s="99" t="str">
        <f>IF(A146="","",IFERROR(INDEX('Dashboard Items'!$C$2:$C$495,MATCH(A146,'Dashboard Items'!$A$2:$A$495,0)),"ID not found"))</f>
        <v/>
      </c>
      <c r="C146" s="99" t="str">
        <f>IF(A146="","",IFERROR(INDEX('Dashboard Items'!$E$2:$E$495,MATCH(A146,'Dashboard Items'!$A$2:$A$495,0)),"ID not found"))</f>
        <v/>
      </c>
      <c r="E146" s="99" t="str">
        <f>IF(D146="","",IFERROR(INDEX('Dashboard Items'!$C$2:$C$495,MATCH(D146,'Dashboard Items'!$A$2:$A$495,0)),"ID not found"))</f>
        <v/>
      </c>
      <c r="F146" s="99" t="str">
        <f>IF(D146="","",IFERROR(INDEX('Dashboard Items'!$F$2:$F$495,MATCH(D146,'Dashboard Items'!$A$2:$A$495,0)),"ID not found"))</f>
        <v/>
      </c>
    </row>
    <row r="147" spans="2:6" ht="15" customHeight="1" x14ac:dyDescent="0.2">
      <c r="B147" s="99" t="str">
        <f>IF(A147="","",IFERROR(INDEX('Dashboard Items'!$C$2:$C$495,MATCH(A147,'Dashboard Items'!$A$2:$A$495,0)),"ID not found"))</f>
        <v/>
      </c>
      <c r="C147" s="99" t="str">
        <f>IF(A147="","",IFERROR(INDEX('Dashboard Items'!$E$2:$E$495,MATCH(A147,'Dashboard Items'!$A$2:$A$495,0)),"ID not found"))</f>
        <v/>
      </c>
      <c r="E147" s="99" t="str">
        <f>IF(D147="","",IFERROR(INDEX('Dashboard Items'!$C$2:$C$495,MATCH(D147,'Dashboard Items'!$A$2:$A$495,0)),"ID not found"))</f>
        <v/>
      </c>
      <c r="F147" s="99" t="str">
        <f>IF(D147="","",IFERROR(INDEX('Dashboard Items'!$F$2:$F$495,MATCH(D147,'Dashboard Items'!$A$2:$A$495,0)),"ID not found"))</f>
        <v/>
      </c>
    </row>
    <row r="148" spans="2:6" ht="15" customHeight="1" x14ac:dyDescent="0.2">
      <c r="B148" s="99" t="str">
        <f>IF(A148="","",IFERROR(INDEX('Dashboard Items'!$C$2:$C$495,MATCH(A148,'Dashboard Items'!$A$2:$A$495,0)),"ID not found"))</f>
        <v/>
      </c>
      <c r="C148" s="99" t="str">
        <f>IF(A148="","",IFERROR(INDEX('Dashboard Items'!$E$2:$E$495,MATCH(A148,'Dashboard Items'!$A$2:$A$495,0)),"ID not found"))</f>
        <v/>
      </c>
      <c r="E148" s="99" t="str">
        <f>IF(D148="","",IFERROR(INDEX('Dashboard Items'!$C$2:$C$495,MATCH(D148,'Dashboard Items'!$A$2:$A$495,0)),"ID not found"))</f>
        <v/>
      </c>
      <c r="F148" s="99" t="str">
        <f>IF(D148="","",IFERROR(INDEX('Dashboard Items'!$F$2:$F$495,MATCH(D148,'Dashboard Items'!$A$2:$A$495,0)),"ID not found"))</f>
        <v/>
      </c>
    </row>
    <row r="149" spans="2:6" ht="15" customHeight="1" x14ac:dyDescent="0.2">
      <c r="B149" s="99" t="str">
        <f>IF(A149="","",IFERROR(INDEX('Dashboard Items'!$C$2:$C$495,MATCH(A149,'Dashboard Items'!$A$2:$A$495,0)),"ID not found"))</f>
        <v/>
      </c>
      <c r="C149" s="99" t="str">
        <f>IF(A149="","",IFERROR(INDEX('Dashboard Items'!$E$2:$E$495,MATCH(A149,'Dashboard Items'!$A$2:$A$495,0)),"ID not found"))</f>
        <v/>
      </c>
      <c r="E149" s="99" t="str">
        <f>IF(D149="","",IFERROR(INDEX('Dashboard Items'!$C$2:$C$495,MATCH(D149,'Dashboard Items'!$A$2:$A$495,0)),"ID not found"))</f>
        <v/>
      </c>
      <c r="F149" s="99" t="str">
        <f>IF(D149="","",IFERROR(INDEX('Dashboard Items'!$F$2:$F$495,MATCH(D149,'Dashboard Items'!$A$2:$A$495,0)),"ID not found"))</f>
        <v/>
      </c>
    </row>
    <row r="150" spans="2:6" ht="15" customHeight="1" x14ac:dyDescent="0.2">
      <c r="B150" s="99" t="str">
        <f>IF(A150="","",IFERROR(INDEX('Dashboard Items'!$C$2:$C$495,MATCH(A150,'Dashboard Items'!$A$2:$A$495,0)),"ID not found"))</f>
        <v/>
      </c>
      <c r="C150" s="99" t="str">
        <f>IF(A150="","",IFERROR(INDEX('Dashboard Items'!$E$2:$E$495,MATCH(A150,'Dashboard Items'!$A$2:$A$495,0)),"ID not found"))</f>
        <v/>
      </c>
      <c r="E150" s="99" t="str">
        <f>IF(D150="","",IFERROR(INDEX('Dashboard Items'!$C$2:$C$495,MATCH(D150,'Dashboard Items'!$A$2:$A$495,0)),"ID not found"))</f>
        <v/>
      </c>
      <c r="F150" s="99" t="str">
        <f>IF(D150="","",IFERROR(INDEX('Dashboard Items'!$F$2:$F$495,MATCH(D150,'Dashboard Items'!$A$2:$A$495,0)),"ID not found"))</f>
        <v/>
      </c>
    </row>
    <row r="151" spans="2:6" ht="15" customHeight="1" x14ac:dyDescent="0.2">
      <c r="B151" s="99" t="str">
        <f>IF(A151="","",IFERROR(INDEX('Dashboard Items'!$C$2:$C$495,MATCH(A151,'Dashboard Items'!$A$2:$A$495,0)),"ID not found"))</f>
        <v/>
      </c>
      <c r="C151" s="99" t="str">
        <f>IF(A151="","",IFERROR(INDEX('Dashboard Items'!$E$2:$E$495,MATCH(A151,'Dashboard Items'!$A$2:$A$495,0)),"ID not found"))</f>
        <v/>
      </c>
      <c r="E151" s="99" t="str">
        <f>IF(D151="","",IFERROR(INDEX('Dashboard Items'!$C$2:$C$495,MATCH(D151,'Dashboard Items'!$A$2:$A$495,0)),"ID not found"))</f>
        <v/>
      </c>
      <c r="F151" s="99" t="str">
        <f>IF(D151="","",IFERROR(INDEX('Dashboard Items'!$F$2:$F$495,MATCH(D151,'Dashboard Items'!$A$2:$A$495,0)),"ID not found"))</f>
        <v/>
      </c>
    </row>
    <row r="152" spans="2:6" ht="15" customHeight="1" x14ac:dyDescent="0.2">
      <c r="B152" s="99" t="str">
        <f>IF(A152="","",IFERROR(INDEX('Dashboard Items'!$C$2:$C$495,MATCH(A152,'Dashboard Items'!$A$2:$A$495,0)),"ID not found"))</f>
        <v/>
      </c>
      <c r="C152" s="99" t="str">
        <f>IF(A152="","",IFERROR(INDEX('Dashboard Items'!$E$2:$E$495,MATCH(A152,'Dashboard Items'!$A$2:$A$495,0)),"ID not found"))</f>
        <v/>
      </c>
      <c r="E152" s="99" t="str">
        <f>IF(D152="","",IFERROR(INDEX('Dashboard Items'!$C$2:$C$495,MATCH(D152,'Dashboard Items'!$A$2:$A$495,0)),"ID not found"))</f>
        <v/>
      </c>
      <c r="F152" s="99" t="str">
        <f>IF(D152="","",IFERROR(INDEX('Dashboard Items'!$F$2:$F$495,MATCH(D152,'Dashboard Items'!$A$2:$A$495,0)),"ID not found"))</f>
        <v/>
      </c>
    </row>
    <row r="153" spans="2:6" ht="15" customHeight="1" x14ac:dyDescent="0.2">
      <c r="B153" s="99" t="str">
        <f>IF(A153="","",IFERROR(INDEX('Dashboard Items'!$C$2:$C$495,MATCH(A153,'Dashboard Items'!$A$2:$A$495,0)),"ID not found"))</f>
        <v/>
      </c>
      <c r="C153" s="99" t="str">
        <f>IF(A153="","",IFERROR(INDEX('Dashboard Items'!$E$2:$E$495,MATCH(A153,'Dashboard Items'!$A$2:$A$495,0)),"ID not found"))</f>
        <v/>
      </c>
      <c r="E153" s="99" t="str">
        <f>IF(D153="","",IFERROR(INDEX('Dashboard Items'!$C$2:$C$495,MATCH(D153,'Dashboard Items'!$A$2:$A$495,0)),"ID not found"))</f>
        <v/>
      </c>
      <c r="F153" s="99" t="str">
        <f>IF(D153="","",IFERROR(INDEX('Dashboard Items'!$F$2:$F$495,MATCH(D153,'Dashboard Items'!$A$2:$A$495,0)),"ID not found"))</f>
        <v/>
      </c>
    </row>
    <row r="154" spans="2:6" ht="15" customHeight="1" x14ac:dyDescent="0.2">
      <c r="B154" s="99" t="str">
        <f>IF(A154="","",IFERROR(INDEX('Dashboard Items'!$C$2:$C$495,MATCH(A154,'Dashboard Items'!$A$2:$A$495,0)),"ID not found"))</f>
        <v/>
      </c>
      <c r="C154" s="99" t="str">
        <f>IF(A154="","",IFERROR(INDEX('Dashboard Items'!$E$2:$E$495,MATCH(A154,'Dashboard Items'!$A$2:$A$495,0)),"ID not found"))</f>
        <v/>
      </c>
      <c r="E154" s="99" t="str">
        <f>IF(D154="","",IFERROR(INDEX('Dashboard Items'!$C$2:$C$495,MATCH(D154,'Dashboard Items'!$A$2:$A$495,0)),"ID not found"))</f>
        <v/>
      </c>
      <c r="F154" s="99" t="str">
        <f>IF(D154="","",IFERROR(INDEX('Dashboard Items'!$F$2:$F$495,MATCH(D154,'Dashboard Items'!$A$2:$A$495,0)),"ID not found"))</f>
        <v/>
      </c>
    </row>
    <row r="155" spans="2:6" ht="15" customHeight="1" x14ac:dyDescent="0.2">
      <c r="B155" s="99" t="str">
        <f>IF(A155="","",IFERROR(INDEX('Dashboard Items'!$C$2:$C$495,MATCH(A155,'Dashboard Items'!$A$2:$A$495,0)),"ID not found"))</f>
        <v/>
      </c>
      <c r="C155" s="99" t="str">
        <f>IF(A155="","",IFERROR(INDEX('Dashboard Items'!$E$2:$E$495,MATCH(A155,'Dashboard Items'!$A$2:$A$495,0)),"ID not found"))</f>
        <v/>
      </c>
      <c r="E155" s="99" t="str">
        <f>IF(D155="","",IFERROR(INDEX('Dashboard Items'!$C$2:$C$495,MATCH(D155,'Dashboard Items'!$A$2:$A$495,0)),"ID not found"))</f>
        <v/>
      </c>
      <c r="F155" s="99" t="str">
        <f>IF(D155="","",IFERROR(INDEX('Dashboard Items'!$F$2:$F$495,MATCH(D155,'Dashboard Items'!$A$2:$A$495,0)),"ID not found"))</f>
        <v/>
      </c>
    </row>
    <row r="156" spans="2:6" ht="15" customHeight="1" x14ac:dyDescent="0.2">
      <c r="B156" s="99" t="str">
        <f>IF(A156="","",IFERROR(INDEX('Dashboard Items'!$C$2:$C$495,MATCH(A156,'Dashboard Items'!$A$2:$A$495,0)),"ID not found"))</f>
        <v/>
      </c>
      <c r="C156" s="99" t="str">
        <f>IF(A156="","",IFERROR(INDEX('Dashboard Items'!$E$2:$E$495,MATCH(A156,'Dashboard Items'!$A$2:$A$495,0)),"ID not found"))</f>
        <v/>
      </c>
      <c r="E156" s="99" t="str">
        <f>IF(D156="","",IFERROR(INDEX('Dashboard Items'!$C$2:$C$495,MATCH(D156,'Dashboard Items'!$A$2:$A$495,0)),"ID not found"))</f>
        <v/>
      </c>
      <c r="F156" s="99" t="str">
        <f>IF(D156="","",IFERROR(INDEX('Dashboard Items'!$F$2:$F$495,MATCH(D156,'Dashboard Items'!$A$2:$A$495,0)),"ID not found"))</f>
        <v/>
      </c>
    </row>
    <row r="157" spans="2:6" ht="15" customHeight="1" x14ac:dyDescent="0.2">
      <c r="B157" s="99" t="str">
        <f>IF(A157="","",IFERROR(INDEX('Dashboard Items'!$C$2:$C$495,MATCH(A157,'Dashboard Items'!$A$2:$A$495,0)),"ID not found"))</f>
        <v/>
      </c>
      <c r="C157" s="99" t="str">
        <f>IF(A157="","",IFERROR(INDEX('Dashboard Items'!$E$2:$E$495,MATCH(A157,'Dashboard Items'!$A$2:$A$495,0)),"ID not found"))</f>
        <v/>
      </c>
      <c r="E157" s="99" t="str">
        <f>IF(D157="","",IFERROR(INDEX('Dashboard Items'!$C$2:$C$495,MATCH(D157,'Dashboard Items'!$A$2:$A$495,0)),"ID not found"))</f>
        <v/>
      </c>
      <c r="F157" s="99" t="str">
        <f>IF(D157="","",IFERROR(INDEX('Dashboard Items'!$F$2:$F$495,MATCH(D157,'Dashboard Items'!$A$2:$A$495,0)),"ID not found"))</f>
        <v/>
      </c>
    </row>
    <row r="158" spans="2:6" ht="15" customHeight="1" x14ac:dyDescent="0.2">
      <c r="B158" s="99" t="str">
        <f>IF(A158="","",IFERROR(INDEX('Dashboard Items'!$C$2:$C$495,MATCH(A158,'Dashboard Items'!$A$2:$A$495,0)),"ID not found"))</f>
        <v/>
      </c>
      <c r="C158" s="99" t="str">
        <f>IF(A158="","",IFERROR(INDEX('Dashboard Items'!$E$2:$E$495,MATCH(A158,'Dashboard Items'!$A$2:$A$495,0)),"ID not found"))</f>
        <v/>
      </c>
      <c r="E158" s="99" t="str">
        <f>IF(D158="","",IFERROR(INDEX('Dashboard Items'!$C$2:$C$495,MATCH(D158,'Dashboard Items'!$A$2:$A$495,0)),"ID not found"))</f>
        <v/>
      </c>
      <c r="F158" s="99" t="str">
        <f>IF(D158="","",IFERROR(INDEX('Dashboard Items'!$F$2:$F$495,MATCH(D158,'Dashboard Items'!$A$2:$A$495,0)),"ID not found"))</f>
        <v/>
      </c>
    </row>
    <row r="159" spans="2:6" ht="15" customHeight="1" x14ac:dyDescent="0.2">
      <c r="B159" s="99" t="str">
        <f>IF(A159="","",IFERROR(INDEX('Dashboard Items'!$C$2:$C$495,MATCH(A159,'Dashboard Items'!$A$2:$A$495,0)),"ID not found"))</f>
        <v/>
      </c>
      <c r="C159" s="99" t="str">
        <f>IF(A159="","",IFERROR(INDEX('Dashboard Items'!$E$2:$E$495,MATCH(A159,'Dashboard Items'!$A$2:$A$495,0)),"ID not found"))</f>
        <v/>
      </c>
      <c r="E159" s="99" t="str">
        <f>IF(D159="","",IFERROR(INDEX('Dashboard Items'!$C$2:$C$495,MATCH(D159,'Dashboard Items'!$A$2:$A$495,0)),"ID not found"))</f>
        <v/>
      </c>
      <c r="F159" s="99" t="str">
        <f>IF(D159="","",IFERROR(INDEX('Dashboard Items'!$F$2:$F$495,MATCH(D159,'Dashboard Items'!$A$2:$A$495,0)),"ID not found"))</f>
        <v/>
      </c>
    </row>
    <row r="160" spans="2:6" ht="15" customHeight="1" x14ac:dyDescent="0.2">
      <c r="B160" s="99" t="str">
        <f>IF(A160="","",IFERROR(INDEX('Dashboard Items'!$C$2:$C$495,MATCH(A160,'Dashboard Items'!$A$2:$A$495,0)),"ID not found"))</f>
        <v/>
      </c>
      <c r="C160" s="99" t="str">
        <f>IF(A160="","",IFERROR(INDEX('Dashboard Items'!$E$2:$E$495,MATCH(A160,'Dashboard Items'!$A$2:$A$495,0)),"ID not found"))</f>
        <v/>
      </c>
      <c r="E160" s="99" t="str">
        <f>IF(D160="","",IFERROR(INDEX('Dashboard Items'!$C$2:$C$495,MATCH(D160,'Dashboard Items'!$A$2:$A$495,0)),"ID not found"))</f>
        <v/>
      </c>
      <c r="F160" s="99" t="str">
        <f>IF(D160="","",IFERROR(INDEX('Dashboard Items'!$F$2:$F$495,MATCH(D160,'Dashboard Items'!$A$2:$A$495,0)),"ID not found"))</f>
        <v/>
      </c>
    </row>
    <row r="161" spans="2:6" ht="15" customHeight="1" x14ac:dyDescent="0.2">
      <c r="B161" s="99" t="str">
        <f>IF(A161="","",IFERROR(INDEX('Dashboard Items'!$C$2:$C$495,MATCH(A161,'Dashboard Items'!$A$2:$A$495,0)),"ID not found"))</f>
        <v/>
      </c>
      <c r="C161" s="99" t="str">
        <f>IF(A161="","",IFERROR(INDEX('Dashboard Items'!$E$2:$E$495,MATCH(A161,'Dashboard Items'!$A$2:$A$495,0)),"ID not found"))</f>
        <v/>
      </c>
      <c r="E161" s="99" t="str">
        <f>IF(D161="","",IFERROR(INDEX('Dashboard Items'!$C$2:$C$495,MATCH(D161,'Dashboard Items'!$A$2:$A$495,0)),"ID not found"))</f>
        <v/>
      </c>
      <c r="F161" s="99" t="str">
        <f>IF(D161="","",IFERROR(INDEX('Dashboard Items'!$F$2:$F$495,MATCH(D161,'Dashboard Items'!$A$2:$A$495,0)),"ID not found"))</f>
        <v/>
      </c>
    </row>
    <row r="162" spans="2:6" ht="15" customHeight="1" x14ac:dyDescent="0.2">
      <c r="B162" s="99" t="str">
        <f>IF(A162="","",IFERROR(INDEX('Dashboard Items'!$C$2:$C$495,MATCH(A162,'Dashboard Items'!$A$2:$A$495,0)),"ID not found"))</f>
        <v/>
      </c>
      <c r="C162" s="99" t="str">
        <f>IF(A162="","",IFERROR(INDEX('Dashboard Items'!$E$2:$E$495,MATCH(A162,'Dashboard Items'!$A$2:$A$495,0)),"ID not found"))</f>
        <v/>
      </c>
      <c r="E162" s="99" t="str">
        <f>IF(D162="","",IFERROR(INDEX('Dashboard Items'!$C$2:$C$495,MATCH(D162,'Dashboard Items'!$A$2:$A$495,0)),"ID not found"))</f>
        <v/>
      </c>
      <c r="F162" s="99" t="str">
        <f>IF(D162="","",IFERROR(INDEX('Dashboard Items'!$F$2:$F$495,MATCH(D162,'Dashboard Items'!$A$2:$A$495,0)),"ID not found"))</f>
        <v/>
      </c>
    </row>
    <row r="163" spans="2:6" ht="15" customHeight="1" x14ac:dyDescent="0.2">
      <c r="B163" s="99" t="str">
        <f>IF(A163="","",IFERROR(INDEX('Dashboard Items'!$C$2:$C$495,MATCH(A163,'Dashboard Items'!$A$2:$A$495,0)),"ID not found"))</f>
        <v/>
      </c>
      <c r="C163" s="99" t="str">
        <f>IF(A163="","",IFERROR(INDEX('Dashboard Items'!$E$2:$E$495,MATCH(A163,'Dashboard Items'!$A$2:$A$495,0)),"ID not found"))</f>
        <v/>
      </c>
      <c r="E163" s="99" t="str">
        <f>IF(D163="","",IFERROR(INDEX('Dashboard Items'!$C$2:$C$495,MATCH(D163,'Dashboard Items'!$A$2:$A$495,0)),"ID not found"))</f>
        <v/>
      </c>
      <c r="F163" s="99" t="str">
        <f>IF(D163="","",IFERROR(INDEX('Dashboard Items'!$F$2:$F$495,MATCH(D163,'Dashboard Items'!$A$2:$A$495,0)),"ID not found"))</f>
        <v/>
      </c>
    </row>
    <row r="164" spans="2:6" ht="15" customHeight="1" x14ac:dyDescent="0.2">
      <c r="B164" s="99" t="str">
        <f>IF(A164="","",IFERROR(INDEX('Dashboard Items'!$C$2:$C$495,MATCH(A164,'Dashboard Items'!$A$2:$A$495,0)),"ID not found"))</f>
        <v/>
      </c>
      <c r="C164" s="99" t="str">
        <f>IF(A164="","",IFERROR(INDEX('Dashboard Items'!$E$2:$E$495,MATCH(A164,'Dashboard Items'!$A$2:$A$495,0)),"ID not found"))</f>
        <v/>
      </c>
      <c r="E164" s="99" t="str">
        <f>IF(D164="","",IFERROR(INDEX('Dashboard Items'!$C$2:$C$495,MATCH(D164,'Dashboard Items'!$A$2:$A$495,0)),"ID not found"))</f>
        <v/>
      </c>
      <c r="F164" s="99" t="str">
        <f>IF(D164="","",IFERROR(INDEX('Dashboard Items'!$F$2:$F$495,MATCH(D164,'Dashboard Items'!$A$2:$A$495,0)),"ID not found"))</f>
        <v/>
      </c>
    </row>
    <row r="165" spans="2:6" ht="15" customHeight="1" x14ac:dyDescent="0.2">
      <c r="B165" s="99" t="str">
        <f>IF(A165="","",IFERROR(INDEX('Dashboard Items'!$C$2:$C$495,MATCH(A165,'Dashboard Items'!$A$2:$A$495,0)),"ID not found"))</f>
        <v/>
      </c>
      <c r="C165" s="99" t="str">
        <f>IF(A165="","",IFERROR(INDEX('Dashboard Items'!$E$2:$E$495,MATCH(A165,'Dashboard Items'!$A$2:$A$495,0)),"ID not found"))</f>
        <v/>
      </c>
      <c r="E165" s="99" t="str">
        <f>IF(D165="","",IFERROR(INDEX('Dashboard Items'!$C$2:$C$495,MATCH(D165,'Dashboard Items'!$A$2:$A$495,0)),"ID not found"))</f>
        <v/>
      </c>
      <c r="F165" s="99" t="str">
        <f>IF(D165="","",IFERROR(INDEX('Dashboard Items'!$F$2:$F$495,MATCH(D165,'Dashboard Items'!$A$2:$A$495,0)),"ID not found"))</f>
        <v/>
      </c>
    </row>
    <row r="166" spans="2:6" ht="15" customHeight="1" x14ac:dyDescent="0.2">
      <c r="B166" s="99" t="str">
        <f>IF(A166="","",IFERROR(INDEX('Dashboard Items'!$C$2:$C$495,MATCH(A166,'Dashboard Items'!$A$2:$A$495,0)),"ID not found"))</f>
        <v/>
      </c>
      <c r="C166" s="99" t="str">
        <f>IF(A166="","",IFERROR(INDEX('Dashboard Items'!$E$2:$E$495,MATCH(A166,'Dashboard Items'!$A$2:$A$495,0)),"ID not found"))</f>
        <v/>
      </c>
      <c r="E166" s="99" t="str">
        <f>IF(D166="","",IFERROR(INDEX('Dashboard Items'!$C$2:$C$495,MATCH(D166,'Dashboard Items'!$A$2:$A$495,0)),"ID not found"))</f>
        <v/>
      </c>
      <c r="F166" s="99" t="str">
        <f>IF(D166="","",IFERROR(INDEX('Dashboard Items'!$F$2:$F$495,MATCH(D166,'Dashboard Items'!$A$2:$A$495,0)),"ID not found"))</f>
        <v/>
      </c>
    </row>
    <row r="167" spans="2:6" ht="15" customHeight="1" x14ac:dyDescent="0.2">
      <c r="B167" s="99" t="str">
        <f>IF(A167="","",IFERROR(INDEX('Dashboard Items'!$C$2:$C$495,MATCH(A167,'Dashboard Items'!$A$2:$A$495,0)),"ID not found"))</f>
        <v/>
      </c>
      <c r="C167" s="99" t="str">
        <f>IF(A167="","",IFERROR(INDEX('Dashboard Items'!$E$2:$E$495,MATCH(A167,'Dashboard Items'!$A$2:$A$495,0)),"ID not found"))</f>
        <v/>
      </c>
      <c r="E167" s="99" t="str">
        <f>IF(D167="","",IFERROR(INDEX('Dashboard Items'!$C$2:$C$495,MATCH(D167,'Dashboard Items'!$A$2:$A$495,0)),"ID not found"))</f>
        <v/>
      </c>
      <c r="F167" s="99" t="str">
        <f>IF(D167="","",IFERROR(INDEX('Dashboard Items'!$F$2:$F$495,MATCH(D167,'Dashboard Items'!$A$2:$A$495,0)),"ID not found"))</f>
        <v/>
      </c>
    </row>
    <row r="168" spans="2:6" ht="15" customHeight="1" x14ac:dyDescent="0.2">
      <c r="B168" s="99" t="str">
        <f>IF(A168="","",IFERROR(INDEX('Dashboard Items'!$C$2:$C$495,MATCH(A168,'Dashboard Items'!$A$2:$A$495,0)),"ID not found"))</f>
        <v/>
      </c>
      <c r="C168" s="99" t="str">
        <f>IF(A168="","",IFERROR(INDEX('Dashboard Items'!$E$2:$E$495,MATCH(A168,'Dashboard Items'!$A$2:$A$495,0)),"ID not found"))</f>
        <v/>
      </c>
      <c r="E168" s="99" t="str">
        <f>IF(D168="","",IFERROR(INDEX('Dashboard Items'!$C$2:$C$495,MATCH(D168,'Dashboard Items'!$A$2:$A$495,0)),"ID not found"))</f>
        <v/>
      </c>
      <c r="F168" s="99" t="str">
        <f>IF(D168="","",IFERROR(INDEX('Dashboard Items'!$F$2:$F$495,MATCH(D168,'Dashboard Items'!$A$2:$A$495,0)),"ID not found"))</f>
        <v/>
      </c>
    </row>
    <row r="169" spans="2:6" ht="15" customHeight="1" x14ac:dyDescent="0.2">
      <c r="B169" s="99" t="str">
        <f>IF(A169="","",IFERROR(INDEX('Dashboard Items'!$C$2:$C$495,MATCH(A169,'Dashboard Items'!$A$2:$A$495,0)),"ID not found"))</f>
        <v/>
      </c>
      <c r="C169" s="99" t="str">
        <f>IF(A169="","",IFERROR(INDEX('Dashboard Items'!$E$2:$E$495,MATCH(A169,'Dashboard Items'!$A$2:$A$495,0)),"ID not found"))</f>
        <v/>
      </c>
      <c r="E169" s="99" t="str">
        <f>IF(D169="","",IFERROR(INDEX('Dashboard Items'!$C$2:$C$495,MATCH(D169,'Dashboard Items'!$A$2:$A$495,0)),"ID not found"))</f>
        <v/>
      </c>
      <c r="F169" s="99" t="str">
        <f>IF(D169="","",IFERROR(INDEX('Dashboard Items'!$F$2:$F$495,MATCH(D169,'Dashboard Items'!$A$2:$A$495,0)),"ID not found"))</f>
        <v/>
      </c>
    </row>
    <row r="170" spans="2:6" ht="15" customHeight="1" x14ac:dyDescent="0.2">
      <c r="B170" s="99" t="str">
        <f>IF(A170="","",IFERROR(INDEX('Dashboard Items'!$C$2:$C$495,MATCH(A170,'Dashboard Items'!$A$2:$A$495,0)),"ID not found"))</f>
        <v/>
      </c>
      <c r="C170" s="99" t="str">
        <f>IF(A170="","",IFERROR(INDEX('Dashboard Items'!$E$2:$E$495,MATCH(A170,'Dashboard Items'!$A$2:$A$495,0)),"ID not found"))</f>
        <v/>
      </c>
      <c r="E170" s="99" t="str">
        <f>IF(D170="","",IFERROR(INDEX('Dashboard Items'!$C$2:$C$495,MATCH(D170,'Dashboard Items'!$A$2:$A$495,0)),"ID not found"))</f>
        <v/>
      </c>
      <c r="F170" s="99" t="str">
        <f>IF(D170="","",IFERROR(INDEX('Dashboard Items'!$F$2:$F$495,MATCH(D170,'Dashboard Items'!$A$2:$A$495,0)),"ID not found"))</f>
        <v/>
      </c>
    </row>
    <row r="171" spans="2:6" ht="15" customHeight="1" x14ac:dyDescent="0.2">
      <c r="B171" s="99" t="str">
        <f>IF(A171="","",IFERROR(INDEX('Dashboard Items'!$C$2:$C$495,MATCH(A171,'Dashboard Items'!$A$2:$A$495,0)),"ID not found"))</f>
        <v/>
      </c>
      <c r="C171" s="99" t="str">
        <f>IF(A171="","",IFERROR(INDEX('Dashboard Items'!$E$2:$E$495,MATCH(A171,'Dashboard Items'!$A$2:$A$495,0)),"ID not found"))</f>
        <v/>
      </c>
      <c r="E171" s="99" t="str">
        <f>IF(D171="","",IFERROR(INDEX('Dashboard Items'!$C$2:$C$495,MATCH(D171,'Dashboard Items'!$A$2:$A$495,0)),"ID not found"))</f>
        <v/>
      </c>
      <c r="F171" s="99" t="str">
        <f>IF(D171="","",IFERROR(INDEX('Dashboard Items'!$F$2:$F$495,MATCH(D171,'Dashboard Items'!$A$2:$A$495,0)),"ID not found"))</f>
        <v/>
      </c>
    </row>
    <row r="172" spans="2:6" ht="15" customHeight="1" x14ac:dyDescent="0.2">
      <c r="B172" s="99" t="str">
        <f>IF(A172="","",IFERROR(INDEX('Dashboard Items'!$C$2:$C$495,MATCH(A172,'Dashboard Items'!$A$2:$A$495,0)),"ID not found"))</f>
        <v/>
      </c>
      <c r="C172" s="99" t="str">
        <f>IF(A172="","",IFERROR(INDEX('Dashboard Items'!$E$2:$E$495,MATCH(A172,'Dashboard Items'!$A$2:$A$495,0)),"ID not found"))</f>
        <v/>
      </c>
      <c r="E172" s="99" t="str">
        <f>IF(D172="","",IFERROR(INDEX('Dashboard Items'!$C$2:$C$495,MATCH(D172,'Dashboard Items'!$A$2:$A$495,0)),"ID not found"))</f>
        <v/>
      </c>
      <c r="F172" s="99" t="str">
        <f>IF(D172="","",IFERROR(INDEX('Dashboard Items'!$F$2:$F$495,MATCH(D172,'Dashboard Items'!$A$2:$A$495,0)),"ID not found"))</f>
        <v/>
      </c>
    </row>
    <row r="173" spans="2:6" ht="15" customHeight="1" x14ac:dyDescent="0.2">
      <c r="B173" s="99" t="str">
        <f>IF(A173="","",IFERROR(INDEX('Dashboard Items'!$C$2:$C$495,MATCH(A173,'Dashboard Items'!$A$2:$A$495,0)),"ID not found"))</f>
        <v/>
      </c>
      <c r="C173" s="99" t="str">
        <f>IF(A173="","",IFERROR(INDEX('Dashboard Items'!$E$2:$E$495,MATCH(A173,'Dashboard Items'!$A$2:$A$495,0)),"ID not found"))</f>
        <v/>
      </c>
      <c r="E173" s="99" t="str">
        <f>IF(D173="","",IFERROR(INDEX('Dashboard Items'!$C$2:$C$495,MATCH(D173,'Dashboard Items'!$A$2:$A$495,0)),"ID not found"))</f>
        <v/>
      </c>
      <c r="F173" s="99" t="str">
        <f>IF(D173="","",IFERROR(INDEX('Dashboard Items'!$F$2:$F$495,MATCH(D173,'Dashboard Items'!$A$2:$A$495,0)),"ID not found"))</f>
        <v/>
      </c>
    </row>
    <row r="174" spans="2:6" ht="15" customHeight="1" x14ac:dyDescent="0.2">
      <c r="B174" s="99" t="str">
        <f>IF(A174="","",IFERROR(INDEX('Dashboard Items'!$C$2:$C$495,MATCH(A174,'Dashboard Items'!$A$2:$A$495,0)),"ID not found"))</f>
        <v/>
      </c>
      <c r="C174" s="99" t="str">
        <f>IF(A174="","",IFERROR(INDEX('Dashboard Items'!$E$2:$E$495,MATCH(A174,'Dashboard Items'!$A$2:$A$495,0)),"ID not found"))</f>
        <v/>
      </c>
      <c r="E174" s="99" t="str">
        <f>IF(D174="","",IFERROR(INDEX('Dashboard Items'!$C$2:$C$495,MATCH(D174,'Dashboard Items'!$A$2:$A$495,0)),"ID not found"))</f>
        <v/>
      </c>
      <c r="F174" s="99" t="str">
        <f>IF(D174="","",IFERROR(INDEX('Dashboard Items'!$F$2:$F$495,MATCH(D174,'Dashboard Items'!$A$2:$A$495,0)),"ID not found"))</f>
        <v/>
      </c>
    </row>
    <row r="175" spans="2:6" ht="15" customHeight="1" x14ac:dyDescent="0.2">
      <c r="B175" s="99" t="str">
        <f>IF(A175="","",IFERROR(INDEX('Dashboard Items'!$C$2:$C$495,MATCH(A175,'Dashboard Items'!$A$2:$A$495,0)),"ID not found"))</f>
        <v/>
      </c>
      <c r="C175" s="99" t="str">
        <f>IF(A175="","",IFERROR(INDEX('Dashboard Items'!$E$2:$E$495,MATCH(A175,'Dashboard Items'!$A$2:$A$495,0)),"ID not found"))</f>
        <v/>
      </c>
      <c r="E175" s="99" t="str">
        <f>IF(D175="","",IFERROR(INDEX('Dashboard Items'!$C$2:$C$495,MATCH(D175,'Dashboard Items'!$A$2:$A$495,0)),"ID not found"))</f>
        <v/>
      </c>
      <c r="F175" s="99" t="str">
        <f>IF(D175="","",IFERROR(INDEX('Dashboard Items'!$F$2:$F$495,MATCH(D175,'Dashboard Items'!$A$2:$A$495,0)),"ID not found"))</f>
        <v/>
      </c>
    </row>
    <row r="176" spans="2:6" ht="15" customHeight="1" x14ac:dyDescent="0.2">
      <c r="B176" s="99" t="str">
        <f>IF(A176="","",IFERROR(INDEX('Dashboard Items'!$C$2:$C$495,MATCH(A176,'Dashboard Items'!$A$2:$A$495,0)),"ID not found"))</f>
        <v/>
      </c>
      <c r="C176" s="99" t="str">
        <f>IF(A176="","",IFERROR(INDEX('Dashboard Items'!$E$2:$E$495,MATCH(A176,'Dashboard Items'!$A$2:$A$495,0)),"ID not found"))</f>
        <v/>
      </c>
      <c r="E176" s="99" t="str">
        <f>IF(D176="","",IFERROR(INDEX('Dashboard Items'!$C$2:$C$495,MATCH(D176,'Dashboard Items'!$A$2:$A$495,0)),"ID not found"))</f>
        <v/>
      </c>
      <c r="F176" s="99" t="str">
        <f>IF(D176="","",IFERROR(INDEX('Dashboard Items'!$F$2:$F$495,MATCH(D176,'Dashboard Items'!$A$2:$A$495,0)),"ID not found"))</f>
        <v/>
      </c>
    </row>
    <row r="177" spans="2:6" ht="15" customHeight="1" x14ac:dyDescent="0.2">
      <c r="B177" s="99" t="str">
        <f>IF(A177="","",IFERROR(INDEX('Dashboard Items'!$C$2:$C$495,MATCH(A177,'Dashboard Items'!$A$2:$A$495,0)),"ID not found"))</f>
        <v/>
      </c>
      <c r="C177" s="99" t="str">
        <f>IF(A177="","",IFERROR(INDEX('Dashboard Items'!$E$2:$E$495,MATCH(A177,'Dashboard Items'!$A$2:$A$495,0)),"ID not found"))</f>
        <v/>
      </c>
      <c r="E177" s="99" t="str">
        <f>IF(D177="","",IFERROR(INDEX('Dashboard Items'!$C$2:$C$495,MATCH(D177,'Dashboard Items'!$A$2:$A$495,0)),"ID not found"))</f>
        <v/>
      </c>
      <c r="F177" s="99" t="str">
        <f>IF(D177="","",IFERROR(INDEX('Dashboard Items'!$F$2:$F$495,MATCH(D177,'Dashboard Items'!$A$2:$A$495,0)),"ID not found"))</f>
        <v/>
      </c>
    </row>
    <row r="178" spans="2:6" ht="15" customHeight="1" x14ac:dyDescent="0.2">
      <c r="B178" s="99" t="str">
        <f>IF(A178="","",IFERROR(INDEX('Dashboard Items'!$C$2:$C$495,MATCH(A178,'Dashboard Items'!$A$2:$A$495,0)),"ID not found"))</f>
        <v/>
      </c>
      <c r="C178" s="99" t="str">
        <f>IF(A178="","",IFERROR(INDEX('Dashboard Items'!$E$2:$E$495,MATCH(A178,'Dashboard Items'!$A$2:$A$495,0)),"ID not found"))</f>
        <v/>
      </c>
      <c r="E178" s="99" t="str">
        <f>IF(D178="","",IFERROR(INDEX('Dashboard Items'!$C$2:$C$495,MATCH(D178,'Dashboard Items'!$A$2:$A$495,0)),"ID not found"))</f>
        <v/>
      </c>
      <c r="F178" s="99" t="str">
        <f>IF(D178="","",IFERROR(INDEX('Dashboard Items'!$F$2:$F$495,MATCH(D178,'Dashboard Items'!$A$2:$A$495,0)),"ID not found"))</f>
        <v/>
      </c>
    </row>
    <row r="179" spans="2:6" ht="15" customHeight="1" x14ac:dyDescent="0.2">
      <c r="B179" s="99" t="str">
        <f>IF(A179="","",IFERROR(INDEX('Dashboard Items'!$C$2:$C$495,MATCH(A179,'Dashboard Items'!$A$2:$A$495,0)),"ID not found"))</f>
        <v/>
      </c>
      <c r="C179" s="99" t="str">
        <f>IF(A179="","",IFERROR(INDEX('Dashboard Items'!$E$2:$E$495,MATCH(A179,'Dashboard Items'!$A$2:$A$495,0)),"ID not found"))</f>
        <v/>
      </c>
      <c r="E179" s="99" t="str">
        <f>IF(D179="","",IFERROR(INDEX('Dashboard Items'!$C$2:$C$495,MATCH(D179,'Dashboard Items'!$A$2:$A$495,0)),"ID not found"))</f>
        <v/>
      </c>
      <c r="F179" s="99" t="str">
        <f>IF(D179="","",IFERROR(INDEX('Dashboard Items'!$F$2:$F$495,MATCH(D179,'Dashboard Items'!$A$2:$A$495,0)),"ID not found"))</f>
        <v/>
      </c>
    </row>
    <row r="180" spans="2:6" ht="15" customHeight="1" x14ac:dyDescent="0.2">
      <c r="B180" s="99" t="str">
        <f>IF(A180="","",IFERROR(INDEX('Dashboard Items'!$C$2:$C$495,MATCH(A180,'Dashboard Items'!$A$2:$A$495,0)),"ID not found"))</f>
        <v/>
      </c>
      <c r="C180" s="99" t="str">
        <f>IF(A180="","",IFERROR(INDEX('Dashboard Items'!$E$2:$E$495,MATCH(A180,'Dashboard Items'!$A$2:$A$495,0)),"ID not found"))</f>
        <v/>
      </c>
      <c r="E180" s="99" t="str">
        <f>IF(D180="","",IFERROR(INDEX('Dashboard Items'!$C$2:$C$495,MATCH(D180,'Dashboard Items'!$A$2:$A$495,0)),"ID not found"))</f>
        <v/>
      </c>
      <c r="F180" s="99" t="str">
        <f>IF(D180="","",IFERROR(INDEX('Dashboard Items'!$F$2:$F$495,MATCH(D180,'Dashboard Items'!$A$2:$A$495,0)),"ID not found"))</f>
        <v/>
      </c>
    </row>
    <row r="181" spans="2:6" ht="15" customHeight="1" x14ac:dyDescent="0.2">
      <c r="B181" s="99" t="str">
        <f>IF(A181="","",IFERROR(INDEX('Dashboard Items'!$C$2:$C$495,MATCH(A181,'Dashboard Items'!$A$2:$A$495,0)),"ID not found"))</f>
        <v/>
      </c>
      <c r="C181" s="99" t="str">
        <f>IF(A181="","",IFERROR(INDEX('Dashboard Items'!$E$2:$E$495,MATCH(A181,'Dashboard Items'!$A$2:$A$495,0)),"ID not found"))</f>
        <v/>
      </c>
      <c r="E181" s="99" t="str">
        <f>IF(D181="","",IFERROR(INDEX('Dashboard Items'!$C$2:$C$495,MATCH(D181,'Dashboard Items'!$A$2:$A$495,0)),"ID not found"))</f>
        <v/>
      </c>
      <c r="F181" s="99" t="str">
        <f>IF(D181="","",IFERROR(INDEX('Dashboard Items'!$F$2:$F$495,MATCH(D181,'Dashboard Items'!$A$2:$A$495,0)),"ID not found"))</f>
        <v/>
      </c>
    </row>
    <row r="182" spans="2:6" ht="15" customHeight="1" x14ac:dyDescent="0.2">
      <c r="B182" s="99" t="str">
        <f>IF(A182="","",IFERROR(INDEX('Dashboard Items'!$C$2:$C$495,MATCH(A182,'Dashboard Items'!$A$2:$A$495,0)),"ID not found"))</f>
        <v/>
      </c>
      <c r="C182" s="99" t="str">
        <f>IF(A182="","",IFERROR(INDEX('Dashboard Items'!$E$2:$E$495,MATCH(A182,'Dashboard Items'!$A$2:$A$495,0)),"ID not found"))</f>
        <v/>
      </c>
      <c r="E182" s="99" t="str">
        <f>IF(D182="","",IFERROR(INDEX('Dashboard Items'!$C$2:$C$495,MATCH(D182,'Dashboard Items'!$A$2:$A$495,0)),"ID not found"))</f>
        <v/>
      </c>
      <c r="F182" s="99" t="str">
        <f>IF(D182="","",IFERROR(INDEX('Dashboard Items'!$F$2:$F$495,MATCH(D182,'Dashboard Items'!$A$2:$A$495,0)),"ID not found"))</f>
        <v/>
      </c>
    </row>
    <row r="183" spans="2:6" ht="15" customHeight="1" x14ac:dyDescent="0.2">
      <c r="B183" s="99" t="str">
        <f>IF(A183="","",IFERROR(INDEX('Dashboard Items'!$C$2:$C$495,MATCH(A183,'Dashboard Items'!$A$2:$A$495,0)),"ID not found"))</f>
        <v/>
      </c>
      <c r="C183" s="99" t="str">
        <f>IF(A183="","",IFERROR(INDEX('Dashboard Items'!$E$2:$E$495,MATCH(A183,'Dashboard Items'!$A$2:$A$495,0)),"ID not found"))</f>
        <v/>
      </c>
      <c r="E183" s="99" t="str">
        <f>IF(D183="","",IFERROR(INDEX('Dashboard Items'!$C$2:$C$495,MATCH(D183,'Dashboard Items'!$A$2:$A$495,0)),"ID not found"))</f>
        <v/>
      </c>
      <c r="F183" s="99" t="str">
        <f>IF(D183="","",IFERROR(INDEX('Dashboard Items'!$F$2:$F$495,MATCH(D183,'Dashboard Items'!$A$2:$A$495,0)),"ID not found"))</f>
        <v/>
      </c>
    </row>
    <row r="184" spans="2:6" ht="15" customHeight="1" x14ac:dyDescent="0.2">
      <c r="B184" s="99" t="str">
        <f>IF(A184="","",IFERROR(INDEX('Dashboard Items'!$C$2:$C$495,MATCH(A184,'Dashboard Items'!$A$2:$A$495,0)),"ID not found"))</f>
        <v/>
      </c>
      <c r="C184" s="99" t="str">
        <f>IF(A184="","",IFERROR(INDEX('Dashboard Items'!$E$2:$E$495,MATCH(A184,'Dashboard Items'!$A$2:$A$495,0)),"ID not found"))</f>
        <v/>
      </c>
      <c r="E184" s="99" t="str">
        <f>IF(D184="","",IFERROR(INDEX('Dashboard Items'!$C$2:$C$495,MATCH(D184,'Dashboard Items'!$A$2:$A$495,0)),"ID not found"))</f>
        <v/>
      </c>
      <c r="F184" s="99" t="str">
        <f>IF(D184="","",IFERROR(INDEX('Dashboard Items'!$F$2:$F$495,MATCH(D184,'Dashboard Items'!$A$2:$A$495,0)),"ID not found"))</f>
        <v/>
      </c>
    </row>
    <row r="185" spans="2:6" ht="15" customHeight="1" x14ac:dyDescent="0.2">
      <c r="B185" s="99" t="str">
        <f>IF(A185="","",IFERROR(INDEX('Dashboard Items'!$C$2:$C$495,MATCH(A185,'Dashboard Items'!$A$2:$A$495,0)),"ID not found"))</f>
        <v/>
      </c>
      <c r="C185" s="99" t="str">
        <f>IF(A185="","",IFERROR(INDEX('Dashboard Items'!$E$2:$E$495,MATCH(A185,'Dashboard Items'!$A$2:$A$495,0)),"ID not found"))</f>
        <v/>
      </c>
      <c r="E185" s="99" t="str">
        <f>IF(D185="","",IFERROR(INDEX('Dashboard Items'!$C$2:$C$495,MATCH(D185,'Dashboard Items'!$A$2:$A$495,0)),"ID not found"))</f>
        <v/>
      </c>
      <c r="F185" s="99" t="str">
        <f>IF(D185="","",IFERROR(INDEX('Dashboard Items'!$F$2:$F$495,MATCH(D185,'Dashboard Items'!$A$2:$A$495,0)),"ID not found"))</f>
        <v/>
      </c>
    </row>
    <row r="186" spans="2:6" ht="15" customHeight="1" x14ac:dyDescent="0.2">
      <c r="B186" s="99" t="str">
        <f>IF(A186="","",IFERROR(INDEX('Dashboard Items'!$C$2:$C$495,MATCH(A186,'Dashboard Items'!$A$2:$A$495,0)),"ID not found"))</f>
        <v/>
      </c>
      <c r="C186" s="99" t="str">
        <f>IF(A186="","",IFERROR(INDEX('Dashboard Items'!$E$2:$E$495,MATCH(A186,'Dashboard Items'!$A$2:$A$495,0)),"ID not found"))</f>
        <v/>
      </c>
      <c r="E186" s="99" t="str">
        <f>IF(D186="","",IFERROR(INDEX('Dashboard Items'!$C$2:$C$495,MATCH(D186,'Dashboard Items'!$A$2:$A$495,0)),"ID not found"))</f>
        <v/>
      </c>
      <c r="F186" s="99" t="str">
        <f>IF(D186="","",IFERROR(INDEX('Dashboard Items'!$F$2:$F$495,MATCH(D186,'Dashboard Items'!$A$2:$A$495,0)),"ID not found"))</f>
        <v/>
      </c>
    </row>
    <row r="187" spans="2:6" ht="15" customHeight="1" x14ac:dyDescent="0.2">
      <c r="B187" s="99" t="str">
        <f>IF(A187="","",IFERROR(INDEX('Dashboard Items'!$C$2:$C$495,MATCH(A187,'Dashboard Items'!$A$2:$A$495,0)),"ID not found"))</f>
        <v/>
      </c>
      <c r="C187" s="99" t="str">
        <f>IF(A187="","",IFERROR(INDEX('Dashboard Items'!$E$2:$E$495,MATCH(A187,'Dashboard Items'!$A$2:$A$495,0)),"ID not found"))</f>
        <v/>
      </c>
      <c r="E187" s="99" t="str">
        <f>IF(D187="","",IFERROR(INDEX('Dashboard Items'!$C$2:$C$495,MATCH(D187,'Dashboard Items'!$A$2:$A$495,0)),"ID not found"))</f>
        <v/>
      </c>
      <c r="F187" s="99" t="str">
        <f>IF(D187="","",IFERROR(INDEX('Dashboard Items'!$F$2:$F$495,MATCH(D187,'Dashboard Items'!$A$2:$A$495,0)),"ID not found"))</f>
        <v/>
      </c>
    </row>
    <row r="188" spans="2:6" ht="15" customHeight="1" x14ac:dyDescent="0.2">
      <c r="B188" s="99" t="str">
        <f>IF(A188="","",IFERROR(INDEX('Dashboard Items'!$C$2:$C$495,MATCH(A188,'Dashboard Items'!$A$2:$A$495,0)),"ID not found"))</f>
        <v/>
      </c>
      <c r="C188" s="99" t="str">
        <f>IF(A188="","",IFERROR(INDEX('Dashboard Items'!$E$2:$E$495,MATCH(A188,'Dashboard Items'!$A$2:$A$495,0)),"ID not found"))</f>
        <v/>
      </c>
      <c r="E188" s="99" t="str">
        <f>IF(D188="","",IFERROR(INDEX('Dashboard Items'!$C$2:$C$495,MATCH(D188,'Dashboard Items'!$A$2:$A$495,0)),"ID not found"))</f>
        <v/>
      </c>
      <c r="F188" s="99" t="str">
        <f>IF(D188="","",IFERROR(INDEX('Dashboard Items'!$F$2:$F$495,MATCH(D188,'Dashboard Items'!$A$2:$A$495,0)),"ID not found"))</f>
        <v/>
      </c>
    </row>
    <row r="189" spans="2:6" ht="15" customHeight="1" x14ac:dyDescent="0.2">
      <c r="B189" s="99" t="str">
        <f>IF(A189="","",IFERROR(INDEX('Dashboard Items'!$C$2:$C$495,MATCH(A189,'Dashboard Items'!$A$2:$A$495,0)),"ID not found"))</f>
        <v/>
      </c>
      <c r="C189" s="99" t="str">
        <f>IF(A189="","",IFERROR(INDEX('Dashboard Items'!$E$2:$E$495,MATCH(A189,'Dashboard Items'!$A$2:$A$495,0)),"ID not found"))</f>
        <v/>
      </c>
      <c r="E189" s="99" t="str">
        <f>IF(D189="","",IFERROR(INDEX('Dashboard Items'!$C$2:$C$495,MATCH(D189,'Dashboard Items'!$A$2:$A$495,0)),"ID not found"))</f>
        <v/>
      </c>
      <c r="F189" s="99" t="str">
        <f>IF(D189="","",IFERROR(INDEX('Dashboard Items'!$F$2:$F$495,MATCH(D189,'Dashboard Items'!$A$2:$A$495,0)),"ID not found"))</f>
        <v/>
      </c>
    </row>
    <row r="190" spans="2:6" ht="15" customHeight="1" x14ac:dyDescent="0.2">
      <c r="B190" s="99" t="str">
        <f>IF(A190="","",IFERROR(INDEX('Dashboard Items'!$C$2:$C$495,MATCH(A190,'Dashboard Items'!$A$2:$A$495,0)),"ID not found"))</f>
        <v/>
      </c>
      <c r="C190" s="99" t="str">
        <f>IF(A190="","",IFERROR(INDEX('Dashboard Items'!$E$2:$E$495,MATCH(A190,'Dashboard Items'!$A$2:$A$495,0)),"ID not found"))</f>
        <v/>
      </c>
      <c r="E190" s="99" t="str">
        <f>IF(D190="","",IFERROR(INDEX('Dashboard Items'!$C$2:$C$495,MATCH(D190,'Dashboard Items'!$A$2:$A$495,0)),"ID not found"))</f>
        <v/>
      </c>
      <c r="F190" s="99" t="str">
        <f>IF(D190="","",IFERROR(INDEX('Dashboard Items'!$F$2:$F$495,MATCH(D190,'Dashboard Items'!$A$2:$A$495,0)),"ID not found"))</f>
        <v/>
      </c>
    </row>
    <row r="191" spans="2:6" ht="15" customHeight="1" x14ac:dyDescent="0.2">
      <c r="B191" s="99" t="str">
        <f>IF(A191="","",IFERROR(INDEX('Dashboard Items'!$C$2:$C$495,MATCH(A191,'Dashboard Items'!$A$2:$A$495,0)),"ID not found"))</f>
        <v/>
      </c>
      <c r="C191" s="99" t="str">
        <f>IF(A191="","",IFERROR(INDEX('Dashboard Items'!$E$2:$E$495,MATCH(A191,'Dashboard Items'!$A$2:$A$495,0)),"ID not found"))</f>
        <v/>
      </c>
      <c r="E191" s="99" t="str">
        <f>IF(D191="","",IFERROR(INDEX('Dashboard Items'!$C$2:$C$495,MATCH(D191,'Dashboard Items'!$A$2:$A$495,0)),"ID not found"))</f>
        <v/>
      </c>
      <c r="F191" s="99" t="str">
        <f>IF(D191="","",IFERROR(INDEX('Dashboard Items'!$F$2:$F$495,MATCH(D191,'Dashboard Items'!$A$2:$A$495,0)),"ID not found"))</f>
        <v/>
      </c>
    </row>
    <row r="192" spans="2:6" ht="15" customHeight="1" x14ac:dyDescent="0.2">
      <c r="B192" s="99" t="str">
        <f>IF(A192="","",IFERROR(INDEX('Dashboard Items'!$C$2:$C$495,MATCH(A192,'Dashboard Items'!$A$2:$A$495,0)),"ID not found"))</f>
        <v/>
      </c>
      <c r="C192" s="99" t="str">
        <f>IF(A192="","",IFERROR(INDEX('Dashboard Items'!$E$2:$E$495,MATCH(A192,'Dashboard Items'!$A$2:$A$495,0)),"ID not found"))</f>
        <v/>
      </c>
      <c r="E192" s="99" t="str">
        <f>IF(D192="","",IFERROR(INDEX('Dashboard Items'!$C$2:$C$495,MATCH(D192,'Dashboard Items'!$A$2:$A$495,0)),"ID not found"))</f>
        <v/>
      </c>
      <c r="F192" s="99" t="str">
        <f>IF(D192="","",IFERROR(INDEX('Dashboard Items'!$F$2:$F$495,MATCH(D192,'Dashboard Items'!$A$2:$A$495,0)),"ID not found"))</f>
        <v/>
      </c>
    </row>
    <row r="193" spans="2:6" ht="15" customHeight="1" x14ac:dyDescent="0.2">
      <c r="B193" s="99" t="str">
        <f>IF(A193="","",IFERROR(INDEX('Dashboard Items'!$C$2:$C$495,MATCH(A193,'Dashboard Items'!$A$2:$A$495,0)),"ID not found"))</f>
        <v/>
      </c>
      <c r="C193" s="99" t="str">
        <f>IF(A193="","",IFERROR(INDEX('Dashboard Items'!$E$2:$E$495,MATCH(A193,'Dashboard Items'!$A$2:$A$495,0)),"ID not found"))</f>
        <v/>
      </c>
      <c r="E193" s="99" t="str">
        <f>IF(D193="","",IFERROR(INDEX('Dashboard Items'!$C$2:$C$495,MATCH(D193,'Dashboard Items'!$A$2:$A$495,0)),"ID not found"))</f>
        <v/>
      </c>
      <c r="F193" s="99" t="str">
        <f>IF(D193="","",IFERROR(INDEX('Dashboard Items'!$F$2:$F$495,MATCH(D193,'Dashboard Items'!$A$2:$A$495,0)),"ID not found"))</f>
        <v/>
      </c>
    </row>
    <row r="194" spans="2:6" ht="15" customHeight="1" x14ac:dyDescent="0.2">
      <c r="B194" s="99" t="str">
        <f>IF(A194="","",IFERROR(INDEX('Dashboard Items'!$C$2:$C$495,MATCH(A194,'Dashboard Items'!$A$2:$A$495,0)),"ID not found"))</f>
        <v/>
      </c>
      <c r="C194" s="99" t="str">
        <f>IF(A194="","",IFERROR(INDEX('Dashboard Items'!$E$2:$E$495,MATCH(A194,'Dashboard Items'!$A$2:$A$495,0)),"ID not found"))</f>
        <v/>
      </c>
      <c r="E194" s="99" t="str">
        <f>IF(D194="","",IFERROR(INDEX('Dashboard Items'!$C$2:$C$495,MATCH(D194,'Dashboard Items'!$A$2:$A$495,0)),"ID not found"))</f>
        <v/>
      </c>
      <c r="F194" s="99" t="str">
        <f>IF(D194="","",IFERROR(INDEX('Dashboard Items'!$F$2:$F$495,MATCH(D194,'Dashboard Items'!$A$2:$A$495,0)),"ID not found"))</f>
        <v/>
      </c>
    </row>
    <row r="195" spans="2:6" ht="15" customHeight="1" x14ac:dyDescent="0.2">
      <c r="B195" s="99" t="str">
        <f>IF(A195="","",IFERROR(INDEX('Dashboard Items'!$C$2:$C$495,MATCH(A195,'Dashboard Items'!$A$2:$A$495,0)),"ID not found"))</f>
        <v/>
      </c>
      <c r="C195" s="99" t="str">
        <f>IF(A195="","",IFERROR(INDEX('Dashboard Items'!$E$2:$E$495,MATCH(A195,'Dashboard Items'!$A$2:$A$495,0)),"ID not found"))</f>
        <v/>
      </c>
      <c r="E195" s="99" t="str">
        <f>IF(D195="","",IFERROR(INDEX('Dashboard Items'!$C$2:$C$495,MATCH(D195,'Dashboard Items'!$A$2:$A$495,0)),"ID not found"))</f>
        <v/>
      </c>
      <c r="F195" s="99" t="str">
        <f>IF(D195="","",IFERROR(INDEX('Dashboard Items'!$F$2:$F$495,MATCH(D195,'Dashboard Items'!$A$2:$A$495,0)),"ID not found"))</f>
        <v/>
      </c>
    </row>
    <row r="196" spans="2:6" ht="15" customHeight="1" x14ac:dyDescent="0.2">
      <c r="B196" s="99" t="str">
        <f>IF(A196="","",IFERROR(INDEX('Dashboard Items'!$C$2:$C$495,MATCH(A196,'Dashboard Items'!$A$2:$A$495,0)),"ID not found"))</f>
        <v/>
      </c>
      <c r="C196" s="99" t="str">
        <f>IF(A196="","",IFERROR(INDEX('Dashboard Items'!$E$2:$E$495,MATCH(A196,'Dashboard Items'!$A$2:$A$495,0)),"ID not found"))</f>
        <v/>
      </c>
      <c r="E196" s="99" t="str">
        <f>IF(D196="","",IFERROR(INDEX('Dashboard Items'!$C$2:$C$495,MATCH(D196,'Dashboard Items'!$A$2:$A$495,0)),"ID not found"))</f>
        <v/>
      </c>
      <c r="F196" s="99" t="str">
        <f>IF(D196="","",IFERROR(INDEX('Dashboard Items'!$F$2:$F$495,MATCH(D196,'Dashboard Items'!$A$2:$A$495,0)),"ID not found"))</f>
        <v/>
      </c>
    </row>
    <row r="197" spans="2:6" ht="15" customHeight="1" x14ac:dyDescent="0.2">
      <c r="B197" s="99" t="str">
        <f>IF(A197="","",IFERROR(INDEX('Dashboard Items'!$C$2:$C$495,MATCH(A197,'Dashboard Items'!$A$2:$A$495,0)),"ID not found"))</f>
        <v/>
      </c>
      <c r="C197" s="99" t="str">
        <f>IF(A197="","",IFERROR(INDEX('Dashboard Items'!$E$2:$E$495,MATCH(A197,'Dashboard Items'!$A$2:$A$495,0)),"ID not found"))</f>
        <v/>
      </c>
      <c r="E197" s="99" t="str">
        <f>IF(D197="","",IFERROR(INDEX('Dashboard Items'!$C$2:$C$495,MATCH(D197,'Dashboard Items'!$A$2:$A$495,0)),"ID not found"))</f>
        <v/>
      </c>
      <c r="F197" s="99" t="str">
        <f>IF(D197="","",IFERROR(INDEX('Dashboard Items'!$F$2:$F$495,MATCH(D197,'Dashboard Items'!$A$2:$A$495,0)),"ID not found"))</f>
        <v/>
      </c>
    </row>
    <row r="198" spans="2:6" ht="15" customHeight="1" x14ac:dyDescent="0.2">
      <c r="B198" s="99" t="str">
        <f>IF(A198="","",IFERROR(INDEX('Dashboard Items'!$C$2:$C$495,MATCH(A198,'Dashboard Items'!$A$2:$A$495,0)),"ID not found"))</f>
        <v/>
      </c>
      <c r="C198" s="99" t="str">
        <f>IF(A198="","",IFERROR(INDEX('Dashboard Items'!$E$2:$E$495,MATCH(A198,'Dashboard Items'!$A$2:$A$495,0)),"ID not found"))</f>
        <v/>
      </c>
      <c r="E198" s="99" t="str">
        <f>IF(D198="","",IFERROR(INDEX('Dashboard Items'!$C$2:$C$495,MATCH(D198,'Dashboard Items'!$A$2:$A$495,0)),"ID not found"))</f>
        <v/>
      </c>
      <c r="F198" s="99" t="str">
        <f>IF(D198="","",IFERROR(INDEX('Dashboard Items'!$F$2:$F$495,MATCH(D198,'Dashboard Items'!$A$2:$A$495,0)),"ID not found"))</f>
        <v/>
      </c>
    </row>
    <row r="199" spans="2:6" ht="15" customHeight="1" x14ac:dyDescent="0.2">
      <c r="B199" s="99" t="str">
        <f>IF(A199="","",IFERROR(INDEX('Dashboard Items'!$C$2:$C$495,MATCH(A199,'Dashboard Items'!$A$2:$A$495,0)),"ID not found"))</f>
        <v/>
      </c>
      <c r="C199" s="99" t="str">
        <f>IF(A199="","",IFERROR(INDEX('Dashboard Items'!$E$2:$E$495,MATCH(A199,'Dashboard Items'!$A$2:$A$495,0)),"ID not found"))</f>
        <v/>
      </c>
      <c r="E199" s="99" t="str">
        <f>IF(D199="","",IFERROR(INDEX('Dashboard Items'!$C$2:$C$495,MATCH(D199,'Dashboard Items'!$A$2:$A$495,0)),"ID not found"))</f>
        <v/>
      </c>
      <c r="F199" s="99" t="str">
        <f>IF(D199="","",IFERROR(INDEX('Dashboard Items'!$F$2:$F$495,MATCH(D199,'Dashboard Items'!$A$2:$A$495,0)),"ID not found"))</f>
        <v/>
      </c>
    </row>
    <row r="200" spans="2:6" ht="15" customHeight="1" x14ac:dyDescent="0.2">
      <c r="B200" s="99" t="str">
        <f>IF(A200="","",IFERROR(INDEX('Dashboard Items'!$C$2:$C$495,MATCH(A200,'Dashboard Items'!$A$2:$A$495,0)),"ID not found"))</f>
        <v/>
      </c>
      <c r="C200" s="99" t="str">
        <f>IF(A200="","",IFERROR(INDEX('Dashboard Items'!$E$2:$E$495,MATCH(A200,'Dashboard Items'!$A$2:$A$495,0)),"ID not found"))</f>
        <v/>
      </c>
      <c r="E200" s="99" t="str">
        <f>IF(D200="","",IFERROR(INDEX('Dashboard Items'!$C$2:$C$495,MATCH(D200,'Dashboard Items'!$A$2:$A$495,0)),"ID not found"))</f>
        <v/>
      </c>
      <c r="F200" s="99" t="str">
        <f>IF(D200="","",IFERROR(INDEX('Dashboard Items'!$F$2:$F$495,MATCH(D200,'Dashboard Items'!$A$2:$A$495,0)),"ID not found"))</f>
        <v/>
      </c>
    </row>
  </sheetData>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Planning</vt:lpstr>
      <vt:lpstr>Metric Wireframe (work system)</vt:lpstr>
      <vt:lpstr>Metric Wireframe (goal area)</vt:lpstr>
      <vt:lpstr>KPI Catalog</vt:lpstr>
      <vt:lpstr>KPI Data</vt:lpstr>
      <vt:lpstr>Dashboard Items</vt:lpstr>
      <vt:lpstr>Objective Alignment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Lord, Mary Cathryn</cp:lastModifiedBy>
  <cp:revision>0</cp:revision>
  <dcterms:created xsi:type="dcterms:W3CDTF">2026-10-02T22:23:19Z</dcterms:created>
  <dcterms:modified xsi:type="dcterms:W3CDTF">2026-10-21T16:20:07Z</dcterms:modified>
  <dc:language>en-US</dc:language>
</cp:coreProperties>
</file>