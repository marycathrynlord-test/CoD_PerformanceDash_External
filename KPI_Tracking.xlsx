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B954BF5D-F4E6-D54E-950F-30B9B3C1D474}" xr6:coauthVersionLast="47" xr6:coauthVersionMax="47" xr10:uidLastSave="{00000000-0000-0000-0000-000000000000}"/>
  <bookViews>
    <workbookView xWindow="0" yWindow="0" windowWidth="38400" windowHeight="21600" tabRatio="500" activeTab="2"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3" i="2" l="1"/>
  <c r="E12" i="2"/>
  <c r="E11" i="2"/>
  <c r="E10" i="2"/>
  <c r="E9" i="2"/>
  <c r="E8" i="2"/>
  <c r="E7" i="2"/>
  <c r="E6" i="2"/>
  <c r="E5" i="2"/>
  <c r="E4" i="2"/>
  <c r="E3" i="2"/>
  <c r="G308" i="2"/>
  <c r="E308" i="2"/>
  <c r="G307" i="2"/>
  <c r="E307" i="2"/>
  <c r="G306" i="2"/>
  <c r="E306" i="2"/>
  <c r="G305" i="2"/>
  <c r="E305" i="2"/>
  <c r="G304" i="2"/>
  <c r="E304" i="2"/>
  <c r="G303" i="2"/>
  <c r="E303" i="2"/>
  <c r="G302" i="2"/>
  <c r="E302" i="2"/>
  <c r="G301" i="2"/>
  <c r="E301" i="2"/>
  <c r="G300" i="2"/>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2" i="2"/>
  <c r="E2" i="2"/>
</calcChain>
</file>

<file path=xl/sharedStrings.xml><?xml version="1.0" encoding="utf-8"?>
<sst xmlns="http://schemas.openxmlformats.org/spreadsheetml/2006/main" count="1322" uniqueCount="510">
  <si>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</si>
  <si>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</si>
  <si>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</si>
  <si>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</si>
  <si>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</si>
  <si>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</si>
  <si>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</si>
  <si>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</si>
  <si>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</si>
  <si>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</si>
  <si>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</si>
  <si>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</si>
  <si>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</si>
  <si>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</si>
  <si>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</si>
  <si>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</si>
  <si>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</si>
  <si>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</si>
  <si>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</si>
  <si>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</si>
  <si>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</si>
  <si>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</si>
  <si>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</si>
  <si>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</si>
  <si>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</si>
  <si>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</si>
  <si>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</si>
  <si>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</si>
  <si>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</si>
  <si>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</si>
  <si>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</si>
  <si>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</si>
  <si>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</si>
  <si>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</si>
  <si>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</si>
  <si>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</si>
  <si>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</si>
  <si>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</si>
  <si>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</si>
  <si>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</si>
  <si>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</si>
  <si>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</si>
  <si>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</si>
  <si>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</si>
  <si>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</si>
  <si>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</si>
  <si>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</si>
  <si>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</si>
  <si>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</si>
  <si>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</si>
  <si>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</si>
  <si>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</si>
  <si>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</si>
  <si>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</si>
  <si>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</si>
  <si>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</si>
  <si>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</si>
  <si>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</si>
  <si>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</si>
  <si>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</si>
  <si>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</si>
  <si>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</si>
  <si>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</si>
  <si>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</si>
  <si>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</si>
  <si>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</si>
  <si>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</si>
  <si>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</si>
  <si>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</si>
  <si>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</si>
  <si>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</si>
  <si>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</si>
  <si>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</si>
  <si>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</si>
  <si>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</si>
  <si>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</si>
  <si>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</si>
  <si>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</si>
  <si>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</si>
  <si>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</si>
  <si>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</si>
  <si>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</si>
  <si>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</si>
  <si>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</si>
  <si>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</si>
  <si>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</si>
  <si>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</si>
  <si>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</si>
  <si>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</si>
  <si>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</si>
  <si>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</si>
  <si>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</si>
  <si>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</si>
  <si>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</si>
  <si>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</si>
  <si>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</si>
  <si>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</si>
  <si>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</si>
  <si>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</si>
  <si>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</si>
  <si>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</si>
  <si>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</si>
  <si>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</si>
  <si>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</si>
  <si>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</si>
  <si>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</si>
  <si>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</si>
  <si>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</si>
  <si>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</si>
  <si>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</si>
  <si>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</si>
  <si>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</si>
  <si>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</si>
  <si>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</si>
  <si>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</si>
  <si>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</si>
  <si>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</si>
  <si>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</si>
  <si>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</si>
  <si>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</si>
  <si>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</si>
  <si>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</si>
  <si>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</si>
  <si>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</si>
  <si>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</si>
  <si>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</si>
  <si>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</si>
  <si>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</si>
  <si>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</si>
  <si>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</si>
  <si>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</si>
  <si>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</si>
  <si>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</si>
  <si>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</si>
  <si>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</si>
  <si>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</si>
  <si>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</si>
  <si>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</si>
  <si>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</si>
  <si>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</si>
  <si>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</si>
  <si>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</si>
  <si>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</si>
  <si>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</si>
  <si>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</si>
  <si>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</si>
  <si>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</si>
  <si>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</si>
  <si>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</si>
  <si>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</si>
  <si>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</si>
  <si>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</si>
  <si>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</si>
  <si>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</si>
  <si>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</si>
  <si>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</si>
  <si>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</si>
  <si>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</si>
  <si>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</si>
  <si>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</si>
  <si>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</si>
  <si>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</si>
  <si>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</si>
  <si>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</si>
  <si>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</si>
  <si>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</si>
  <si>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</si>
  <si>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</si>
  <si>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</si>
  <si>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</si>
  <si>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</si>
  <si>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</si>
  <si>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</si>
  <si>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</si>
  <si>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</si>
  <si>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</si>
  <si>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</si>
  <si>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</si>
  <si>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</si>
  <si>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</si>
  <si>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</si>
  <si>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</si>
  <si>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</si>
  <si>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</si>
  <si>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</si>
  <si>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</si>
  <si>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</si>
  <si>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</si>
  <si>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</si>
  <si>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</si>
  <si>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</si>
  <si>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</si>
  <si>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</si>
  <si>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</si>
  <si>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</si>
  <si>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</si>
  <si>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</si>
  <si>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</si>
  <si>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</si>
  <si>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</si>
  <si>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</si>
  <si>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</si>
  <si>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</si>
  <si>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</si>
  <si>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</si>
  <si>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</si>
  <si>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</si>
  <si>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</si>
  <si>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</si>
  <si>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</si>
  <si>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</si>
  <si>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</si>
  <si>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</si>
  <si>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</si>
  <si>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</si>
  <si>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</si>
  <si>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</si>
  <si>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</si>
  <si>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</si>
  <si>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</si>
  <si>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</si>
  <si>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</si>
  <si>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</si>
  <si>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</si>
  <si>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</si>
  <si>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</si>
  <si>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</si>
  <si>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</si>
  <si>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</si>
  <si>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</si>
  <si>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</si>
  <si>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</si>
  <si>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</si>
  <si>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</si>
  <si>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</si>
  <si>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</si>
  <si>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</si>
  <si>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</si>
  <si>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</si>
  <si>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</si>
  <si>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</si>
  <si>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</si>
  <si>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</si>
  <si>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</si>
  <si>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</si>
  <si>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</si>
  <si>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</si>
  <si>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</si>
  <si>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</si>
  <si>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</si>
  <si>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</si>
  <si>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</si>
  <si>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</si>
  <si>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</si>
  <si>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</si>
  <si>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</si>
  <si>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</si>
  <si>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</si>
  <si>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</si>
  <si>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</si>
  <si>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</si>
  <si>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</si>
  <si>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</si>
  <si>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</si>
  <si>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</si>
  <si>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</si>
  <si>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</si>
  <si>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</si>
  <si>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</si>
  <si>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</si>
  <si>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</si>
  <si>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</si>
  <si>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</si>
  <si>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</si>
  <si>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</si>
  <si>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</si>
  <si>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</si>
  <si>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</si>
  <si>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</si>
  <si>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</si>
  <si>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</si>
  <si>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</si>
  <si>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</si>
  <si>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</si>
  <si>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</si>
  <si>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</si>
  <si>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</si>
  <si>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</si>
  <si>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</si>
  <si>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</si>
  <si>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</si>
  <si>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</si>
  <si>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</si>
  <si>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</si>
  <si>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</si>
  <si>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</si>
  <si>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</si>
  <si>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</si>
  <si>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</si>
  <si>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</si>
  <si>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</si>
  <si>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</si>
  <si>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</si>
  <si>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</si>
  <si>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</si>
  <si>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</si>
  <si>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</si>
  <si>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</si>
  <si>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</si>
  <si>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</si>
  <si>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</si>
  <si>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</si>
  <si>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</si>
  <si>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</si>
  <si>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</si>
  <si>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</si>
  <si>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</si>
  <si>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</si>
  <si>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</si>
  <si>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</si>
  <si>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p83</t>
  </si>
  <si>
    <t>p84</t>
  </si>
  <si>
    <t>p85</t>
  </si>
  <si>
    <t>p86</t>
  </si>
  <si>
    <t>p87</t>
  </si>
  <si>
    <t>p88</t>
  </si>
  <si>
    <t>Park Maintenance</t>
  </si>
  <si>
    <t>p89</t>
  </si>
  <si>
    <t>Trails</t>
  </si>
  <si>
    <t>p90</t>
  </si>
  <si>
    <t>Natural Resource Management</t>
  </si>
  <si>
    <t>p91</t>
  </si>
  <si>
    <t>Open Space Preservation</t>
  </si>
  <si>
    <t>Cemetery</t>
  </si>
  <si>
    <t>Lake Nighthorse</t>
  </si>
  <si>
    <t>Open Space Management</t>
  </si>
  <si>
    <t>p92</t>
  </si>
  <si>
    <t>Recreation Center</t>
  </si>
  <si>
    <t>p94</t>
  </si>
  <si>
    <t>Youth/Teen Recreation Programs</t>
  </si>
  <si>
    <t>p96</t>
  </si>
  <si>
    <t>Adult/Senior Recreation Programs</t>
  </si>
  <si>
    <t>Chapman Hill</t>
  </si>
  <si>
    <t>Gymnastics Programs</t>
  </si>
  <si>
    <t>p95</t>
  </si>
  <si>
    <t>Community Events</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</si>
  <si>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</si>
  <si>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</si>
  <si>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</si>
  <si>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</si>
  <si>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</si>
  <si>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</si>
  <si>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</si>
  <si>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</si>
  <si>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</si>
  <si>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</si>
  <si>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</si>
  <si>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</si>
  <si>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</si>
  <si>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</si>
  <si>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</si>
  <si>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</si>
  <si>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</si>
  <si>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</si>
  <si>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</si>
  <si>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</si>
  <si>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</si>
  <si>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</si>
  <si>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</si>
  <si>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</si>
  <si>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</si>
  <si>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</si>
  <si>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</si>
  <si>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</si>
  <si>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</si>
  <si>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</si>
  <si>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</si>
  <si>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</si>
  <si>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</si>
  <si>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</si>
  <si>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</si>
  <si>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</si>
  <si>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</si>
  <si>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</si>
  <si>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</si>
  <si>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</si>
  <si>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</si>
  <si>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</si>
  <si>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</si>
  <si>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</si>
  <si>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</si>
  <si>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</si>
  <si>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</si>
  <si>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</si>
  <si>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</si>
  <si>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SysAid</t>
  </si>
  <si>
    <t>Minor</t>
  </si>
  <si>
    <t>Urgent</t>
  </si>
  <si>
    <t>Critical</t>
  </si>
  <si>
    <t>Normal</t>
  </si>
  <si>
    <t>No</t>
  </si>
  <si>
    <t>Every Quarter</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</si>
  <si>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</si>
  <si>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</si>
  <si>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</si>
  <si>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</si>
  <si>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</si>
  <si>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</si>
  <si>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</si>
  <si>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</si>
  <si>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</si>
  <si>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</si>
  <si>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</si>
  <si>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</si>
  <si>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</si>
  <si>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</si>
  <si>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</si>
  <si>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</si>
  <si>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</si>
  <si>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</si>
  <si>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</si>
  <si>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</si>
  <si>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</si>
  <si>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Visitation</t>
  </si>
  <si>
    <t>number</t>
  </si>
  <si>
    <t>Every Year</t>
  </si>
  <si>
    <t>HR Director</t>
  </si>
  <si>
    <t>IT Director</t>
  </si>
  <si>
    <t>Library Director</t>
  </si>
  <si>
    <t>HR-TIMETOHIRE</t>
  </si>
  <si>
    <t>HR-EMPENG</t>
  </si>
  <si>
    <t>HR-VACANCYRATE</t>
  </si>
  <si>
    <t>HR-QUITRATE</t>
  </si>
  <si>
    <t>HR-CLICKTHRURATE</t>
  </si>
  <si>
    <t>RISK-DOTCOMP</t>
  </si>
  <si>
    <t>RISK-EMOD</t>
  </si>
  <si>
    <t>RISK-PREMIUMSCORE</t>
  </si>
  <si>
    <t>RISK-WORKCOMP</t>
  </si>
  <si>
    <t>RISK-PROPCLAIMS</t>
  </si>
  <si>
    <t>RISK-ACCIDENTREV</t>
  </si>
  <si>
    <t>RISK-TRAININGS</t>
  </si>
  <si>
    <t xml:space="preserve">Property casualty claims </t>
  </si>
  <si>
    <t>Workers' compensation</t>
  </si>
  <si>
    <t>Experience modificationscore</t>
  </si>
  <si>
    <t>DOT compliance score</t>
  </si>
  <si>
    <t>Accident review board scoring</t>
  </si>
  <si>
    <t>Loss run report for workers' comp</t>
  </si>
  <si>
    <t>Safety trainings</t>
  </si>
  <si>
    <t>Safety / Risk Administrator</t>
  </si>
  <si>
    <t>IT-PITSURV</t>
  </si>
  <si>
    <t>IT-TIXSLA</t>
  </si>
  <si>
    <t>IT-PHISHRATE</t>
  </si>
  <si>
    <t>LIB-VISITS</t>
  </si>
  <si>
    <t>LIB-ROOMRENTALS</t>
  </si>
  <si>
    <t>LIB-REFQUEST</t>
  </si>
  <si>
    <t>LIB-SOCIALENG</t>
  </si>
  <si>
    <t>LIB-PATRONPPROG</t>
  </si>
  <si>
    <t>LIB-PROGATTEND</t>
  </si>
  <si>
    <t>LIB-OUTREACHCON</t>
  </si>
  <si>
    <t>Click through rate on City's election landing page</t>
  </si>
  <si>
    <t>Voter turnout (%)</t>
  </si>
  <si>
    <t>Response rate for public election related questions</t>
  </si>
  <si>
    <t>CLERK-CLICKTHRURATE</t>
  </si>
  <si>
    <t>CLERK-VOTERTURNOUT</t>
  </si>
  <si>
    <t>CLERK-LOGICTEST</t>
  </si>
  <si>
    <t>Liquor and marijuana license turnaround</t>
  </si>
  <si>
    <t>CLERK-QRESPRATE</t>
  </si>
  <si>
    <t>CLERK-CORARESPRATE</t>
  </si>
  <si>
    <t>CLERK-AGENDAPOST</t>
  </si>
  <si>
    <t>CLERK-LIQMARJLIC</t>
  </si>
  <si>
    <t>CLERK-BIZLIC</t>
  </si>
  <si>
    <t>MUNI-SPECCOURT</t>
  </si>
  <si>
    <t># cases resolved through graduating from specialty court</t>
  </si>
  <si>
    <t>Time to hire</t>
  </si>
  <si>
    <t>90 day quit rate</t>
  </si>
  <si>
    <t>Full time vacancy rate</t>
  </si>
  <si>
    <t>Point in time help desk survey</t>
  </si>
  <si>
    <t>Help desk ticket SLA compliance</t>
  </si>
  <si>
    <t>Organization phish prone rate</t>
  </si>
  <si>
    <t>Program room rentals</t>
  </si>
  <si>
    <t>Reference questions</t>
  </si>
  <si>
    <t>Total social media user engagement</t>
  </si>
  <si>
    <t>Patron per program</t>
  </si>
  <si>
    <t>Total program attendance</t>
  </si>
  <si>
    <t>Total outreach contacts</t>
  </si>
  <si>
    <t>Records request response rate</t>
  </si>
  <si>
    <t>Agenda posting time</t>
  </si>
  <si>
    <t>Business license turnaround time</t>
  </si>
  <si>
    <t>Logic and accuracy test</t>
  </si>
  <si>
    <t>X</t>
  </si>
  <si>
    <t>Job clickthrough rate</t>
  </si>
  <si>
    <t>PIO-ENGRATE</t>
  </si>
  <si>
    <t>Social media engagement rate</t>
  </si>
  <si>
    <t>Public Information Officer</t>
  </si>
  <si>
    <t>Instagram</t>
  </si>
  <si>
    <t>Facebook</t>
  </si>
  <si>
    <t>LinkedIn</t>
  </si>
  <si>
    <t>TikTok</t>
  </si>
  <si>
    <t>Instagram, Facebook, LinkedIn, TikTok</t>
  </si>
  <si>
    <t>Total circulation (physical and digital)</t>
  </si>
  <si>
    <t>Library Collections &amp; Resources</t>
  </si>
  <si>
    <t>Library Space Utilitzation</t>
  </si>
  <si>
    <t>Library Direct Patron Services</t>
  </si>
  <si>
    <t>Library Programming &amp; Outreach</t>
  </si>
  <si>
    <t>p93</t>
  </si>
  <si>
    <t>Unique wireless use and Total Computer Use</t>
  </si>
  <si>
    <t>LIB-COMPANDWIFI</t>
  </si>
  <si>
    <t>Digital</t>
  </si>
  <si>
    <t>Physical</t>
  </si>
  <si>
    <t>LIB-CIRCULATION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</si>
</sst>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
      <sz val="12"/>
      <color rgb="FF000000"/>
      <name val="Calibri"/>
      <family val="2"/>
      <charset val="1"/>
      <scheme val="minor"/>
    </font>
    <font>
      <sz val="8"/>
      <name val="Calibri"/>
      <family val="2"/>
      <charset val="1"/>
    </font>
  </fonts>
  <fills count="14">
    <fill>
      <patternFill patternType="none"/>
    </fill>
    <fill>
      <patternFill patternType="gray125"/>
    </fill>
    <fill>
      <patternFill patternType="solid">
        <fgColor rgb="FF006A53"/>
        <bgColor rgb="FF008080"/>
      </patternFill>
    </fill>
    <fill>
      <patternFill patternType="solid">
        <fgColor rgb="FFEAF2EF"/>
        <bgColor rgb="FFFFFFFF"/>
      </patternFill>
    </fill>
    <fill>
      <patternFill patternType="solid">
        <fgColor theme="9" tint="0.79998168889431442"/>
        <bgColor indexed="64"/>
      </patternFill>
    </fill>
    <fill>
      <patternFill patternType="solid">
        <fgColor theme="9" tint="0.79998168889431442"/>
        <bgColor rgb="FFFFFFFF"/>
      </patternFill>
    </fill>
    <fill>
      <patternFill patternType="solid">
        <fgColor theme="8" tint="0.79998168889431442"/>
        <bgColor indexed="64"/>
      </patternFill>
    </fill>
    <fill>
      <patternFill patternType="solid">
        <fgColor theme="8" tint="0.79998168889431442"/>
        <bgColor rgb="FFFFFFFF"/>
      </patternFill>
    </fill>
    <fill>
      <patternFill patternType="solid">
        <fgColor theme="7" tint="0.79998168889431442"/>
        <bgColor indexed="64"/>
      </patternFill>
    </fill>
    <fill>
      <patternFill patternType="solid">
        <fgColor theme="7" tint="0.79998168889431442"/>
        <bgColor rgb="FFFFFFFF"/>
      </patternFill>
    </fill>
    <fill>
      <patternFill patternType="solid">
        <fgColor theme="6" tint="0.79998168889431442"/>
        <bgColor indexed="64"/>
      </patternFill>
    </fill>
    <fill>
      <patternFill patternType="solid">
        <fgColor theme="6" tint="0.79998168889431442"/>
        <bgColor rgb="FFFFFFFF"/>
      </patternFill>
    </fill>
    <fill>
      <patternFill patternType="solid">
        <fgColor theme="5" tint="0.79998168889431442"/>
        <bgColor indexed="64"/>
      </patternFill>
    </fill>
    <fill>
      <patternFill patternType="solid">
        <fgColor theme="5" tint="0.79998168889431442"/>
        <bgColor rgb="FFFFFFFF"/>
      </patternFill>
    </fill>
  </fills>
  <borders count="1">
    <border>
      <left/>
      <right/>
      <top/>
      <bottom/>
      <diagonal/>
    </border>
  </borders>
  <cellStyleXfs count="1">
    <xf numFmtId="0" fontId="0" fillId="0" borderId="0"/>
  </cellStyleXfs>
  <cellXfs count="52">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1" fillId="4" borderId="0" xfId="0" applyFont="1" applyFill="1" applyAlignment="1">
      <alignment vertical="top" wrapText="1"/>
    </xf>
    <xf numFmtId="0" fontId="3" fillId="4" borderId="0" xfId="0" applyFont="1" applyFill="1" applyAlignment="1">
      <alignment vertical="top" wrapText="1"/>
    </xf>
    <xf numFmtId="0" fontId="7" fillId="5" borderId="0" xfId="0" applyFont="1" applyFill="1" applyAlignment="1">
      <alignment vertical="top" wrapText="1"/>
    </xf>
    <xf numFmtId="49" fontId="3" fillId="4" borderId="0" xfId="0" applyNumberFormat="1" applyFont="1" applyFill="1" applyAlignment="1">
      <alignment vertical="top" wrapText="1"/>
    </xf>
    <xf numFmtId="0" fontId="0" fillId="4" borderId="0" xfId="0" applyFill="1"/>
    <xf numFmtId="0" fontId="10" fillId="4" borderId="0" xfId="0" applyFont="1" applyFill="1" applyAlignment="1">
      <alignment wrapText="1"/>
    </xf>
    <xf numFmtId="0" fontId="3" fillId="6" borderId="0" xfId="0" applyFont="1" applyFill="1" applyAlignment="1">
      <alignment vertical="top" wrapText="1"/>
    </xf>
    <xf numFmtId="0" fontId="10" fillId="6" borderId="0" xfId="0" applyFont="1" applyFill="1" applyAlignment="1">
      <alignment wrapText="1"/>
    </xf>
    <xf numFmtId="0" fontId="7" fillId="7" borderId="0" xfId="0" applyFont="1" applyFill="1" applyAlignment="1">
      <alignment vertical="top" wrapText="1"/>
    </xf>
    <xf numFmtId="49" fontId="3" fillId="6" borderId="0" xfId="0" applyNumberFormat="1" applyFont="1" applyFill="1" applyAlignment="1">
      <alignment vertical="top" wrapText="1"/>
    </xf>
    <xf numFmtId="0" fontId="1" fillId="6" borderId="0" xfId="0" applyFont="1" applyFill="1" applyAlignment="1">
      <alignment vertical="top" wrapText="1"/>
    </xf>
    <xf numFmtId="0" fontId="0" fillId="6" borderId="0" xfId="0" applyFill="1"/>
    <xf numFmtId="49" fontId="1" fillId="6" borderId="0" xfId="0" applyNumberFormat="1" applyFont="1" applyFill="1" applyAlignment="1">
      <alignment vertical="top" wrapText="1"/>
    </xf>
    <xf numFmtId="0" fontId="1" fillId="8" borderId="0" xfId="0" applyFont="1" applyFill="1" applyAlignment="1">
      <alignment vertical="top" wrapText="1"/>
    </xf>
    <xf numFmtId="0" fontId="9" fillId="8" borderId="0" xfId="0" applyFont="1" applyFill="1"/>
    <xf numFmtId="0" fontId="3" fillId="8" borderId="0" xfId="0" applyFont="1" applyFill="1" applyAlignment="1">
      <alignment vertical="top" wrapText="1"/>
    </xf>
    <xf numFmtId="0" fontId="7" fillId="9" borderId="0" xfId="0" applyFont="1" applyFill="1" applyAlignment="1">
      <alignment vertical="top" wrapText="1"/>
    </xf>
    <xf numFmtId="49" fontId="3" fillId="8" borderId="0" xfId="0" applyNumberFormat="1" applyFont="1" applyFill="1" applyAlignment="1">
      <alignment vertical="top" wrapText="1"/>
    </xf>
    <xf numFmtId="0" fontId="0" fillId="8" borderId="0" xfId="0" applyFill="1"/>
    <xf numFmtId="0" fontId="9" fillId="8" borderId="0" xfId="0" applyFont="1" applyFill="1" applyAlignment="1">
      <alignment wrapText="1"/>
    </xf>
    <xf numFmtId="49" fontId="1" fillId="8" borderId="0" xfId="0" applyNumberFormat="1" applyFont="1" applyFill="1" applyAlignment="1">
      <alignment vertical="top" wrapText="1"/>
    </xf>
    <xf numFmtId="0" fontId="1" fillId="10" borderId="0" xfId="0" applyFont="1" applyFill="1" applyAlignment="1">
      <alignment vertical="top" wrapText="1"/>
    </xf>
    <xf numFmtId="0" fontId="9" fillId="10" borderId="0" xfId="0" applyFont="1" applyFill="1"/>
    <xf numFmtId="0" fontId="3" fillId="10" borderId="0" xfId="0" applyFont="1" applyFill="1" applyAlignment="1">
      <alignment vertical="top" wrapText="1"/>
    </xf>
    <xf numFmtId="0" fontId="7" fillId="11" borderId="0" xfId="0" applyFont="1" applyFill="1" applyAlignment="1">
      <alignment vertical="top" wrapText="1"/>
    </xf>
    <xf numFmtId="49" fontId="3" fillId="10" borderId="0" xfId="0" applyNumberFormat="1" applyFont="1" applyFill="1" applyAlignment="1">
      <alignment vertical="top" wrapText="1"/>
    </xf>
    <xf numFmtId="0" fontId="0" fillId="10" borderId="0" xfId="0" applyFill="1"/>
    <xf numFmtId="49" fontId="1" fillId="10" borderId="0" xfId="0" applyNumberFormat="1" applyFont="1" applyFill="1" applyAlignment="1">
      <alignment vertical="top" wrapText="1"/>
    </xf>
    <xf numFmtId="0" fontId="1" fillId="12" borderId="0" xfId="0" applyFont="1" applyFill="1" applyAlignment="1">
      <alignment vertical="top" wrapText="1"/>
    </xf>
    <xf numFmtId="0" fontId="3" fillId="12" borderId="0" xfId="0" applyFont="1" applyFill="1" applyAlignment="1">
      <alignment vertical="top" wrapText="1"/>
    </xf>
    <xf numFmtId="0" fontId="7" fillId="13" borderId="0" xfId="0" applyFont="1" applyFill="1" applyAlignment="1">
      <alignment vertical="top" wrapText="1"/>
    </xf>
    <xf numFmtId="49" fontId="1" fillId="12" borderId="0" xfId="0" applyNumberFormat="1" applyFont="1" applyFill="1" applyAlignment="1">
      <alignment vertical="top" wrapText="1"/>
    </xf>
    <xf numFmtId="0" fontId="0" fillId="12" borderId="0" xfId="0" applyFill="1"/>
    <xf numFmtId="0" fontId="1" fillId="0" borderId="0" xfId="0" applyFont="1"/>
    <xf numFmtId="0" fontId="3" fillId="8" borderId="0" xfId="0" applyFont="1" applyFill="1" applyAlignment="1">
      <alignment vertical="top"/>
    </xf>
    <xf numFmtId="49" fontId="1" fillId="8" borderId="0" xfId="0" applyNumberFormat="1" applyFont="1" applyFill="1" applyAlignment="1">
      <alignment vertical="top"/>
    </xf>
    <xf numFmtId="0" fontId="1" fillId="8" borderId="0" xfId="0" applyFont="1" applyFill="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8"/>
  <sheetViews>
    <sheetView zoomScaleNormal="100" workbookViewId="0">
      <pane ySplit="1" topLeftCell="A2" activePane="bottomLeft" state="frozen"/>
      <selection pane="bottomLeft" activeCell="A18" sqref="A18"/>
    </sheetView>
  </sheetViews>
  <sheetFormatPr baseColWidth="10" defaultColWidth="8.6640625" defaultRowHeight="15" x14ac:dyDescent="0.2"/>
  <cols>
    <col min="1" max="1" width="24.5" customWidth="1"/>
    <col min="2" max="2" width="50.83203125"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28"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s="19" customFormat="1" ht="28" x14ac:dyDescent="0.2">
      <c r="A2" s="15" t="s">
        <v>430</v>
      </c>
      <c r="B2" s="20" t="s">
        <v>62</v>
      </c>
      <c r="C2" s="16" t="s">
        <v>63</v>
      </c>
      <c r="D2" s="16" t="s">
        <v>64</v>
      </c>
      <c r="E2" s="17" t="str">
        <f>IF(D2="","",IFERROR(IF(INDEX('Dashboard Items'!$B$2:$B$497,MATCH(D2,'Dashboard Items'!$A$2:$A$497,0))="Objective","Objectives go in the next column",IF(OR(C2="",INDEX('Dashboard Items'!$B$2:$B$497,MATCH(D2,'Dashboard Items'!$A$2:$A$497,0))=C2),INDEX('Dashboard Items'!$C$2:$C$497,MATCH(D2,'Dashboard Items'!$A$2:$A$497,0)),"Level does not match ID")),"ID not found"))</f>
        <v>Human Resources &amp; Workforce Development</v>
      </c>
      <c r="F2" s="18" t="s">
        <v>65</v>
      </c>
      <c r="G2" s="17" t="str">
        <f>IF(F2="","",IF(ISNUMBER(SEARCH(",",F2)),"Several items (the script lists them)",IFERROR(INDEX('Dashboard Items'!$B$2:$B$497,MATCH(F2,'Dashboard Items'!$A$2:$A$497,0))&amp;": "&amp;INDEX('Dashboard Items'!$C$2:$C$497,MATCH(F2,'Dashboard Items'!$A$2:$A$497,0)),"ID not found")))</f>
        <v>Objective: 6.1 Employee Growth and Retention</v>
      </c>
      <c r="H2" s="16" t="s">
        <v>66</v>
      </c>
      <c r="I2" s="16">
        <v>1</v>
      </c>
      <c r="J2" s="16" t="s">
        <v>67</v>
      </c>
      <c r="K2" s="16" t="s">
        <v>29</v>
      </c>
      <c r="L2" s="16">
        <v>5</v>
      </c>
      <c r="M2" s="16">
        <v>15</v>
      </c>
      <c r="N2" s="16" t="s">
        <v>67</v>
      </c>
      <c r="O2" s="16" t="s">
        <v>68</v>
      </c>
      <c r="P2" s="15" t="s">
        <v>426</v>
      </c>
      <c r="Q2" s="16" t="s">
        <v>69</v>
      </c>
      <c r="R2" s="16" t="s">
        <v>70</v>
      </c>
      <c r="S2" s="16"/>
    </row>
    <row r="3" spans="1:19" s="19" customFormat="1" ht="17" x14ac:dyDescent="0.2">
      <c r="A3" s="15" t="s">
        <v>429</v>
      </c>
      <c r="B3" s="20" t="s">
        <v>473</v>
      </c>
      <c r="C3" s="16" t="s">
        <v>73</v>
      </c>
      <c r="D3" s="15" t="s">
        <v>183</v>
      </c>
      <c r="E3" s="17" t="str">
        <f>IF(D3="","",IFERROR(IF(INDEX('Dashboard Items'!$B$2:$B$497,MATCH(D3,'Dashboard Items'!$A$2:$A$497,0))="Objective","Objectives go in the next column",IF(OR(C3="",INDEX('Dashboard Items'!$B$2:$B$497,MATCH(D3,'Dashboard Items'!$A$2:$A$497,0))=C3),INDEX('Dashboard Items'!$C$2:$C$497,MATCH(D3,'Dashboard Items'!$A$2:$A$497,0)),"Level does not match ID")),"ID not found"))</f>
        <v>Recruitment and Retention</v>
      </c>
      <c r="F3" s="18"/>
      <c r="G3" s="17"/>
      <c r="H3" s="16"/>
      <c r="I3" s="16"/>
      <c r="J3" s="16"/>
      <c r="K3" s="16"/>
      <c r="L3" s="16"/>
      <c r="M3" s="16"/>
      <c r="N3" s="16"/>
      <c r="O3" s="16"/>
      <c r="P3" s="15"/>
      <c r="Q3" s="16"/>
      <c r="R3" s="16"/>
      <c r="S3" s="16"/>
    </row>
    <row r="4" spans="1:19" s="19" customFormat="1" ht="17" x14ac:dyDescent="0.2">
      <c r="A4" s="15" t="s">
        <v>431</v>
      </c>
      <c r="B4" s="20" t="s">
        <v>475</v>
      </c>
      <c r="C4" s="16" t="s">
        <v>73</v>
      </c>
      <c r="D4" s="15" t="s">
        <v>183</v>
      </c>
      <c r="E4" s="17" t="str">
        <f>IF(D4="","",IFERROR(IF(INDEX('Dashboard Items'!$B$2:$B$497,MATCH(D4,'Dashboard Items'!$A$2:$A$497,0))="Objective","Objectives go in the next column",IF(OR(C4="",INDEX('Dashboard Items'!$B$2:$B$497,MATCH(D4,'Dashboard Items'!$A$2:$A$497,0))=C4),INDEX('Dashboard Items'!$C$2:$C$497,MATCH(D4,'Dashboard Items'!$A$2:$A$497,0)),"Level does not match ID")),"ID not found"))</f>
        <v>Recruitment and Retention</v>
      </c>
      <c r="F4" s="18"/>
      <c r="G4" s="17"/>
      <c r="H4" s="16"/>
      <c r="I4" s="16"/>
      <c r="J4" s="16"/>
      <c r="K4" s="16"/>
      <c r="L4" s="16"/>
      <c r="M4" s="16"/>
      <c r="N4" s="16"/>
      <c r="O4" s="16"/>
      <c r="P4" s="15"/>
      <c r="Q4" s="16"/>
      <c r="R4" s="16"/>
      <c r="S4" s="16"/>
    </row>
    <row r="5" spans="1:19" s="19" customFormat="1" ht="17" x14ac:dyDescent="0.2">
      <c r="A5" s="15" t="s">
        <v>432</v>
      </c>
      <c r="B5" s="20" t="s">
        <v>474</v>
      </c>
      <c r="C5" s="16" t="s">
        <v>73</v>
      </c>
      <c r="D5" s="15" t="s">
        <v>183</v>
      </c>
      <c r="E5" s="17" t="str">
        <f>IF(D5="","",IFERROR(IF(INDEX('Dashboard Items'!$B$2:$B$497,MATCH(D5,'Dashboard Items'!$A$2:$A$497,0))="Objective","Objectives go in the next column",IF(OR(C5="",INDEX('Dashboard Items'!$B$2:$B$497,MATCH(D5,'Dashboard Items'!$A$2:$A$497,0))=C5),INDEX('Dashboard Items'!$C$2:$C$497,MATCH(D5,'Dashboard Items'!$A$2:$A$497,0)),"Level does not match ID")),"ID not found"))</f>
        <v>Recruitment and Retention</v>
      </c>
      <c r="F5" s="18"/>
      <c r="G5" s="17"/>
      <c r="H5" s="16"/>
      <c r="I5" s="16"/>
      <c r="J5" s="16"/>
      <c r="K5" s="16"/>
      <c r="L5" s="16"/>
      <c r="M5" s="16"/>
      <c r="N5" s="16"/>
      <c r="O5" s="16"/>
      <c r="P5" s="15"/>
      <c r="Q5" s="16"/>
      <c r="R5" s="16"/>
      <c r="S5" s="16"/>
    </row>
    <row r="6" spans="1:19" s="19" customFormat="1" ht="17" x14ac:dyDescent="0.2">
      <c r="A6" s="15" t="s">
        <v>433</v>
      </c>
      <c r="B6" s="20" t="s">
        <v>490</v>
      </c>
      <c r="C6" s="16" t="s">
        <v>73</v>
      </c>
      <c r="D6" s="15" t="s">
        <v>183</v>
      </c>
      <c r="E6" s="17" t="str">
        <f>IF(D6="","",IFERROR(IF(INDEX('Dashboard Items'!$B$2:$B$497,MATCH(D6,'Dashboard Items'!$A$2:$A$497,0))="Objective","Objectives go in the next column",IF(OR(C6="",INDEX('Dashboard Items'!$B$2:$B$497,MATCH(D6,'Dashboard Items'!$A$2:$A$497,0))=C6),INDEX('Dashboard Items'!$C$2:$C$497,MATCH(D6,'Dashboard Items'!$A$2:$A$497,0)),"Level does not match ID")),"ID not found"))</f>
        <v>Recruitment and Retention</v>
      </c>
      <c r="F6" s="18"/>
      <c r="G6" s="17"/>
      <c r="H6" s="16"/>
      <c r="I6" s="16"/>
      <c r="J6" s="16"/>
      <c r="K6" s="16"/>
      <c r="L6" s="16"/>
      <c r="M6" s="16"/>
      <c r="N6" s="16"/>
      <c r="O6" s="16"/>
      <c r="P6" s="15"/>
      <c r="Q6" s="16"/>
      <c r="R6" s="16"/>
      <c r="S6" s="16"/>
    </row>
    <row r="7" spans="1:19" s="19" customFormat="1" ht="28" x14ac:dyDescent="0.2">
      <c r="A7" s="15" t="s">
        <v>434</v>
      </c>
      <c r="B7" s="20" t="s">
        <v>444</v>
      </c>
      <c r="C7" s="16" t="s">
        <v>73</v>
      </c>
      <c r="D7" s="15" t="s">
        <v>189</v>
      </c>
      <c r="E7" s="17" t="str">
        <f>IF(D7="","",IFERROR(IF(INDEX('Dashboard Items'!$B$2:$B$497,MATCH(D7,'Dashboard Items'!$A$2:$A$497,0))="Objective","Objectives go in the next column",IF(OR(C7="",INDEX('Dashboard Items'!$B$2:$B$497,MATCH(D7,'Dashboard Items'!$A$2:$A$497,0))=C7),INDEX('Dashboard Items'!$C$2:$C$497,MATCH(D7,'Dashboard Items'!$A$2:$A$497,0)),"Level does not match ID")),"ID not found"))</f>
        <v>Risk Management</v>
      </c>
      <c r="F7" s="18"/>
      <c r="G7" s="17"/>
      <c r="H7" s="16"/>
      <c r="I7" s="16"/>
      <c r="J7" s="16"/>
      <c r="K7" s="16"/>
      <c r="L7" s="16"/>
      <c r="M7" s="16"/>
      <c r="N7" s="16"/>
      <c r="O7" s="16"/>
      <c r="P7" s="15" t="s">
        <v>448</v>
      </c>
      <c r="Q7" s="16"/>
      <c r="R7" s="16"/>
      <c r="S7" s="16"/>
    </row>
    <row r="8" spans="1:19" s="19" customFormat="1" ht="28" x14ac:dyDescent="0.2">
      <c r="A8" s="15" t="s">
        <v>435</v>
      </c>
      <c r="B8" s="20" t="s">
        <v>443</v>
      </c>
      <c r="C8" s="16" t="s">
        <v>73</v>
      </c>
      <c r="D8" s="15" t="s">
        <v>189</v>
      </c>
      <c r="E8" s="17" t="str">
        <f>IF(D8="","",IFERROR(IF(INDEX('Dashboard Items'!$B$2:$B$497,MATCH(D8,'Dashboard Items'!$A$2:$A$497,0))="Objective","Objectives go in the next column",IF(OR(C8="",INDEX('Dashboard Items'!$B$2:$B$497,MATCH(D8,'Dashboard Items'!$A$2:$A$497,0))=C8),INDEX('Dashboard Items'!$C$2:$C$497,MATCH(D8,'Dashboard Items'!$A$2:$A$497,0)),"Level does not match ID")),"ID not found"))</f>
        <v>Risk Management</v>
      </c>
      <c r="F8" s="18"/>
      <c r="G8" s="17"/>
      <c r="H8" s="16"/>
      <c r="I8" s="16"/>
      <c r="J8" s="16" t="s">
        <v>400</v>
      </c>
      <c r="K8" s="16"/>
      <c r="L8" s="16"/>
      <c r="M8" s="16"/>
      <c r="N8" s="16"/>
      <c r="O8" s="16"/>
      <c r="P8" s="15" t="s">
        <v>448</v>
      </c>
      <c r="Q8" s="16"/>
      <c r="R8" s="16"/>
      <c r="S8" s="16"/>
    </row>
    <row r="9" spans="1:19" s="19" customFormat="1" ht="28" x14ac:dyDescent="0.2">
      <c r="A9" s="15" t="s">
        <v>436</v>
      </c>
      <c r="B9" s="20" t="s">
        <v>442</v>
      </c>
      <c r="C9" s="16" t="s">
        <v>73</v>
      </c>
      <c r="D9" s="15" t="s">
        <v>189</v>
      </c>
      <c r="E9" s="17" t="str">
        <f>IF(D9="","",IFERROR(IF(INDEX('Dashboard Items'!$B$2:$B$497,MATCH(D9,'Dashboard Items'!$A$2:$A$497,0))="Objective","Objectives go in the next column",IF(OR(C9="",INDEX('Dashboard Items'!$B$2:$B$497,MATCH(D9,'Dashboard Items'!$A$2:$A$497,0))=C9),INDEX('Dashboard Items'!$C$2:$C$497,MATCH(D9,'Dashboard Items'!$A$2:$A$497,0)),"Level does not match ID")),"ID not found"))</f>
        <v>Risk Management</v>
      </c>
      <c r="F9" s="18"/>
      <c r="G9" s="17"/>
      <c r="H9" s="16"/>
      <c r="I9" s="16"/>
      <c r="J9" s="16"/>
      <c r="K9" s="16"/>
      <c r="L9" s="16"/>
      <c r="M9" s="16"/>
      <c r="N9" s="16"/>
      <c r="O9" s="16"/>
      <c r="P9" s="15" t="s">
        <v>448</v>
      </c>
      <c r="Q9" s="16"/>
      <c r="R9" s="16"/>
      <c r="S9" s="16"/>
    </row>
    <row r="10" spans="1:19" s="19" customFormat="1" ht="28" x14ac:dyDescent="0.2">
      <c r="A10" s="15" t="s">
        <v>437</v>
      </c>
      <c r="B10" s="20" t="s">
        <v>446</v>
      </c>
      <c r="C10" s="16" t="s">
        <v>73</v>
      </c>
      <c r="D10" s="15" t="s">
        <v>189</v>
      </c>
      <c r="E10" s="17" t="str">
        <f>IF(D10="","",IFERROR(IF(INDEX('Dashboard Items'!$B$2:$B$497,MATCH(D10,'Dashboard Items'!$A$2:$A$497,0))="Objective","Objectives go in the next column",IF(OR(C10="",INDEX('Dashboard Items'!$B$2:$B$497,MATCH(D10,'Dashboard Items'!$A$2:$A$497,0))=C10),INDEX('Dashboard Items'!$C$2:$C$497,MATCH(D10,'Dashboard Items'!$A$2:$A$497,0)),"Level does not match ID")),"ID not found"))</f>
        <v>Risk Management</v>
      </c>
      <c r="F10" s="18"/>
      <c r="G10" s="17"/>
      <c r="H10" s="16"/>
      <c r="I10" s="16"/>
      <c r="J10" s="16"/>
      <c r="K10" s="16"/>
      <c r="L10" s="16"/>
      <c r="M10" s="16"/>
      <c r="N10" s="16"/>
      <c r="O10" s="16"/>
      <c r="P10" s="15" t="s">
        <v>448</v>
      </c>
      <c r="Q10" s="16"/>
      <c r="R10" s="16"/>
      <c r="S10" s="16"/>
    </row>
    <row r="11" spans="1:19" s="19" customFormat="1" ht="28" x14ac:dyDescent="0.2">
      <c r="A11" s="15" t="s">
        <v>438</v>
      </c>
      <c r="B11" s="20" t="s">
        <v>441</v>
      </c>
      <c r="C11" s="16" t="s">
        <v>73</v>
      </c>
      <c r="D11" s="15" t="s">
        <v>189</v>
      </c>
      <c r="E11" s="17" t="str">
        <f>IF(D11="","",IFERROR(IF(INDEX('Dashboard Items'!$B$2:$B$497,MATCH(D11,'Dashboard Items'!$A$2:$A$497,0))="Objective","Objectives go in the next column",IF(OR(C11="",INDEX('Dashboard Items'!$B$2:$B$497,MATCH(D11,'Dashboard Items'!$A$2:$A$497,0))=C11),INDEX('Dashboard Items'!$C$2:$C$497,MATCH(D11,'Dashboard Items'!$A$2:$A$497,0)),"Level does not match ID")),"ID not found"))</f>
        <v>Risk Management</v>
      </c>
      <c r="F11" s="18"/>
      <c r="G11" s="17"/>
      <c r="H11" s="16"/>
      <c r="I11" s="16"/>
      <c r="J11" s="16"/>
      <c r="K11" s="16"/>
      <c r="L11" s="16"/>
      <c r="M11" s="16"/>
      <c r="N11" s="16"/>
      <c r="O11" s="16"/>
      <c r="P11" s="15" t="s">
        <v>448</v>
      </c>
      <c r="Q11" s="16"/>
      <c r="R11" s="16"/>
      <c r="S11" s="16"/>
    </row>
    <row r="12" spans="1:19" s="19" customFormat="1" ht="28" x14ac:dyDescent="0.2">
      <c r="A12" s="15" t="s">
        <v>439</v>
      </c>
      <c r="B12" s="20" t="s">
        <v>445</v>
      </c>
      <c r="C12" s="16" t="s">
        <v>73</v>
      </c>
      <c r="D12" s="15" t="s">
        <v>189</v>
      </c>
      <c r="E12" s="17" t="str">
        <f>IF(D12="","",IFERROR(IF(INDEX('Dashboard Items'!$B$2:$B$497,MATCH(D12,'Dashboard Items'!$A$2:$A$497,0))="Objective","Objectives go in the next column",IF(OR(C12="",INDEX('Dashboard Items'!$B$2:$B$497,MATCH(D12,'Dashboard Items'!$A$2:$A$497,0))=C12),INDEX('Dashboard Items'!$C$2:$C$497,MATCH(D12,'Dashboard Items'!$A$2:$A$497,0)),"Level does not match ID")),"ID not found"))</f>
        <v>Risk Management</v>
      </c>
      <c r="F12" s="18"/>
      <c r="G12" s="17"/>
      <c r="H12" s="16"/>
      <c r="I12" s="16"/>
      <c r="J12" s="16" t="s">
        <v>400</v>
      </c>
      <c r="K12" s="16"/>
      <c r="L12" s="16"/>
      <c r="M12" s="16"/>
      <c r="N12" s="16"/>
      <c r="O12" s="16"/>
      <c r="P12" s="15" t="s">
        <v>448</v>
      </c>
      <c r="Q12" s="16"/>
      <c r="R12" s="16"/>
      <c r="S12" s="16"/>
    </row>
    <row r="13" spans="1:19" s="19" customFormat="1" ht="28" x14ac:dyDescent="0.2">
      <c r="A13" s="15" t="s">
        <v>440</v>
      </c>
      <c r="B13" s="20" t="s">
        <v>447</v>
      </c>
      <c r="C13" s="16" t="s">
        <v>73</v>
      </c>
      <c r="D13" s="15" t="s">
        <v>189</v>
      </c>
      <c r="E13" s="17" t="str">
        <f>IF(D13="","",IFERROR(IF(INDEX('Dashboard Items'!$B$2:$B$497,MATCH(D13,'Dashboard Items'!$A$2:$A$497,0))="Objective","Objectives go in the next column",IF(OR(C13="",INDEX('Dashboard Items'!$B$2:$B$497,MATCH(D13,'Dashboard Items'!$A$2:$A$497,0))=C13),INDEX('Dashboard Items'!$C$2:$C$497,MATCH(D13,'Dashboard Items'!$A$2:$A$497,0)),"Level does not match ID")),"ID not found"))</f>
        <v>Risk Management</v>
      </c>
      <c r="F13" s="18"/>
      <c r="G13" s="17"/>
      <c r="H13" s="16"/>
      <c r="I13" s="16"/>
      <c r="J13" s="16" t="s">
        <v>67</v>
      </c>
      <c r="K13" s="16"/>
      <c r="L13" s="16"/>
      <c r="M13" s="16"/>
      <c r="N13" s="16"/>
      <c r="O13" s="16"/>
      <c r="P13" s="15" t="s">
        <v>448</v>
      </c>
      <c r="Q13" s="16"/>
      <c r="R13" s="16"/>
      <c r="S13" s="16"/>
    </row>
    <row r="14" spans="1:19" s="26" customFormat="1" ht="17" x14ac:dyDescent="0.2">
      <c r="A14" s="21" t="s">
        <v>71</v>
      </c>
      <c r="B14" s="22" t="s">
        <v>72</v>
      </c>
      <c r="C14" s="21" t="s">
        <v>73</v>
      </c>
      <c r="D14" s="21" t="s">
        <v>74</v>
      </c>
      <c r="E14" s="23" t="str">
        <f>IF(D14="","",IFERROR(IF(INDEX('Dashboard Items'!$B$2:$B$497,MATCH(D14,'Dashboard Items'!$A$2:$A$497,0))="Objective","Objectives go in the next column",IF(OR(C14="",INDEX('Dashboard Items'!$B$2:$B$497,MATCH(D14,'Dashboard Items'!$A$2:$A$497,0))=C14),INDEX('Dashboard Items'!$C$2:$C$497,MATCH(D14,'Dashboard Items'!$A$2:$A$497,0)),"Level does not match ID")),"ID not found"))</f>
        <v>Network and Infrastructure Management</v>
      </c>
      <c r="F14" s="24" t="s">
        <v>75</v>
      </c>
      <c r="G14" s="23" t="str">
        <f>IF(F14="","",IF(ISNUMBER(SEARCH(",",F14)),"Several items (the script lists them)",IFERROR(INDEX('Dashboard Items'!$B$2:$B$497,MATCH(F14,'Dashboard Items'!$A$2:$A$497,0))&amp;": "&amp;INDEX('Dashboard Items'!$C$2:$C$497,MATCH(F14,'Dashboard Items'!$A$2:$A$497,0)),"ID not found")))</f>
        <v>Several items (the script lists them)</v>
      </c>
      <c r="H14" s="21" t="s">
        <v>66</v>
      </c>
      <c r="I14" s="21">
        <v>2</v>
      </c>
      <c r="J14" s="21" t="s">
        <v>67</v>
      </c>
      <c r="K14" s="21" t="s">
        <v>29</v>
      </c>
      <c r="L14" s="21">
        <v>5</v>
      </c>
      <c r="M14" s="21">
        <v>15</v>
      </c>
      <c r="N14" s="21" t="s">
        <v>67</v>
      </c>
      <c r="O14" s="21" t="s">
        <v>76</v>
      </c>
      <c r="P14" s="25" t="s">
        <v>427</v>
      </c>
      <c r="Q14" s="25" t="s">
        <v>394</v>
      </c>
      <c r="R14" s="21"/>
      <c r="S14" s="21"/>
    </row>
    <row r="15" spans="1:19" s="26" customFormat="1" ht="28" x14ac:dyDescent="0.2">
      <c r="A15" s="25" t="s">
        <v>449</v>
      </c>
      <c r="B15" s="22" t="s">
        <v>476</v>
      </c>
      <c r="C15" s="21" t="s">
        <v>73</v>
      </c>
      <c r="D15" s="25" t="s">
        <v>200</v>
      </c>
      <c r="E15" s="23" t="str">
        <f>IF(D15="","",IFERROR(IF(INDEX('Dashboard Items'!$B$2:$B$497,MATCH(D15,'Dashboard Items'!$A$2:$A$497,0))="Objective","Objectives go in the next column",IF(OR(C15="",INDEX('Dashboard Items'!$B$2:$B$497,MATCH(D15,'Dashboard Items'!$A$2:$A$497,0))=C15),INDEX('Dashboard Items'!$C$2:$C$497,MATCH(D15,'Dashboard Items'!$A$2:$A$497,0)),"Level does not match ID")),"ID not found"))</f>
        <v>Help Desk</v>
      </c>
      <c r="F15" s="27" t="s">
        <v>115</v>
      </c>
      <c r="G15" s="23" t="str">
        <f>IF(F15="","",IF(ISNUMBER(SEARCH(",",F15)),"Several items (the script lists them)",IFERROR(INDEX('Dashboard Items'!$B$2:$B$497,MATCH(F15,'Dashboard Items'!$A$2:$A$497,0))&amp;": "&amp;INDEX('Dashboard Items'!$C$2:$C$497,MATCH(F15,'Dashboard Items'!$A$2:$A$497,0)),"ID not found")))</f>
        <v>Key Service: Information Technology Services</v>
      </c>
      <c r="H15" s="25" t="s">
        <v>66</v>
      </c>
      <c r="I15" s="21">
        <v>1</v>
      </c>
      <c r="J15" s="21" t="s">
        <v>67</v>
      </c>
      <c r="K15" s="21" t="s">
        <v>29</v>
      </c>
      <c r="L15" s="21">
        <v>5</v>
      </c>
      <c r="M15" s="21">
        <v>15</v>
      </c>
      <c r="N15" s="21" t="s">
        <v>67</v>
      </c>
      <c r="O15" s="25" t="s">
        <v>76</v>
      </c>
      <c r="P15" s="25" t="s">
        <v>427</v>
      </c>
      <c r="Q15" s="25" t="s">
        <v>395</v>
      </c>
      <c r="R15" s="21"/>
      <c r="S15" s="21"/>
    </row>
    <row r="16" spans="1:19" s="26" customFormat="1" ht="28" x14ac:dyDescent="0.2">
      <c r="A16" s="25" t="s">
        <v>450</v>
      </c>
      <c r="B16" s="25" t="s">
        <v>477</v>
      </c>
      <c r="C16" s="21" t="s">
        <v>73</v>
      </c>
      <c r="D16" s="25" t="s">
        <v>200</v>
      </c>
      <c r="E16" s="23" t="str">
        <f>IF(D16="","",IFERROR(IF(INDEX('Dashboard Items'!$B$2:$B$497,MATCH(D16,'Dashboard Items'!$A$2:$A$497,0))="Objective","Objectives go in the next column",IF(OR(C16="",INDEX('Dashboard Items'!$B$2:$B$497,MATCH(D16,'Dashboard Items'!$A$2:$A$497,0))=C16),INDEX('Dashboard Items'!$C$2:$C$497,MATCH(D16,'Dashboard Items'!$A$2:$A$497,0)),"Level does not match ID")),"ID not found"))</f>
        <v>Help Desk</v>
      </c>
      <c r="F16" s="27" t="s">
        <v>115</v>
      </c>
      <c r="G16" s="23" t="str">
        <f>IF(F16="","",IF(ISNUMBER(SEARCH(",",F16)),"Several items (the script lists them)",IFERROR(INDEX('Dashboard Items'!$B$2:$B$497,MATCH(F16,'Dashboard Items'!$A$2:$A$497,0))&amp;": "&amp;INDEX('Dashboard Items'!$C$2:$C$497,MATCH(F16,'Dashboard Items'!$A$2:$A$497,0)),"ID not found")))</f>
        <v>Key Service: Information Technology Services</v>
      </c>
      <c r="H16" s="25" t="s">
        <v>66</v>
      </c>
      <c r="I16" s="21">
        <v>2</v>
      </c>
      <c r="J16" s="21" t="s">
        <v>67</v>
      </c>
      <c r="K16" s="21" t="s">
        <v>29</v>
      </c>
      <c r="L16" s="21">
        <v>5</v>
      </c>
      <c r="M16" s="21">
        <v>15</v>
      </c>
      <c r="N16" s="21" t="s">
        <v>67</v>
      </c>
      <c r="O16" s="25" t="s">
        <v>76</v>
      </c>
      <c r="P16" s="25" t="s">
        <v>427</v>
      </c>
      <c r="Q16" s="25" t="s">
        <v>395</v>
      </c>
      <c r="R16" s="21"/>
      <c r="S16" s="21"/>
    </row>
    <row r="17" spans="1:19" s="26" customFormat="1" ht="28" x14ac:dyDescent="0.2">
      <c r="A17" s="25" t="s">
        <v>451</v>
      </c>
      <c r="B17" s="25" t="s">
        <v>478</v>
      </c>
      <c r="C17" s="21" t="s">
        <v>73</v>
      </c>
      <c r="D17" s="25" t="s">
        <v>194</v>
      </c>
      <c r="E17" s="23" t="str">
        <f>IF(D17="","",IFERROR(IF(INDEX('Dashboard Items'!$B$2:$B$497,MATCH(D17,'Dashboard Items'!$A$2:$A$497,0))="Objective","Objectives go in the next column",IF(OR(C17="",INDEX('Dashboard Items'!$B$2:$B$497,MATCH(D17,'Dashboard Items'!$A$2:$A$497,0))=C17),INDEX('Dashboard Items'!$C$2:$C$497,MATCH(D17,'Dashboard Items'!$A$2:$A$497,0)),"Level does not match ID")),"ID not found"))</f>
        <v>Cybersecurity</v>
      </c>
      <c r="F17" s="27" t="s">
        <v>115</v>
      </c>
      <c r="G17" s="23" t="str">
        <f>IF(F17="","",IF(ISNUMBER(SEARCH(",",F17)),"Several items (the script lists them)",IFERROR(INDEX('Dashboard Items'!$B$2:$B$497,MATCH(F17,'Dashboard Items'!$A$2:$A$497,0))&amp;": "&amp;INDEX('Dashboard Items'!$C$2:$C$497,MATCH(F17,'Dashboard Items'!$A$2:$A$497,0)),"ID not found")))</f>
        <v>Key Service: Information Technology Services</v>
      </c>
      <c r="H17" s="25" t="s">
        <v>66</v>
      </c>
      <c r="I17" s="21">
        <v>2</v>
      </c>
      <c r="J17" s="21" t="s">
        <v>400</v>
      </c>
      <c r="K17" s="21" t="s">
        <v>29</v>
      </c>
      <c r="L17" s="21">
        <v>5</v>
      </c>
      <c r="M17" s="21">
        <v>15</v>
      </c>
      <c r="N17" s="21" t="s">
        <v>67</v>
      </c>
      <c r="O17" s="25" t="s">
        <v>401</v>
      </c>
      <c r="P17" s="25" t="s">
        <v>427</v>
      </c>
      <c r="Q17" s="25" t="s">
        <v>402</v>
      </c>
      <c r="R17" s="21"/>
      <c r="S17" s="21"/>
    </row>
    <row r="18" spans="1:19" s="33" customFormat="1" ht="16" x14ac:dyDescent="0.2">
      <c r="A18" s="28" t="s">
        <v>509</v>
      </c>
      <c r="B18" s="29" t="s">
        <v>499</v>
      </c>
      <c r="C18" s="30" t="s">
        <v>73</v>
      </c>
      <c r="D18" s="28" t="s">
        <v>319</v>
      </c>
      <c r="E18" s="31" t="str">
        <f>IF(D18="","",IFERROR(IF(INDEX('Dashboard Items'!$B$2:$B$497,MATCH(D18,'Dashboard Items'!$A$2:$A$497,0))="Objective","Objectives go in the next column",IF(OR(C18="",INDEX('Dashboard Items'!$B$2:$B$497,MATCH(D18,'Dashboard Items'!$A$2:$A$497,0))=C18),INDEX('Dashboard Items'!$C$2:$C$497,MATCH(D18,'Dashboard Items'!$A$2:$A$497,0)),"Level does not match ID")),"ID not found"))</f>
        <v>Library Collections &amp; Resources</v>
      </c>
      <c r="F18" s="35" t="s">
        <v>135</v>
      </c>
      <c r="G18" s="31" t="str">
        <f>IF(F18="","",IF(ISNUMBER(SEARCH(",",F18)),"Several items (the script lists them)",IFERROR(INDEX('Dashboard Items'!$B$2:$B$497,MATCH(F18,'Dashboard Items'!$A$2:$A$497,0))&amp;": "&amp;INDEX('Dashboard Items'!$C$2:$C$497,MATCH(F18,'Dashboard Items'!$A$2:$A$497,0)),"ID not found")))</f>
        <v>Key Service: Library &amp; Learning Services</v>
      </c>
      <c r="H18" s="28" t="s">
        <v>424</v>
      </c>
      <c r="I18" s="30">
        <v>2</v>
      </c>
      <c r="J18" s="30" t="s">
        <v>67</v>
      </c>
      <c r="K18" s="30" t="s">
        <v>29</v>
      </c>
      <c r="L18" s="30">
        <v>0</v>
      </c>
      <c r="M18" s="30">
        <v>0</v>
      </c>
      <c r="N18" s="30" t="s">
        <v>67</v>
      </c>
      <c r="O18" s="28" t="s">
        <v>425</v>
      </c>
      <c r="P18" s="28" t="s">
        <v>428</v>
      </c>
      <c r="Q18" s="30"/>
      <c r="R18" s="30"/>
      <c r="S18" s="30"/>
    </row>
    <row r="19" spans="1:19" s="33" customFormat="1" ht="17" x14ac:dyDescent="0.2">
      <c r="A19" s="28" t="s">
        <v>452</v>
      </c>
      <c r="B19" s="34" t="s">
        <v>423</v>
      </c>
      <c r="C19" s="30" t="s">
        <v>73</v>
      </c>
      <c r="D19" s="28" t="s">
        <v>320</v>
      </c>
      <c r="E19" s="31" t="str">
        <f>IF(D19="","",IFERROR(IF(INDEX('Dashboard Items'!$B$2:$B$497,MATCH(D19,'Dashboard Items'!$A$2:$A$497,0))="Objective","Objectives go in the next column",IF(OR(C19="",INDEX('Dashboard Items'!$B$2:$B$497,MATCH(D19,'Dashboard Items'!$A$2:$A$497,0))=C19),INDEX('Dashboard Items'!$C$2:$C$497,MATCH(D19,'Dashboard Items'!$A$2:$A$497,0)),"Level does not match ID")),"ID not found"))</f>
        <v>Library Space Utilitzation</v>
      </c>
      <c r="F19" s="35" t="s">
        <v>135</v>
      </c>
      <c r="G19" s="31" t="str">
        <f>IF(F19="","",IF(ISNUMBER(SEARCH(",",F19)),"Several items (the script lists them)",IFERROR(INDEX('Dashboard Items'!$B$2:$B$497,MATCH(F19,'Dashboard Items'!$A$2:$A$497,0))&amp;": "&amp;INDEX('Dashboard Items'!$C$2:$C$497,MATCH(F19,'Dashboard Items'!$A$2:$A$497,0)),"ID not found")))</f>
        <v>Key Service: Library &amp; Learning Services</v>
      </c>
      <c r="H19" s="28" t="s">
        <v>424</v>
      </c>
      <c r="I19" s="30">
        <v>2</v>
      </c>
      <c r="J19" s="30" t="s">
        <v>67</v>
      </c>
      <c r="K19" s="30" t="s">
        <v>29</v>
      </c>
      <c r="L19" s="30">
        <v>0</v>
      </c>
      <c r="M19" s="30">
        <v>0</v>
      </c>
      <c r="N19" s="30" t="s">
        <v>67</v>
      </c>
      <c r="O19" s="28" t="s">
        <v>425</v>
      </c>
      <c r="P19" s="28" t="s">
        <v>428</v>
      </c>
      <c r="Q19" s="30"/>
      <c r="R19" s="30"/>
      <c r="S19" s="30"/>
    </row>
    <row r="20" spans="1:19" s="33" customFormat="1" ht="17" x14ac:dyDescent="0.2">
      <c r="A20" s="28" t="s">
        <v>453</v>
      </c>
      <c r="B20" s="34" t="s">
        <v>479</v>
      </c>
      <c r="C20" s="30" t="s">
        <v>73</v>
      </c>
      <c r="D20" s="28" t="s">
        <v>320</v>
      </c>
      <c r="E20" s="31" t="str">
        <f>IF(D20="","",IFERROR(IF(INDEX('Dashboard Items'!$B$2:$B$497,MATCH(D20,'Dashboard Items'!$A$2:$A$497,0))="Objective","Objectives go in the next column",IF(OR(C20="",INDEX('Dashboard Items'!$B$2:$B$497,MATCH(D20,'Dashboard Items'!$A$2:$A$497,0))=C20),INDEX('Dashboard Items'!$C$2:$C$497,MATCH(D20,'Dashboard Items'!$A$2:$A$497,0)),"Level does not match ID")),"ID not found"))</f>
        <v>Library Space Utilitzation</v>
      </c>
      <c r="F20" s="32"/>
      <c r="G20" s="31" t="str">
        <f>IF(F20="","",IF(ISNUMBER(SEARCH(",",F20)),"Several items (the script lists them)",IFERROR(INDEX('Dashboard Items'!$B$2:$B$497,MATCH(F20,'Dashboard Items'!$A$2:$A$497,0))&amp;": "&amp;INDEX('Dashboard Items'!$C$2:$C$497,MATCH(F20,'Dashboard Items'!$A$2:$A$497,0)),"ID not found")))</f>
        <v/>
      </c>
      <c r="H20" s="28" t="s">
        <v>424</v>
      </c>
      <c r="I20" s="30">
        <v>2</v>
      </c>
      <c r="J20" s="30" t="s">
        <v>67</v>
      </c>
      <c r="K20" s="30" t="s">
        <v>29</v>
      </c>
      <c r="L20" s="30">
        <v>0</v>
      </c>
      <c r="M20" s="30">
        <v>0</v>
      </c>
      <c r="N20" s="30" t="s">
        <v>67</v>
      </c>
      <c r="O20" s="28" t="s">
        <v>425</v>
      </c>
      <c r="P20" s="28" t="s">
        <v>428</v>
      </c>
      <c r="Q20" s="30"/>
      <c r="R20" s="30"/>
      <c r="S20" s="30"/>
    </row>
    <row r="21" spans="1:19" s="33" customFormat="1" ht="17" x14ac:dyDescent="0.2">
      <c r="A21" s="28" t="s">
        <v>506</v>
      </c>
      <c r="B21" s="34" t="s">
        <v>505</v>
      </c>
      <c r="C21" s="30" t="s">
        <v>73</v>
      </c>
      <c r="D21" s="28" t="s">
        <v>320</v>
      </c>
      <c r="E21" s="31" t="str">
        <f>IF(D21="","",IFERROR(IF(INDEX('Dashboard Items'!$B$2:$B$497,MATCH(D21,'Dashboard Items'!$A$2:$A$497,0))="Objective","Objectives go in the next column",IF(OR(C21="",INDEX('Dashboard Items'!$B$2:$B$497,MATCH(D21,'Dashboard Items'!$A$2:$A$497,0))=C21),INDEX('Dashboard Items'!$C$2:$C$497,MATCH(D21,'Dashboard Items'!$A$2:$A$497,0)),"Level does not match ID")),"ID not found"))</f>
        <v>Library Space Utilitzation</v>
      </c>
      <c r="F21" s="32"/>
      <c r="G21" s="31" t="str">
        <f>IF(F21="","",IF(ISNUMBER(SEARCH(",",F21)),"Several items (the script lists them)",IFERROR(INDEX('Dashboard Items'!$B$2:$B$497,MATCH(F21,'Dashboard Items'!$A$2:$A$497,0))&amp;": "&amp;INDEX('Dashboard Items'!$C$2:$C$497,MATCH(F21,'Dashboard Items'!$A$2:$A$497,0)),"ID not found")))</f>
        <v/>
      </c>
      <c r="H21" s="28" t="s">
        <v>424</v>
      </c>
      <c r="I21" s="30">
        <v>2</v>
      </c>
      <c r="J21" s="30" t="s">
        <v>67</v>
      </c>
      <c r="K21" s="30" t="s">
        <v>29</v>
      </c>
      <c r="L21" s="30">
        <v>0</v>
      </c>
      <c r="M21" s="30">
        <v>0</v>
      </c>
      <c r="N21" s="30" t="s">
        <v>67</v>
      </c>
      <c r="O21" s="28" t="s">
        <v>425</v>
      </c>
      <c r="P21" s="28" t="s">
        <v>428</v>
      </c>
      <c r="Q21" s="30"/>
      <c r="R21" s="30"/>
      <c r="S21" s="30"/>
    </row>
    <row r="22" spans="1:19" s="33" customFormat="1" ht="17" x14ac:dyDescent="0.2">
      <c r="A22" s="28" t="s">
        <v>454</v>
      </c>
      <c r="B22" s="34" t="s">
        <v>480</v>
      </c>
      <c r="C22" s="30" t="s">
        <v>73</v>
      </c>
      <c r="D22" s="28" t="s">
        <v>321</v>
      </c>
      <c r="E22" s="31" t="str">
        <f>IF(D22="","",IFERROR(IF(INDEX('Dashboard Items'!$B$2:$B$497,MATCH(D22,'Dashboard Items'!$A$2:$A$497,0))="Objective","Objectives go in the next column",IF(OR(C22="",INDEX('Dashboard Items'!$B$2:$B$497,MATCH(D22,'Dashboard Items'!$A$2:$A$497,0))=C22),INDEX('Dashboard Items'!$C$2:$C$497,MATCH(D22,'Dashboard Items'!$A$2:$A$497,0)),"Level does not match ID")),"ID not found"))</f>
        <v>Library Direct Patron Services</v>
      </c>
      <c r="F22" s="32"/>
      <c r="G22" s="31" t="str">
        <f>IF(F22="","",IF(ISNUMBER(SEARCH(",",F22)),"Several items (the script lists them)",IFERROR(INDEX('Dashboard Items'!$B$2:$B$497,MATCH(F22,'Dashboard Items'!$A$2:$A$497,0))&amp;": "&amp;INDEX('Dashboard Items'!$C$2:$C$497,MATCH(F22,'Dashboard Items'!$A$2:$A$497,0)),"ID not found")))</f>
        <v/>
      </c>
      <c r="H22" s="28" t="s">
        <v>424</v>
      </c>
      <c r="I22" s="30">
        <v>2</v>
      </c>
      <c r="J22" s="30" t="s">
        <v>67</v>
      </c>
      <c r="K22" s="30" t="s">
        <v>29</v>
      </c>
      <c r="L22" s="30">
        <v>0</v>
      </c>
      <c r="M22" s="30">
        <v>0</v>
      </c>
      <c r="N22" s="30" t="s">
        <v>67</v>
      </c>
      <c r="O22" s="28" t="s">
        <v>425</v>
      </c>
      <c r="P22" s="28" t="s">
        <v>428</v>
      </c>
      <c r="Q22" s="30"/>
      <c r="R22" s="30"/>
      <c r="S22" s="30"/>
    </row>
    <row r="23" spans="1:19" s="33" customFormat="1" ht="17" x14ac:dyDescent="0.2">
      <c r="A23" s="28" t="s">
        <v>455</v>
      </c>
      <c r="B23" s="34" t="s">
        <v>481</v>
      </c>
      <c r="C23" s="30" t="s">
        <v>73</v>
      </c>
      <c r="D23" s="28" t="s">
        <v>322</v>
      </c>
      <c r="E23" s="31" t="str">
        <f>IF(D23="","",IFERROR(IF(INDEX('Dashboard Items'!$B$2:$B$497,MATCH(D23,'Dashboard Items'!$A$2:$A$497,0))="Objective","Objectives go in the next column",IF(OR(C23="",INDEX('Dashboard Items'!$B$2:$B$497,MATCH(D23,'Dashboard Items'!$A$2:$A$497,0))=C23),INDEX('Dashboard Items'!$C$2:$C$497,MATCH(D23,'Dashboard Items'!$A$2:$A$497,0)),"Level does not match ID")),"ID not found"))</f>
        <v>Library Programming &amp; Outreach</v>
      </c>
      <c r="F23" s="32"/>
      <c r="G23" s="31" t="str">
        <f>IF(F23="","",IF(ISNUMBER(SEARCH(",",F23)),"Several items (the script lists them)",IFERROR(INDEX('Dashboard Items'!$B$2:$B$497,MATCH(F23,'Dashboard Items'!$A$2:$A$497,0))&amp;": "&amp;INDEX('Dashboard Items'!$C$2:$C$497,MATCH(F23,'Dashboard Items'!$A$2:$A$497,0)),"ID not found")))</f>
        <v/>
      </c>
      <c r="H23" s="28" t="s">
        <v>424</v>
      </c>
      <c r="I23" s="30">
        <v>2</v>
      </c>
      <c r="J23" s="30" t="s">
        <v>67</v>
      </c>
      <c r="K23" s="30" t="s">
        <v>29</v>
      </c>
      <c r="L23" s="30">
        <v>0</v>
      </c>
      <c r="M23" s="30">
        <v>0</v>
      </c>
      <c r="N23" s="30" t="s">
        <v>67</v>
      </c>
      <c r="O23" s="28" t="s">
        <v>425</v>
      </c>
      <c r="P23" s="28" t="s">
        <v>428</v>
      </c>
      <c r="Q23" s="30"/>
      <c r="R23" s="30"/>
      <c r="S23" s="30"/>
    </row>
    <row r="24" spans="1:19" s="33" customFormat="1" ht="16" x14ac:dyDescent="0.2">
      <c r="A24" s="28" t="s">
        <v>456</v>
      </c>
      <c r="B24" s="29" t="s">
        <v>482</v>
      </c>
      <c r="C24" s="30" t="s">
        <v>73</v>
      </c>
      <c r="D24" s="28" t="s">
        <v>322</v>
      </c>
      <c r="E24" s="31" t="str">
        <f>IF(D24="","",IFERROR(IF(INDEX('Dashboard Items'!$B$2:$B$497,MATCH(D24,'Dashboard Items'!$A$2:$A$497,0))="Objective","Objectives go in the next column",IF(OR(C24="",INDEX('Dashboard Items'!$B$2:$B$497,MATCH(D24,'Dashboard Items'!$A$2:$A$497,0))=C24),INDEX('Dashboard Items'!$C$2:$C$497,MATCH(D24,'Dashboard Items'!$A$2:$A$497,0)),"Level does not match ID")),"ID not found"))</f>
        <v>Library Programming &amp; Outreach</v>
      </c>
      <c r="F24" s="32"/>
      <c r="G24" s="31" t="str">
        <f>IF(F24="","",IF(ISNUMBER(SEARCH(",",F24)),"Several items (the script lists them)",IFERROR(INDEX('Dashboard Items'!$B$2:$B$497,MATCH(F24,'Dashboard Items'!$A$2:$A$497,0))&amp;": "&amp;INDEX('Dashboard Items'!$C$2:$C$497,MATCH(F24,'Dashboard Items'!$A$2:$A$497,0)),"ID not found")))</f>
        <v/>
      </c>
      <c r="H24" s="28" t="s">
        <v>424</v>
      </c>
      <c r="I24" s="30">
        <v>2</v>
      </c>
      <c r="J24" s="30" t="s">
        <v>67</v>
      </c>
      <c r="K24" s="30" t="s">
        <v>29</v>
      </c>
      <c r="L24" s="30">
        <v>0</v>
      </c>
      <c r="M24" s="30">
        <v>0</v>
      </c>
      <c r="N24" s="30" t="s">
        <v>67</v>
      </c>
      <c r="O24" s="28" t="s">
        <v>425</v>
      </c>
      <c r="P24" s="28" t="s">
        <v>428</v>
      </c>
      <c r="Q24" s="30"/>
      <c r="R24" s="30"/>
      <c r="S24" s="30"/>
    </row>
    <row r="25" spans="1:19" s="33" customFormat="1" ht="16" x14ac:dyDescent="0.2">
      <c r="A25" s="28" t="s">
        <v>457</v>
      </c>
      <c r="B25" s="29" t="s">
        <v>483</v>
      </c>
      <c r="C25" s="30" t="s">
        <v>73</v>
      </c>
      <c r="D25" s="28" t="s">
        <v>322</v>
      </c>
      <c r="E25" s="31" t="str">
        <f>IF(D25="","",IFERROR(IF(INDEX('Dashboard Items'!$B$2:$B$497,MATCH(D25,'Dashboard Items'!$A$2:$A$497,0))="Objective","Objectives go in the next column",IF(OR(C25="",INDEX('Dashboard Items'!$B$2:$B$497,MATCH(D25,'Dashboard Items'!$A$2:$A$497,0))=C25),INDEX('Dashboard Items'!$C$2:$C$497,MATCH(D25,'Dashboard Items'!$A$2:$A$497,0)),"Level does not match ID")),"ID not found"))</f>
        <v>Library Programming &amp; Outreach</v>
      </c>
      <c r="F25" s="32"/>
      <c r="G25" s="31" t="str">
        <f>IF(F25="","",IF(ISNUMBER(SEARCH(",",F25)),"Several items (the script lists them)",IFERROR(INDEX('Dashboard Items'!$B$2:$B$497,MATCH(F25,'Dashboard Items'!$A$2:$A$497,0))&amp;": "&amp;INDEX('Dashboard Items'!$C$2:$C$497,MATCH(F25,'Dashboard Items'!$A$2:$A$497,0)),"ID not found")))</f>
        <v/>
      </c>
      <c r="H25" s="28" t="s">
        <v>424</v>
      </c>
      <c r="I25" s="30">
        <v>2</v>
      </c>
      <c r="J25" s="30" t="s">
        <v>67</v>
      </c>
      <c r="K25" s="30" t="s">
        <v>29</v>
      </c>
      <c r="L25" s="30">
        <v>0</v>
      </c>
      <c r="M25" s="30">
        <v>0</v>
      </c>
      <c r="N25" s="30" t="s">
        <v>67</v>
      </c>
      <c r="O25" s="28" t="s">
        <v>425</v>
      </c>
      <c r="P25" s="28" t="s">
        <v>428</v>
      </c>
      <c r="Q25" s="30"/>
      <c r="R25" s="30"/>
      <c r="S25" s="30"/>
    </row>
    <row r="26" spans="1:19" s="33" customFormat="1" ht="16" x14ac:dyDescent="0.2">
      <c r="A26" s="28" t="s">
        <v>458</v>
      </c>
      <c r="B26" s="29" t="s">
        <v>484</v>
      </c>
      <c r="C26" s="30" t="s">
        <v>73</v>
      </c>
      <c r="D26" s="28" t="s">
        <v>322</v>
      </c>
      <c r="E26" s="31" t="str">
        <f>IF(D26="","",IFERROR(IF(INDEX('Dashboard Items'!$B$2:$B$497,MATCH(D26,'Dashboard Items'!$A$2:$A$497,0))="Objective","Objectives go in the next column",IF(OR(C26="",INDEX('Dashboard Items'!$B$2:$B$497,MATCH(D26,'Dashboard Items'!$A$2:$A$497,0))=C26),INDEX('Dashboard Items'!$C$2:$C$497,MATCH(D26,'Dashboard Items'!$A$2:$A$497,0)),"Level does not match ID")),"ID not found"))</f>
        <v>Library Programming &amp; Outreach</v>
      </c>
      <c r="F26" s="32"/>
      <c r="G26" s="31" t="str">
        <f>IF(F26="","",IF(ISNUMBER(SEARCH(",",F26)),"Several items (the script lists them)",IFERROR(INDEX('Dashboard Items'!$B$2:$B$497,MATCH(F26,'Dashboard Items'!$A$2:$A$497,0))&amp;": "&amp;INDEX('Dashboard Items'!$C$2:$C$497,MATCH(F26,'Dashboard Items'!$A$2:$A$497,0)),"ID not found")))</f>
        <v/>
      </c>
      <c r="H26" s="28" t="s">
        <v>424</v>
      </c>
      <c r="I26" s="30">
        <v>2</v>
      </c>
      <c r="J26" s="30" t="s">
        <v>67</v>
      </c>
      <c r="K26" s="30" t="s">
        <v>29</v>
      </c>
      <c r="L26" s="30">
        <v>0</v>
      </c>
      <c r="M26" s="30">
        <v>0</v>
      </c>
      <c r="N26" s="30" t="s">
        <v>67</v>
      </c>
      <c r="O26" s="28" t="s">
        <v>425</v>
      </c>
      <c r="P26" s="28" t="s">
        <v>428</v>
      </c>
      <c r="Q26" s="30"/>
      <c r="R26" s="30"/>
      <c r="S26" s="30"/>
    </row>
    <row r="27" spans="1:19" s="41" customFormat="1" ht="16" x14ac:dyDescent="0.2">
      <c r="A27" s="36" t="s">
        <v>462</v>
      </c>
      <c r="B27" s="37" t="s">
        <v>459</v>
      </c>
      <c r="C27" s="38" t="s">
        <v>73</v>
      </c>
      <c r="D27" s="36" t="s">
        <v>153</v>
      </c>
      <c r="E27" s="39" t="str">
        <f>IF(D27="","",IFERROR(IF(INDEX('Dashboard Items'!$B$2:$B$497,MATCH(D27,'Dashboard Items'!$A$2:$A$497,0))="Objective","Objectives go in the next column",IF(OR(C27="",INDEX('Dashboard Items'!$B$2:$B$497,MATCH(D27,'Dashboard Items'!$A$2:$A$497,0))=C27),INDEX('Dashboard Items'!$C$2:$C$497,MATCH(D27,'Dashboard Items'!$A$2:$A$497,0)),"Level does not match ID")),"ID not found"))</f>
        <v>Elections Administration</v>
      </c>
      <c r="F27" s="40"/>
      <c r="G27" s="39" t="str">
        <f>IF(F27="","",IF(ISNUMBER(SEARCH(",",F27)),"Several items (the script lists them)",IFERROR(INDEX('Dashboard Items'!$B$2:$B$497,MATCH(F27,'Dashboard Items'!$A$2:$A$497,0))&amp;": "&amp;INDEX('Dashboard Items'!$C$2:$C$497,MATCH(F27,'Dashboard Items'!$A$2:$A$497,0)),"ID not found")))</f>
        <v/>
      </c>
      <c r="H27" s="38"/>
      <c r="I27" s="38"/>
      <c r="J27" s="38"/>
      <c r="K27" s="38"/>
      <c r="L27" s="38"/>
      <c r="M27" s="38"/>
      <c r="N27" s="38"/>
      <c r="O27" s="38"/>
      <c r="P27" s="38"/>
      <c r="Q27" s="38"/>
      <c r="R27" s="38"/>
      <c r="S27" s="38"/>
    </row>
    <row r="28" spans="1:19" s="41" customFormat="1" ht="16" x14ac:dyDescent="0.2">
      <c r="A28" s="36" t="s">
        <v>466</v>
      </c>
      <c r="B28" s="37" t="s">
        <v>461</v>
      </c>
      <c r="C28" s="38" t="s">
        <v>73</v>
      </c>
      <c r="D28" s="36" t="s">
        <v>153</v>
      </c>
      <c r="E28" s="39" t="str">
        <f>IF(D28="","",IFERROR(IF(INDEX('Dashboard Items'!$B$2:$B$497,MATCH(D28,'Dashboard Items'!$A$2:$A$497,0))="Objective","Objectives go in the next column",IF(OR(C28="",INDEX('Dashboard Items'!$B$2:$B$497,MATCH(D28,'Dashboard Items'!$A$2:$A$497,0))=C28),INDEX('Dashboard Items'!$C$2:$C$497,MATCH(D28,'Dashboard Items'!$A$2:$A$497,0)),"Level does not match ID")),"ID not found"))</f>
        <v>Elections Administration</v>
      </c>
      <c r="F28" s="40"/>
      <c r="G28" s="39" t="str">
        <f>IF(F28="","",IF(ISNUMBER(SEARCH(",",F28)),"Several items (the script lists them)",IFERROR(INDEX('Dashboard Items'!$B$2:$B$497,MATCH(F28,'Dashboard Items'!$A$2:$A$497,0))&amp;": "&amp;INDEX('Dashboard Items'!$C$2:$C$497,MATCH(F28,'Dashboard Items'!$A$2:$A$497,0)),"ID not found")))</f>
        <v/>
      </c>
      <c r="H28" s="38"/>
      <c r="I28" s="38"/>
      <c r="J28" s="38"/>
      <c r="K28" s="38"/>
      <c r="L28" s="38"/>
      <c r="M28" s="38"/>
      <c r="N28" s="38"/>
      <c r="O28" s="38"/>
      <c r="P28" s="38"/>
      <c r="Q28" s="38"/>
      <c r="R28" s="38"/>
      <c r="S28" s="38"/>
    </row>
    <row r="29" spans="1:19" s="41" customFormat="1" ht="28" x14ac:dyDescent="0.2">
      <c r="A29" s="36" t="s">
        <v>463</v>
      </c>
      <c r="B29" s="37" t="s">
        <v>460</v>
      </c>
      <c r="C29" s="38" t="s">
        <v>73</v>
      </c>
      <c r="D29" s="36" t="s">
        <v>153</v>
      </c>
      <c r="E29" s="39" t="str">
        <f>IF(D29="","",IFERROR(IF(INDEX('Dashboard Items'!$B$2:$B$497,MATCH(D29,'Dashboard Items'!$A$2:$A$497,0))="Objective","Objectives go in the next column",IF(OR(C29="",INDEX('Dashboard Items'!$B$2:$B$497,MATCH(D29,'Dashboard Items'!$A$2:$A$497,0))=C29),INDEX('Dashboard Items'!$C$2:$C$497,MATCH(D29,'Dashboard Items'!$A$2:$A$497,0)),"Level does not match ID")),"ID not found"))</f>
        <v>Elections Administration</v>
      </c>
      <c r="F29" s="42" t="s">
        <v>106</v>
      </c>
      <c r="G29" s="39" t="str">
        <f>IF(F29="","",IF(ISNUMBER(SEARCH(",",F29)),"Several items (the script lists them)",IFERROR(INDEX('Dashboard Items'!$B$2:$B$497,MATCH(F29,'Dashboard Items'!$A$2:$A$497,0))&amp;": "&amp;INDEX('Dashboard Items'!$C$2:$C$497,MATCH(F29,'Dashboard Items'!$A$2:$A$497,0)),"ID not found")))</f>
        <v>Key Service: City Clerk &amp; Records Management</v>
      </c>
      <c r="H29" s="38"/>
      <c r="I29" s="38"/>
      <c r="J29" s="38"/>
      <c r="K29" s="38"/>
      <c r="L29" s="38"/>
      <c r="M29" s="38"/>
      <c r="N29" s="38"/>
      <c r="O29" s="38"/>
      <c r="P29" s="38"/>
      <c r="Q29" s="38"/>
      <c r="R29" s="38"/>
      <c r="S29" s="38"/>
    </row>
    <row r="30" spans="1:19" s="41" customFormat="1" ht="16" x14ac:dyDescent="0.2">
      <c r="A30" s="36" t="s">
        <v>464</v>
      </c>
      <c r="B30" s="37" t="s">
        <v>488</v>
      </c>
      <c r="C30" s="38" t="s">
        <v>73</v>
      </c>
      <c r="D30" s="36" t="s">
        <v>153</v>
      </c>
      <c r="E30" s="39" t="str">
        <f>IF(D30="","",IFERROR(IF(INDEX('Dashboard Items'!$B$2:$B$497,MATCH(D30,'Dashboard Items'!$A$2:$A$497,0))="Objective","Objectives go in the next column",IF(OR(C30="",INDEX('Dashboard Items'!$B$2:$B$497,MATCH(D30,'Dashboard Items'!$A$2:$A$497,0))=C30),INDEX('Dashboard Items'!$C$2:$C$497,MATCH(D30,'Dashboard Items'!$A$2:$A$497,0)),"Level does not match ID")),"ID not found"))</f>
        <v>Elections Administration</v>
      </c>
      <c r="F30" s="40"/>
      <c r="G30" s="39" t="str">
        <f>IF(F30="","",IF(ISNUMBER(SEARCH(",",F30)),"Several items (the script lists them)",IFERROR(INDEX('Dashboard Items'!$B$2:$B$497,MATCH(F30,'Dashboard Items'!$A$2:$A$497,0))&amp;": "&amp;INDEX('Dashboard Items'!$C$2:$C$497,MATCH(F30,'Dashboard Items'!$A$2:$A$497,0)),"ID not found")))</f>
        <v/>
      </c>
      <c r="H30" s="38"/>
      <c r="I30" s="38"/>
      <c r="J30" s="38"/>
      <c r="K30" s="38"/>
      <c r="L30" s="38"/>
      <c r="M30" s="38"/>
      <c r="N30" s="38"/>
      <c r="O30" s="38"/>
      <c r="P30" s="38"/>
      <c r="Q30" s="38"/>
      <c r="R30" s="38"/>
      <c r="S30" s="38"/>
    </row>
    <row r="31" spans="1:19" s="41" customFormat="1" ht="28" x14ac:dyDescent="0.2">
      <c r="A31" s="36" t="s">
        <v>467</v>
      </c>
      <c r="B31" s="37" t="s">
        <v>485</v>
      </c>
      <c r="C31" s="38" t="s">
        <v>73</v>
      </c>
      <c r="D31" s="36" t="s">
        <v>151</v>
      </c>
      <c r="E31" s="39" t="str">
        <f>IF(D31="","",IFERROR(IF(INDEX('Dashboard Items'!$B$2:$B$497,MATCH(D31,'Dashboard Items'!$A$2:$A$497,0))="Objective","Objectives go in the next column",IF(OR(C31="",INDEX('Dashboard Items'!$B$2:$B$497,MATCH(D31,'Dashboard Items'!$A$2:$A$497,0))=C31),INDEX('Dashboard Items'!$C$2:$C$497,MATCH(D31,'Dashboard Items'!$A$2:$A$497,0)),"Level does not match ID")),"ID not found"))</f>
        <v>Records Management</v>
      </c>
      <c r="F31" s="42" t="s">
        <v>106</v>
      </c>
      <c r="G31" s="39" t="str">
        <f>IF(F31="","",IF(ISNUMBER(SEARCH(",",F31)),"Several items (the script lists them)",IFERROR(INDEX('Dashboard Items'!$B$2:$B$497,MATCH(F31,'Dashboard Items'!$A$2:$A$497,0))&amp;": "&amp;INDEX('Dashboard Items'!$C$2:$C$497,MATCH(F31,'Dashboard Items'!$A$2:$A$497,0)),"ID not found")))</f>
        <v>Key Service: City Clerk &amp; Records Management</v>
      </c>
      <c r="H31" s="38"/>
      <c r="I31" s="38"/>
      <c r="J31" s="38"/>
      <c r="K31" s="38"/>
      <c r="L31" s="38"/>
      <c r="M31" s="38"/>
      <c r="N31" s="38"/>
      <c r="O31" s="38"/>
      <c r="P31" s="38"/>
      <c r="Q31" s="38"/>
      <c r="R31" s="38"/>
      <c r="S31" s="38"/>
    </row>
    <row r="32" spans="1:19" s="41" customFormat="1" ht="28" x14ac:dyDescent="0.2">
      <c r="A32" s="36" t="s">
        <v>468</v>
      </c>
      <c r="B32" s="37" t="s">
        <v>486</v>
      </c>
      <c r="C32" s="38" t="s">
        <v>73</v>
      </c>
      <c r="D32" s="36" t="s">
        <v>155</v>
      </c>
      <c r="E32" s="39" t="str">
        <f>IF(D32="","",IFERROR(IF(INDEX('Dashboard Items'!$B$2:$B$497,MATCH(D32,'Dashboard Items'!$A$2:$A$497,0))="Objective","Objectives go in the next column",IF(OR(C32="",INDEX('Dashboard Items'!$B$2:$B$497,MATCH(D32,'Dashboard Items'!$A$2:$A$497,0))=C32),INDEX('Dashboard Items'!$C$2:$C$497,MATCH(D32,'Dashboard Items'!$A$2:$A$497,0)),"Level does not match ID")),"ID not found"))</f>
        <v>Council/Board Support</v>
      </c>
      <c r="F32" s="42" t="s">
        <v>106</v>
      </c>
      <c r="G32" s="39" t="str">
        <f>IF(F32="","",IF(ISNUMBER(SEARCH(",",F32)),"Several items (the script lists them)",IFERROR(INDEX('Dashboard Items'!$B$2:$B$497,MATCH(F32,'Dashboard Items'!$A$2:$A$497,0))&amp;": "&amp;INDEX('Dashboard Items'!$C$2:$C$497,MATCH(F32,'Dashboard Items'!$A$2:$A$497,0)),"ID not found")))</f>
        <v>Key Service: City Clerk &amp; Records Management</v>
      </c>
      <c r="H32" s="38"/>
      <c r="I32" s="38"/>
      <c r="J32" s="38"/>
      <c r="K32" s="38"/>
      <c r="L32" s="38"/>
      <c r="M32" s="38"/>
      <c r="N32" s="38"/>
      <c r="O32" s="38"/>
      <c r="P32" s="38"/>
      <c r="Q32" s="38"/>
      <c r="R32" s="38"/>
      <c r="S32" s="38"/>
    </row>
    <row r="33" spans="1:19" s="41" customFormat="1" ht="28" x14ac:dyDescent="0.2">
      <c r="A33" s="36" t="s">
        <v>469</v>
      </c>
      <c r="B33" s="37" t="s">
        <v>465</v>
      </c>
      <c r="C33" s="38" t="s">
        <v>73</v>
      </c>
      <c r="D33" s="36" t="s">
        <v>157</v>
      </c>
      <c r="E33" s="39" t="str">
        <f>IF(D33="","",IFERROR(IF(INDEX('Dashboard Items'!$B$2:$B$497,MATCH(D33,'Dashboard Items'!$A$2:$A$497,0))="Objective","Objectives go in the next column",IF(OR(C33="",INDEX('Dashboard Items'!$B$2:$B$497,MATCH(D33,'Dashboard Items'!$A$2:$A$497,0))=C33),INDEX('Dashboard Items'!$C$2:$C$497,MATCH(D33,'Dashboard Items'!$A$2:$A$497,0)),"Level does not match ID")),"ID not found"))</f>
        <v>Licensing</v>
      </c>
      <c r="F33" s="42" t="s">
        <v>106</v>
      </c>
      <c r="G33" s="39" t="str">
        <f>IF(F33="","",IF(ISNUMBER(SEARCH(",",F33)),"Several items (the script lists them)",IFERROR(INDEX('Dashboard Items'!$B$2:$B$497,MATCH(F33,'Dashboard Items'!$A$2:$A$497,0))&amp;": "&amp;INDEX('Dashboard Items'!$C$2:$C$497,MATCH(F33,'Dashboard Items'!$A$2:$A$497,0)),"ID not found")))</f>
        <v>Key Service: City Clerk &amp; Records Management</v>
      </c>
      <c r="H33" s="38"/>
      <c r="I33" s="38"/>
      <c r="J33" s="38"/>
      <c r="K33" s="38"/>
      <c r="L33" s="38"/>
      <c r="M33" s="38"/>
      <c r="N33" s="38"/>
      <c r="O33" s="38"/>
      <c r="P33" s="38"/>
      <c r="Q33" s="38"/>
      <c r="R33" s="38"/>
      <c r="S33" s="38"/>
    </row>
    <row r="34" spans="1:19" s="41" customFormat="1" ht="28" x14ac:dyDescent="0.2">
      <c r="A34" s="36" t="s">
        <v>470</v>
      </c>
      <c r="B34" s="37" t="s">
        <v>487</v>
      </c>
      <c r="C34" s="38" t="s">
        <v>73</v>
      </c>
      <c r="D34" s="36" t="s">
        <v>157</v>
      </c>
      <c r="E34" s="39" t="str">
        <f>IF(D34="","",IFERROR(IF(INDEX('Dashboard Items'!$B$2:$B$497,MATCH(D34,'Dashboard Items'!$A$2:$A$497,0))="Objective","Objectives go in the next column",IF(OR(C34="",INDEX('Dashboard Items'!$B$2:$B$497,MATCH(D34,'Dashboard Items'!$A$2:$A$497,0))=C34),INDEX('Dashboard Items'!$C$2:$C$497,MATCH(D34,'Dashboard Items'!$A$2:$A$497,0)),"Level does not match ID")),"ID not found"))</f>
        <v>Licensing</v>
      </c>
      <c r="F34" s="42" t="s">
        <v>106</v>
      </c>
      <c r="G34" s="39" t="str">
        <f>IF(F34="","",IF(ISNUMBER(SEARCH(",",F34)),"Several items (the script lists them)",IFERROR(INDEX('Dashboard Items'!$B$2:$B$497,MATCH(F34,'Dashboard Items'!$A$2:$A$497,0))&amp;": "&amp;INDEX('Dashboard Items'!$C$2:$C$497,MATCH(F34,'Dashboard Items'!$A$2:$A$497,0)),"ID not found")))</f>
        <v>Key Service: City Clerk &amp; Records Management</v>
      </c>
      <c r="H34" s="38"/>
      <c r="I34" s="38"/>
      <c r="J34" s="38"/>
      <c r="K34" s="38"/>
      <c r="L34" s="38"/>
      <c r="M34" s="38"/>
      <c r="N34" s="38"/>
      <c r="O34" s="38"/>
      <c r="P34" s="38"/>
      <c r="Q34" s="38"/>
      <c r="R34" s="38"/>
      <c r="S34" s="38"/>
    </row>
    <row r="35" spans="1:19" s="41" customFormat="1" ht="28" x14ac:dyDescent="0.2">
      <c r="A35" s="36" t="s">
        <v>471</v>
      </c>
      <c r="B35" s="37" t="s">
        <v>472</v>
      </c>
      <c r="C35" s="38" t="s">
        <v>73</v>
      </c>
      <c r="D35" s="36" t="s">
        <v>256</v>
      </c>
      <c r="E35" s="39" t="str">
        <f>IF(D35="","",IFERROR(IF(INDEX('Dashboard Items'!$B$2:$B$497,MATCH(D35,'Dashboard Items'!$A$2:$A$497,0))="Objective","Objectives go in the next column",IF(OR(C35="",INDEX('Dashboard Items'!$B$2:$B$497,MATCH(D35,'Dashboard Items'!$A$2:$A$497,0))=C35),INDEX('Dashboard Items'!$C$2:$C$497,MATCH(D35,'Dashboard Items'!$A$2:$A$497,0)),"Level does not match ID")),"ID not found"))</f>
        <v>Specialty Court</v>
      </c>
      <c r="F35" s="42" t="s">
        <v>125</v>
      </c>
      <c r="G35" s="39" t="str">
        <f>IF(F35="","",IF(ISNUMBER(SEARCH(",",F35)),"Several items (the script lists them)",IFERROR(INDEX('Dashboard Items'!$B$2:$B$497,MATCH(F35,'Dashboard Items'!$A$2:$A$497,0))&amp;": "&amp;INDEX('Dashboard Items'!$C$2:$C$497,MATCH(F35,'Dashboard Items'!$A$2:$A$497,0)),"ID not found")))</f>
        <v>Key Service: Municipal Court</v>
      </c>
      <c r="H35" s="36" t="s">
        <v>66</v>
      </c>
      <c r="I35" s="38">
        <v>2</v>
      </c>
      <c r="J35" s="38" t="s">
        <v>67</v>
      </c>
      <c r="K35" s="38" t="s">
        <v>29</v>
      </c>
      <c r="L35" s="38">
        <v>5</v>
      </c>
      <c r="M35" s="38">
        <v>15</v>
      </c>
      <c r="N35" s="38" t="s">
        <v>67</v>
      </c>
      <c r="O35" s="36" t="s">
        <v>76</v>
      </c>
      <c r="P35" s="36" t="s">
        <v>493</v>
      </c>
      <c r="Q35" s="36" t="s">
        <v>498</v>
      </c>
      <c r="R35" s="38"/>
      <c r="S35" s="38"/>
    </row>
    <row r="36" spans="1:19" s="47" customFormat="1" ht="28" x14ac:dyDescent="0.2">
      <c r="A36" s="43" t="s">
        <v>491</v>
      </c>
      <c r="B36" s="43" t="s">
        <v>492</v>
      </c>
      <c r="C36" s="44" t="s">
        <v>73</v>
      </c>
      <c r="D36" s="43" t="s">
        <v>161</v>
      </c>
      <c r="E36" s="45" t="str">
        <f>IF(D36="","",IFERROR(IF(INDEX('Dashboard Items'!$B$2:$B$497,MATCH(D36,'Dashboard Items'!$A$2:$A$497,0))="Objective","Objectives go in the next column",IF(OR(C36="",INDEX('Dashboard Items'!$B$2:$B$497,MATCH(D36,'Dashboard Items'!$A$2:$A$497,0))=C36),INDEX('Dashboard Items'!$C$2:$C$497,MATCH(D36,'Dashboard Items'!$A$2:$A$497,0)),"Level does not match ID")),"ID not found"))</f>
        <v>Social Media</v>
      </c>
      <c r="F36" s="46" t="s">
        <v>108</v>
      </c>
      <c r="G36" s="45" t="str">
        <f>IF(F36="","",IF(ISNUMBER(SEARCH(",",F36)),"Several items (the script lists them)",IFERROR(INDEX('Dashboard Items'!$B$2:$B$497,MATCH(F36,'Dashboard Items'!$A$2:$A$497,0))&amp;": "&amp;INDEX('Dashboard Items'!$C$2:$C$497,MATCH(F36,'Dashboard Items'!$A$2:$A$497,0)),"ID not found")))</f>
        <v>Key Service: Public Information &amp; Community Engagement</v>
      </c>
      <c r="H36" s="44"/>
      <c r="I36" s="44"/>
      <c r="J36" s="44"/>
      <c r="K36" s="44"/>
      <c r="L36" s="44"/>
      <c r="M36" s="44"/>
      <c r="N36" s="44"/>
      <c r="O36" s="44"/>
      <c r="P36" s="44"/>
      <c r="Q36" s="44"/>
      <c r="R36" s="44"/>
      <c r="S36" s="44"/>
    </row>
    <row r="37" spans="1:19" x14ac:dyDescent="0.2">
      <c r="A37" s="2"/>
      <c r="B37" s="2"/>
      <c r="C37" s="2"/>
      <c r="D37" s="2"/>
      <c r="E37" s="6" t="str">
        <f>IF(D37="","",IFERROR(IF(INDEX('Dashboard Items'!$B$2:$B$497,MATCH(D37,'Dashboard Items'!$A$2:$A$497,0))="Objective","Objectives go in the next column",IF(OR(C37="",INDEX('Dashboard Items'!$B$2:$B$497,MATCH(D37,'Dashboard Items'!$A$2:$A$497,0))=C37),INDEX('Dashboard Items'!$C$2:$C$497,MATCH(D37,'Dashboard Items'!$A$2:$A$497,0)),"Level does not match ID")),"ID not found"))</f>
        <v/>
      </c>
      <c r="F37" s="7"/>
      <c r="G37" s="6" t="str">
        <f>IF(F37="","",IF(ISNUMBER(SEARCH(",",F37)),"Several items (the script lists them)",IFERROR(INDEX('Dashboard Items'!$B$2:$B$497,MATCH(F37,'Dashboard Items'!$A$2:$A$497,0))&amp;": "&amp;INDEX('Dashboard Items'!$C$2:$C$497,MATCH(F37,'Dashboard Items'!$A$2:$A$497,0)),"ID not found")))</f>
        <v/>
      </c>
      <c r="H37" s="2"/>
      <c r="I37" s="2"/>
      <c r="J37" s="2"/>
      <c r="K37" s="2"/>
      <c r="L37" s="2"/>
      <c r="M37" s="2"/>
      <c r="N37" s="2"/>
      <c r="O37" s="2"/>
      <c r="P37" s="2"/>
      <c r="Q37" s="2"/>
      <c r="R37" s="2"/>
      <c r="S37" s="2"/>
    </row>
    <row r="38" spans="1:19" x14ac:dyDescent="0.2">
      <c r="A38" s="2"/>
      <c r="B38" s="2"/>
      <c r="C38" s="2"/>
      <c r="D38" s="2"/>
      <c r="E38" s="6" t="str">
        <f>IF(D38="","",IFERROR(IF(INDEX('Dashboard Items'!$B$2:$B$497,MATCH(D38,'Dashboard Items'!$A$2:$A$497,0))="Objective","Objectives go in the next column",IF(OR(C38="",INDEX('Dashboard Items'!$B$2:$B$497,MATCH(D38,'Dashboard Items'!$A$2:$A$497,0))=C38),INDEX('Dashboard Items'!$C$2:$C$497,MATCH(D38,'Dashboard Items'!$A$2:$A$497,0)),"Level does not match ID")),"ID not found"))</f>
        <v/>
      </c>
      <c r="F38" s="7"/>
      <c r="G38" s="6" t="str">
        <f>IF(F38="","",IF(ISNUMBER(SEARCH(",",F38)),"Several items (the script lists them)",IFERROR(INDEX('Dashboard Items'!$B$2:$B$497,MATCH(F38,'Dashboard Items'!$A$2:$A$497,0))&amp;": "&amp;INDEX('Dashboard Items'!$C$2:$C$497,MATCH(F38,'Dashboard Items'!$A$2:$A$497,0)),"ID not found")))</f>
        <v/>
      </c>
      <c r="H38" s="2"/>
      <c r="I38" s="2"/>
      <c r="J38" s="2"/>
      <c r="K38" s="2"/>
      <c r="L38" s="2"/>
      <c r="M38" s="2"/>
      <c r="N38" s="2"/>
      <c r="O38" s="2"/>
      <c r="P38" s="2"/>
      <c r="Q38" s="2"/>
      <c r="R38" s="2"/>
      <c r="S38" s="2"/>
    </row>
    <row r="39" spans="1:19" x14ac:dyDescent="0.2">
      <c r="A39" s="2"/>
      <c r="B39" s="2"/>
      <c r="C39" s="2"/>
      <c r="D39" s="2"/>
      <c r="E39" s="6" t="str">
        <f>IF(D39="","",IFERROR(IF(INDEX('Dashboard Items'!$B$2:$B$497,MATCH(D39,'Dashboard Items'!$A$2:$A$497,0))="Objective","Objectives go in the next column",IF(OR(C39="",INDEX('Dashboard Items'!$B$2:$B$497,MATCH(D39,'Dashboard Items'!$A$2:$A$497,0))=C39),INDEX('Dashboard Items'!$C$2:$C$497,MATCH(D39,'Dashboard Items'!$A$2:$A$497,0)),"Level does not match ID")),"ID not found"))</f>
        <v/>
      </c>
      <c r="F39" s="7"/>
      <c r="G39" s="6" t="str">
        <f>IF(F39="","",IF(ISNUMBER(SEARCH(",",F39)),"Several items (the script lists them)",IFERROR(INDEX('Dashboard Items'!$B$2:$B$497,MATCH(F39,'Dashboard Items'!$A$2:$A$497,0))&amp;": "&amp;INDEX('Dashboard Items'!$C$2:$C$497,MATCH(F39,'Dashboard Items'!$A$2:$A$497,0)),"ID not found")))</f>
        <v/>
      </c>
      <c r="H39" s="2"/>
      <c r="I39" s="2"/>
      <c r="J39" s="2"/>
      <c r="K39" s="2"/>
      <c r="L39" s="2"/>
      <c r="M39" s="2"/>
      <c r="N39" s="2"/>
      <c r="O39" s="2"/>
      <c r="P39" s="2"/>
      <c r="Q39" s="2"/>
      <c r="R39" s="2"/>
      <c r="S39" s="2"/>
    </row>
    <row r="40" spans="1:19" x14ac:dyDescent="0.2">
      <c r="A40" s="2"/>
      <c r="B40" s="2"/>
      <c r="C40" s="2"/>
      <c r="D40" s="2"/>
      <c r="E40" s="6" t="str">
        <f>IF(D40="","",IFERROR(IF(INDEX('Dashboard Items'!$B$2:$B$497,MATCH(D40,'Dashboard Items'!$A$2:$A$497,0))="Objective","Objectives go in the next column",IF(OR(C40="",INDEX('Dashboard Items'!$B$2:$B$497,MATCH(D40,'Dashboard Items'!$A$2:$A$497,0))=C40),INDEX('Dashboard Items'!$C$2:$C$497,MATCH(D40,'Dashboard Items'!$A$2:$A$497,0)),"Level does not match ID")),"ID not found"))</f>
        <v/>
      </c>
      <c r="F40" s="7"/>
      <c r="G40" s="6" t="str">
        <f>IF(F40="","",IF(ISNUMBER(SEARCH(",",F40)),"Several items (the script lists them)",IFERROR(INDEX('Dashboard Items'!$B$2:$B$497,MATCH(F40,'Dashboard Items'!$A$2:$A$497,0))&amp;": "&amp;INDEX('Dashboard Items'!$C$2:$C$497,MATCH(F40,'Dashboard Items'!$A$2:$A$497,0)),"ID not found")))</f>
        <v/>
      </c>
      <c r="H40" s="2"/>
      <c r="I40" s="2"/>
      <c r="J40" s="2"/>
      <c r="K40" s="2"/>
      <c r="L40" s="2"/>
      <c r="M40" s="2"/>
      <c r="N40" s="2"/>
      <c r="O40" s="2"/>
      <c r="P40" s="2"/>
      <c r="Q40" s="2"/>
      <c r="R40" s="2"/>
      <c r="S40" s="2"/>
    </row>
    <row r="41" spans="1:19" x14ac:dyDescent="0.2">
      <c r="A41" s="2"/>
      <c r="B41" s="2"/>
      <c r="C41" s="2"/>
      <c r="D41" s="2"/>
      <c r="E41" s="6" t="str">
        <f>IF(D41="","",IFERROR(IF(INDEX('Dashboard Items'!$B$2:$B$497,MATCH(D41,'Dashboard Items'!$A$2:$A$497,0))="Objective","Objectives go in the next column",IF(OR(C41="",INDEX('Dashboard Items'!$B$2:$B$497,MATCH(D41,'Dashboard Items'!$A$2:$A$497,0))=C41),INDEX('Dashboard Items'!$C$2:$C$497,MATCH(D41,'Dashboard Items'!$A$2:$A$497,0)),"Level does not match ID")),"ID not found"))</f>
        <v/>
      </c>
      <c r="F41" s="7"/>
      <c r="G41" s="6" t="str">
        <f>IF(F41="","",IF(ISNUMBER(SEARCH(",",F41)),"Several items (the script lists them)",IFERROR(INDEX('Dashboard Items'!$B$2:$B$497,MATCH(F41,'Dashboard Items'!$A$2:$A$497,0))&amp;": "&amp;INDEX('Dashboard Items'!$C$2:$C$497,MATCH(F41,'Dashboard Items'!$A$2:$A$497,0)),"ID not found")))</f>
        <v/>
      </c>
      <c r="H41" s="2"/>
      <c r="I41" s="2"/>
      <c r="J41" s="2"/>
      <c r="K41" s="2"/>
      <c r="L41" s="2"/>
      <c r="M41" s="2"/>
      <c r="N41" s="2"/>
      <c r="O41" s="2"/>
      <c r="P41" s="2"/>
      <c r="Q41" s="2"/>
      <c r="R41" s="2"/>
      <c r="S41" s="2"/>
    </row>
    <row r="42" spans="1:19" x14ac:dyDescent="0.2">
      <c r="A42" s="2"/>
      <c r="B42" s="2"/>
      <c r="C42" s="2"/>
      <c r="D42" s="2"/>
      <c r="E42" s="6" t="str">
        <f>IF(D42="","",IFERROR(IF(INDEX('Dashboard Items'!$B$2:$B$497,MATCH(D42,'Dashboard Items'!$A$2:$A$497,0))="Objective","Objectives go in the next column",IF(OR(C42="",INDEX('Dashboard Items'!$B$2:$B$497,MATCH(D42,'Dashboard Items'!$A$2:$A$497,0))=C42),INDEX('Dashboard Items'!$C$2:$C$497,MATCH(D42,'Dashboard Items'!$A$2:$A$497,0)),"Level does not match ID")),"ID not found"))</f>
        <v/>
      </c>
      <c r="F42" s="7"/>
      <c r="G42" s="6" t="str">
        <f>IF(F42="","",IF(ISNUMBER(SEARCH(",",F42)),"Several items (the script lists them)",IFERROR(INDEX('Dashboard Items'!$B$2:$B$497,MATCH(F42,'Dashboard Items'!$A$2:$A$497,0))&amp;": "&amp;INDEX('Dashboard Items'!$C$2:$C$497,MATCH(F42,'Dashboard Items'!$A$2:$A$497,0)),"ID not found")))</f>
        <v/>
      </c>
      <c r="H42" s="2"/>
      <c r="I42" s="2"/>
      <c r="J42" s="2"/>
      <c r="K42" s="2"/>
      <c r="L42" s="2"/>
      <c r="M42" s="2"/>
      <c r="N42" s="2"/>
      <c r="O42" s="2"/>
      <c r="P42" s="2"/>
      <c r="Q42" s="2"/>
      <c r="R42" s="2"/>
      <c r="S42" s="2"/>
    </row>
    <row r="43" spans="1:19" x14ac:dyDescent="0.2">
      <c r="A43" s="2"/>
      <c r="B43" s="2"/>
      <c r="C43" s="2"/>
      <c r="D43" s="2"/>
      <c r="E43" s="6" t="str">
        <f>IF(D43="","",IFERROR(IF(INDEX('Dashboard Items'!$B$2:$B$497,MATCH(D43,'Dashboard Items'!$A$2:$A$497,0))="Objective","Objectives go in the next column",IF(OR(C43="",INDEX('Dashboard Items'!$B$2:$B$497,MATCH(D43,'Dashboard Items'!$A$2:$A$497,0))=C43),INDEX('Dashboard Items'!$C$2:$C$497,MATCH(D43,'Dashboard Items'!$A$2:$A$497,0)),"Level does not match ID")),"ID not found"))</f>
        <v/>
      </c>
      <c r="F43" s="7"/>
      <c r="G43" s="6" t="str">
        <f>IF(F43="","",IF(ISNUMBER(SEARCH(",",F43)),"Several items (the script lists them)",IFERROR(INDEX('Dashboard Items'!$B$2:$B$497,MATCH(F43,'Dashboard Items'!$A$2:$A$497,0))&amp;": "&amp;INDEX('Dashboard Items'!$C$2:$C$497,MATCH(F43,'Dashboard Items'!$A$2:$A$497,0)),"ID not found")))</f>
        <v/>
      </c>
      <c r="H43" s="2"/>
      <c r="I43" s="2"/>
      <c r="J43" s="2"/>
      <c r="K43" s="2"/>
      <c r="L43" s="2"/>
      <c r="M43" s="2"/>
      <c r="N43" s="2"/>
      <c r="O43" s="2"/>
      <c r="P43" s="2"/>
      <c r="Q43" s="2"/>
      <c r="R43" s="2"/>
      <c r="S43" s="2"/>
    </row>
    <row r="44" spans="1:19" x14ac:dyDescent="0.2">
      <c r="A44" s="2"/>
      <c r="B44" s="2"/>
      <c r="C44" s="2"/>
      <c r="D44" s="2"/>
      <c r="E44" s="6" t="str">
        <f>IF(D44="","",IFERROR(IF(INDEX('Dashboard Items'!$B$2:$B$497,MATCH(D44,'Dashboard Items'!$A$2:$A$497,0))="Objective","Objectives go in the next column",IF(OR(C44="",INDEX('Dashboard Items'!$B$2:$B$497,MATCH(D44,'Dashboard Items'!$A$2:$A$497,0))=C44),INDEX('Dashboard Items'!$C$2:$C$497,MATCH(D44,'Dashboard Items'!$A$2:$A$497,0)),"Level does not match ID")),"ID not found"))</f>
        <v/>
      </c>
      <c r="F44" s="7"/>
      <c r="G44" s="6" t="str">
        <f>IF(F44="","",IF(ISNUMBER(SEARCH(",",F44)),"Several items (the script lists them)",IFERROR(INDEX('Dashboard Items'!$B$2:$B$497,MATCH(F44,'Dashboard Items'!$A$2:$A$497,0))&amp;": "&amp;INDEX('Dashboard Items'!$C$2:$C$497,MATCH(F44,'Dashboard Items'!$A$2:$A$497,0)),"ID not found")))</f>
        <v/>
      </c>
      <c r="H44" s="2"/>
      <c r="I44" s="2"/>
      <c r="J44" s="2"/>
      <c r="K44" s="2"/>
      <c r="L44" s="2"/>
      <c r="M44" s="2"/>
      <c r="N44" s="2"/>
      <c r="O44" s="2"/>
      <c r="P44" s="2"/>
      <c r="Q44" s="2"/>
      <c r="R44" s="2"/>
      <c r="S44" s="2"/>
    </row>
    <row r="45" spans="1:19" x14ac:dyDescent="0.2">
      <c r="A45" s="2"/>
      <c r="B45" s="2"/>
      <c r="C45" s="2"/>
      <c r="D45" s="2"/>
      <c r="E45" s="6" t="str">
        <f>IF(D45="","",IFERROR(IF(INDEX('Dashboard Items'!$B$2:$B$497,MATCH(D45,'Dashboard Items'!$A$2:$A$497,0))="Objective","Objectives go in the next column",IF(OR(C45="",INDEX('Dashboard Items'!$B$2:$B$497,MATCH(D45,'Dashboard Items'!$A$2:$A$497,0))=C45),INDEX('Dashboard Items'!$C$2:$C$497,MATCH(D45,'Dashboard Items'!$A$2:$A$497,0)),"Level does not match ID")),"ID not found"))</f>
        <v/>
      </c>
      <c r="F45" s="7"/>
      <c r="G45" s="6" t="str">
        <f>IF(F45="","",IF(ISNUMBER(SEARCH(",",F45)),"Several items (the script lists them)",IFERROR(INDEX('Dashboard Items'!$B$2:$B$497,MATCH(F45,'Dashboard Items'!$A$2:$A$497,0))&amp;": "&amp;INDEX('Dashboard Items'!$C$2:$C$497,MATCH(F45,'Dashboard Items'!$A$2:$A$497,0)),"ID not found")))</f>
        <v/>
      </c>
      <c r="H45" s="2"/>
      <c r="I45" s="2"/>
      <c r="J45" s="2"/>
      <c r="K45" s="2"/>
      <c r="L45" s="2"/>
      <c r="M45" s="2"/>
      <c r="N45" s="2"/>
      <c r="O45" s="2"/>
      <c r="P45" s="2"/>
      <c r="Q45" s="2"/>
      <c r="R45" s="2"/>
      <c r="S45" s="2"/>
    </row>
    <row r="46" spans="1:19" x14ac:dyDescent="0.2">
      <c r="A46" s="2"/>
      <c r="B46" s="2"/>
      <c r="C46" s="2"/>
      <c r="D46" s="2"/>
      <c r="E46" s="6" t="str">
        <f>IF(D46="","",IFERROR(IF(INDEX('Dashboard Items'!$B$2:$B$497,MATCH(D46,'Dashboard Items'!$A$2:$A$497,0))="Objective","Objectives go in the next column",IF(OR(C46="",INDEX('Dashboard Items'!$B$2:$B$497,MATCH(D46,'Dashboard Items'!$A$2:$A$497,0))=C46),INDEX('Dashboard Items'!$C$2:$C$497,MATCH(D46,'Dashboard Items'!$A$2:$A$497,0)),"Level does not match ID")),"ID not found"))</f>
        <v/>
      </c>
      <c r="F46" s="7"/>
      <c r="G46" s="6" t="str">
        <f>IF(F46="","",IF(ISNUMBER(SEARCH(",",F46)),"Several items (the script lists them)",IFERROR(INDEX('Dashboard Items'!$B$2:$B$497,MATCH(F46,'Dashboard Items'!$A$2:$A$497,0))&amp;": "&amp;INDEX('Dashboard Items'!$C$2:$C$497,MATCH(F46,'Dashboard Items'!$A$2:$A$497,0)),"ID not found")))</f>
        <v/>
      </c>
      <c r="H46" s="2"/>
      <c r="I46" s="2"/>
      <c r="J46" s="2"/>
      <c r="K46" s="2"/>
      <c r="L46" s="2"/>
      <c r="M46" s="2"/>
      <c r="N46" s="2"/>
      <c r="O46" s="2"/>
      <c r="P46" s="2"/>
      <c r="Q46" s="2"/>
      <c r="R46" s="2"/>
      <c r="S46" s="2"/>
    </row>
    <row r="47" spans="1:19" x14ac:dyDescent="0.2">
      <c r="A47" s="2"/>
      <c r="B47" s="2"/>
      <c r="C47" s="2"/>
      <c r="D47" s="2"/>
      <c r="E47" s="6" t="str">
        <f>IF(D47="","",IFERROR(IF(INDEX('Dashboard Items'!$B$2:$B$497,MATCH(D47,'Dashboard Items'!$A$2:$A$497,0))="Objective","Objectives go in the next column",IF(OR(C47="",INDEX('Dashboard Items'!$B$2:$B$497,MATCH(D47,'Dashboard Items'!$A$2:$A$497,0))=C47),INDEX('Dashboard Items'!$C$2:$C$497,MATCH(D47,'Dashboard Items'!$A$2:$A$497,0)),"Level does not match ID")),"ID not found"))</f>
        <v/>
      </c>
      <c r="F47" s="7"/>
      <c r="G47" s="6" t="str">
        <f>IF(F47="","",IF(ISNUMBER(SEARCH(",",F47)),"Several items (the script lists them)",IFERROR(INDEX('Dashboard Items'!$B$2:$B$497,MATCH(F47,'Dashboard Items'!$A$2:$A$497,0))&amp;": "&amp;INDEX('Dashboard Items'!$C$2:$C$497,MATCH(F47,'Dashboard Items'!$A$2:$A$497,0)),"ID not found")))</f>
        <v/>
      </c>
      <c r="H47" s="2"/>
      <c r="I47" s="2"/>
      <c r="J47" s="2"/>
      <c r="K47" s="2"/>
      <c r="L47" s="2"/>
      <c r="M47" s="2"/>
      <c r="N47" s="2"/>
      <c r="O47" s="2"/>
      <c r="P47" s="2"/>
      <c r="Q47" s="2"/>
      <c r="R47" s="2"/>
      <c r="S47" s="2"/>
    </row>
    <row r="48" spans="1:19" x14ac:dyDescent="0.2">
      <c r="A48" s="2"/>
      <c r="B48" s="2"/>
      <c r="C48" s="2"/>
      <c r="D48" s="2"/>
      <c r="E48" s="6" t="str">
        <f>IF(D48="","",IFERROR(IF(INDEX('Dashboard Items'!$B$2:$B$497,MATCH(D48,'Dashboard Items'!$A$2:$A$497,0))="Objective","Objectives go in the next column",IF(OR(C48="",INDEX('Dashboard Items'!$B$2:$B$497,MATCH(D48,'Dashboard Items'!$A$2:$A$497,0))=C48),INDEX('Dashboard Items'!$C$2:$C$497,MATCH(D48,'Dashboard Items'!$A$2:$A$497,0)),"Level does not match ID")),"ID not found"))</f>
        <v/>
      </c>
      <c r="F48" s="7"/>
      <c r="G48" s="6" t="str">
        <f>IF(F48="","",IF(ISNUMBER(SEARCH(",",F48)),"Several items (the script lists them)",IFERROR(INDEX('Dashboard Items'!$B$2:$B$497,MATCH(F48,'Dashboard Items'!$A$2:$A$497,0))&amp;": "&amp;INDEX('Dashboard Items'!$C$2:$C$497,MATCH(F48,'Dashboard Items'!$A$2:$A$497,0)),"ID not found")))</f>
        <v/>
      </c>
      <c r="H48" s="2"/>
      <c r="I48" s="2"/>
      <c r="J48" s="2"/>
      <c r="K48" s="2"/>
      <c r="L48" s="2"/>
      <c r="M48" s="2"/>
      <c r="N48" s="2"/>
      <c r="O48" s="2"/>
      <c r="P48" s="2"/>
      <c r="Q48" s="2"/>
      <c r="R48" s="2"/>
      <c r="S48" s="2"/>
    </row>
    <row r="49" spans="1:19" x14ac:dyDescent="0.2">
      <c r="A49" s="2"/>
      <c r="B49" s="2"/>
      <c r="C49" s="2"/>
      <c r="D49" s="2"/>
      <c r="E49" s="6" t="str">
        <f>IF(D49="","",IFERROR(IF(INDEX('Dashboard Items'!$B$2:$B$497,MATCH(D49,'Dashboard Items'!$A$2:$A$497,0))="Objective","Objectives go in the next column",IF(OR(C49="",INDEX('Dashboard Items'!$B$2:$B$497,MATCH(D49,'Dashboard Items'!$A$2:$A$497,0))=C49),INDEX('Dashboard Items'!$C$2:$C$497,MATCH(D49,'Dashboard Items'!$A$2:$A$497,0)),"Level does not match ID")),"ID not found"))</f>
        <v/>
      </c>
      <c r="F49" s="7"/>
      <c r="G49" s="6" t="str">
        <f>IF(F49="","",IF(ISNUMBER(SEARCH(",",F49)),"Several items (the script lists them)",IFERROR(INDEX('Dashboard Items'!$B$2:$B$497,MATCH(F49,'Dashboard Items'!$A$2:$A$497,0))&amp;": "&amp;INDEX('Dashboard Items'!$C$2:$C$497,MATCH(F49,'Dashboard Items'!$A$2:$A$497,0)),"ID not found")))</f>
        <v/>
      </c>
      <c r="H49" s="2"/>
      <c r="I49" s="2"/>
      <c r="J49" s="2"/>
      <c r="K49" s="2"/>
      <c r="L49" s="2"/>
      <c r="M49" s="2"/>
      <c r="N49" s="2"/>
      <c r="O49" s="2"/>
      <c r="P49" s="2"/>
      <c r="Q49" s="2"/>
      <c r="R49" s="2"/>
      <c r="S49" s="2"/>
    </row>
    <row r="50" spans="1:19" x14ac:dyDescent="0.2">
      <c r="A50" s="2"/>
      <c r="B50" s="2"/>
      <c r="C50" s="2"/>
      <c r="D50" s="2"/>
      <c r="E50" s="6" t="str">
        <f>IF(D50="","",IFERROR(IF(INDEX('Dashboard Items'!$B$2:$B$497,MATCH(D50,'Dashboard Items'!$A$2:$A$497,0))="Objective","Objectives go in the next column",IF(OR(C50="",INDEX('Dashboard Items'!$B$2:$B$497,MATCH(D50,'Dashboard Items'!$A$2:$A$497,0))=C50),INDEX('Dashboard Items'!$C$2:$C$497,MATCH(D50,'Dashboard Items'!$A$2:$A$497,0)),"Level does not match ID")),"ID not found"))</f>
        <v/>
      </c>
      <c r="F50" s="7"/>
      <c r="G50" s="6" t="str">
        <f>IF(F50="","",IF(ISNUMBER(SEARCH(",",F50)),"Several items (the script lists them)",IFERROR(INDEX('Dashboard Items'!$B$2:$B$497,MATCH(F50,'Dashboard Items'!$A$2:$A$497,0))&amp;": "&amp;INDEX('Dashboard Items'!$C$2:$C$497,MATCH(F50,'Dashboard Items'!$A$2:$A$497,0)),"ID not found")))</f>
        <v/>
      </c>
      <c r="H50" s="2"/>
      <c r="I50" s="2"/>
      <c r="J50" s="2"/>
      <c r="K50" s="2"/>
      <c r="L50" s="2"/>
      <c r="M50" s="2"/>
      <c r="N50" s="2"/>
      <c r="O50" s="2"/>
      <c r="P50" s="2"/>
      <c r="Q50" s="2"/>
      <c r="R50" s="2"/>
      <c r="S50" s="2"/>
    </row>
    <row r="51" spans="1:19" x14ac:dyDescent="0.2">
      <c r="A51" s="2"/>
      <c r="B51" s="2"/>
      <c r="C51" s="2"/>
      <c r="D51" s="2"/>
      <c r="E51" s="6" t="str">
        <f>IF(D51="","",IFERROR(IF(INDEX('Dashboard Items'!$B$2:$B$497,MATCH(D51,'Dashboard Items'!$A$2:$A$497,0))="Objective","Objectives go in the next column",IF(OR(C51="",INDEX('Dashboard Items'!$B$2:$B$497,MATCH(D51,'Dashboard Items'!$A$2:$A$497,0))=C51),INDEX('Dashboard Items'!$C$2:$C$497,MATCH(D51,'Dashboard Items'!$A$2:$A$497,0)),"Level does not match ID")),"ID not found"))</f>
        <v/>
      </c>
      <c r="F51" s="7"/>
      <c r="G51" s="6" t="str">
        <f>IF(F51="","",IF(ISNUMBER(SEARCH(",",F51)),"Several items (the script lists them)",IFERROR(INDEX('Dashboard Items'!$B$2:$B$497,MATCH(F51,'Dashboard Items'!$A$2:$A$497,0))&amp;": "&amp;INDEX('Dashboard Items'!$C$2:$C$497,MATCH(F51,'Dashboard Items'!$A$2:$A$497,0)),"ID not found")))</f>
        <v/>
      </c>
      <c r="H51" s="2"/>
      <c r="I51" s="2"/>
      <c r="J51" s="2"/>
      <c r="K51" s="2"/>
      <c r="L51" s="2"/>
      <c r="M51" s="2"/>
      <c r="N51" s="2"/>
      <c r="O51" s="2"/>
      <c r="P51" s="2"/>
      <c r="Q51" s="2"/>
      <c r="R51" s="2"/>
      <c r="S51" s="2"/>
    </row>
    <row r="52" spans="1:19" x14ac:dyDescent="0.2">
      <c r="A52" s="2"/>
      <c r="B52" s="2"/>
      <c r="C52" s="2"/>
      <c r="D52" s="2"/>
      <c r="E52" s="6" t="str">
        <f>IF(D52="","",IFERROR(IF(INDEX('Dashboard Items'!$B$2:$B$497,MATCH(D52,'Dashboard Items'!$A$2:$A$497,0))="Objective","Objectives go in the next column",IF(OR(C52="",INDEX('Dashboard Items'!$B$2:$B$497,MATCH(D52,'Dashboard Items'!$A$2:$A$497,0))=C52),INDEX('Dashboard Items'!$C$2:$C$497,MATCH(D52,'Dashboard Items'!$A$2:$A$497,0)),"Level does not match ID")),"ID not found"))</f>
        <v/>
      </c>
      <c r="F52" s="7"/>
      <c r="G52" s="6" t="str">
        <f>IF(F52="","",IF(ISNUMBER(SEARCH(",",F52)),"Several items (the script lists them)",IFERROR(INDEX('Dashboard Items'!$B$2:$B$497,MATCH(F52,'Dashboard Items'!$A$2:$A$497,0))&amp;": "&amp;INDEX('Dashboard Items'!$C$2:$C$497,MATCH(F52,'Dashboard Items'!$A$2:$A$497,0)),"ID not found")))</f>
        <v/>
      </c>
      <c r="H52" s="2"/>
      <c r="I52" s="2"/>
      <c r="J52" s="2"/>
      <c r="K52" s="2"/>
      <c r="L52" s="2"/>
      <c r="M52" s="2"/>
      <c r="N52" s="2"/>
      <c r="O52" s="2"/>
      <c r="P52" s="2"/>
      <c r="Q52" s="2"/>
      <c r="R52" s="2"/>
      <c r="S52" s="2"/>
    </row>
    <row r="53" spans="1:19" x14ac:dyDescent="0.2">
      <c r="A53" s="2"/>
      <c r="B53" s="2"/>
      <c r="C53" s="2"/>
      <c r="D53" s="2"/>
      <c r="E53" s="6" t="str">
        <f>IF(D53="","",IFERROR(IF(INDEX('Dashboard Items'!$B$2:$B$497,MATCH(D53,'Dashboard Items'!$A$2:$A$497,0))="Objective","Objectives go in the next column",IF(OR(C53="",INDEX('Dashboard Items'!$B$2:$B$497,MATCH(D53,'Dashboard Items'!$A$2:$A$497,0))=C53),INDEX('Dashboard Items'!$C$2:$C$497,MATCH(D53,'Dashboard Items'!$A$2:$A$497,0)),"Level does not match ID")),"ID not found"))</f>
        <v/>
      </c>
      <c r="F53" s="7"/>
      <c r="G53" s="6" t="str">
        <f>IF(F53="","",IF(ISNUMBER(SEARCH(",",F53)),"Several items (the script lists them)",IFERROR(INDEX('Dashboard Items'!$B$2:$B$497,MATCH(F53,'Dashboard Items'!$A$2:$A$497,0))&amp;": "&amp;INDEX('Dashboard Items'!$C$2:$C$497,MATCH(F53,'Dashboard Items'!$A$2:$A$497,0)),"ID not found")))</f>
        <v/>
      </c>
      <c r="H53" s="2"/>
      <c r="I53" s="2"/>
      <c r="J53" s="2"/>
      <c r="K53" s="2"/>
      <c r="L53" s="2"/>
      <c r="M53" s="2"/>
      <c r="N53" s="2"/>
      <c r="O53" s="2"/>
      <c r="P53" s="2"/>
      <c r="Q53" s="2"/>
      <c r="R53" s="2"/>
      <c r="S53" s="2"/>
    </row>
    <row r="54" spans="1:19" x14ac:dyDescent="0.2">
      <c r="A54" s="2"/>
      <c r="B54" s="2"/>
      <c r="C54" s="2"/>
      <c r="D54" s="2"/>
      <c r="E54" s="6" t="str">
        <f>IF(D54="","",IFERROR(IF(INDEX('Dashboard Items'!$B$2:$B$497,MATCH(D54,'Dashboard Items'!$A$2:$A$497,0))="Objective","Objectives go in the next column",IF(OR(C54="",INDEX('Dashboard Items'!$B$2:$B$497,MATCH(D54,'Dashboard Items'!$A$2:$A$497,0))=C54),INDEX('Dashboard Items'!$C$2:$C$497,MATCH(D54,'Dashboard Items'!$A$2:$A$497,0)),"Level does not match ID")),"ID not found"))</f>
        <v/>
      </c>
      <c r="F54" s="7"/>
      <c r="G54" s="6" t="str">
        <f>IF(F54="","",IF(ISNUMBER(SEARCH(",",F54)),"Several items (the script lists them)",IFERROR(INDEX('Dashboard Items'!$B$2:$B$497,MATCH(F54,'Dashboard Items'!$A$2:$A$497,0))&amp;": "&amp;INDEX('Dashboard Items'!$C$2:$C$497,MATCH(F54,'Dashboard Items'!$A$2:$A$497,0)),"ID not found")))</f>
        <v/>
      </c>
      <c r="H54" s="2"/>
      <c r="I54" s="2"/>
      <c r="J54" s="2"/>
      <c r="K54" s="2"/>
      <c r="L54" s="2"/>
      <c r="M54" s="2"/>
      <c r="N54" s="2"/>
      <c r="O54" s="2"/>
      <c r="P54" s="2"/>
      <c r="Q54" s="2"/>
      <c r="R54" s="2"/>
      <c r="S54" s="2"/>
    </row>
    <row r="55" spans="1:19" x14ac:dyDescent="0.2">
      <c r="A55" s="2"/>
      <c r="B55" s="2"/>
      <c r="C55" s="2"/>
      <c r="D55" s="2"/>
      <c r="E55" s="6" t="str">
        <f>IF(D55="","",IFERROR(IF(INDEX('Dashboard Items'!$B$2:$B$497,MATCH(D55,'Dashboard Items'!$A$2:$A$497,0))="Objective","Objectives go in the next column",IF(OR(C55="",INDEX('Dashboard Items'!$B$2:$B$497,MATCH(D55,'Dashboard Items'!$A$2:$A$497,0))=C55),INDEX('Dashboard Items'!$C$2:$C$497,MATCH(D55,'Dashboard Items'!$A$2:$A$497,0)),"Level does not match ID")),"ID not found"))</f>
        <v/>
      </c>
      <c r="F55" s="7"/>
      <c r="G55" s="6" t="str">
        <f>IF(F55="","",IF(ISNUMBER(SEARCH(",",F55)),"Several items (the script lists them)",IFERROR(INDEX('Dashboard Items'!$B$2:$B$497,MATCH(F55,'Dashboard Items'!$A$2:$A$497,0))&amp;": "&amp;INDEX('Dashboard Items'!$C$2:$C$497,MATCH(F55,'Dashboard Items'!$A$2:$A$497,0)),"ID not found")))</f>
        <v/>
      </c>
      <c r="H55" s="2"/>
      <c r="I55" s="2"/>
      <c r="J55" s="2"/>
      <c r="K55" s="2"/>
      <c r="L55" s="2"/>
      <c r="M55" s="2"/>
      <c r="N55" s="2"/>
      <c r="O55" s="2"/>
      <c r="P55" s="2"/>
      <c r="Q55" s="2"/>
      <c r="R55" s="2"/>
      <c r="S55" s="2"/>
    </row>
    <row r="56" spans="1:19" x14ac:dyDescent="0.2">
      <c r="A56" s="2"/>
      <c r="B56" s="2"/>
      <c r="C56" s="2"/>
      <c r="D56" s="2"/>
      <c r="E56" s="6" t="str">
        <f>IF(D56="","",IFERROR(IF(INDEX('Dashboard Items'!$B$2:$B$497,MATCH(D56,'Dashboard Items'!$A$2:$A$497,0))="Objective","Objectives go in the next column",IF(OR(C56="",INDEX('Dashboard Items'!$B$2:$B$497,MATCH(D56,'Dashboard Items'!$A$2:$A$497,0))=C56),INDEX('Dashboard Items'!$C$2:$C$497,MATCH(D56,'Dashboard Items'!$A$2:$A$497,0)),"Level does not match ID")),"ID not found"))</f>
        <v/>
      </c>
      <c r="F56" s="7"/>
      <c r="G56" s="6" t="str">
        <f>IF(F56="","",IF(ISNUMBER(SEARCH(",",F56)),"Several items (the script lists them)",IFERROR(INDEX('Dashboard Items'!$B$2:$B$497,MATCH(F56,'Dashboard Items'!$A$2:$A$497,0))&amp;": "&amp;INDEX('Dashboard Items'!$C$2:$C$497,MATCH(F56,'Dashboard Items'!$A$2:$A$497,0)),"ID not found")))</f>
        <v/>
      </c>
      <c r="H56" s="2"/>
      <c r="I56" s="2"/>
      <c r="J56" s="2"/>
      <c r="K56" s="2"/>
      <c r="L56" s="2"/>
      <c r="M56" s="2"/>
      <c r="N56" s="2"/>
      <c r="O56" s="2"/>
      <c r="P56" s="2"/>
      <c r="Q56" s="2"/>
      <c r="R56" s="2"/>
      <c r="S56" s="2"/>
    </row>
    <row r="57" spans="1:19" x14ac:dyDescent="0.2">
      <c r="A57" s="2"/>
      <c r="B57" s="2"/>
      <c r="C57" s="2"/>
      <c r="D57" s="2"/>
      <c r="E57" s="6" t="str">
        <f>IF(D57="","",IFERROR(IF(INDEX('Dashboard Items'!$B$2:$B$497,MATCH(D57,'Dashboard Items'!$A$2:$A$497,0))="Objective","Objectives go in the next column",IF(OR(C57="",INDEX('Dashboard Items'!$B$2:$B$497,MATCH(D57,'Dashboard Items'!$A$2:$A$497,0))=C57),INDEX('Dashboard Items'!$C$2:$C$497,MATCH(D57,'Dashboard Items'!$A$2:$A$497,0)),"Level does not match ID")),"ID not found"))</f>
        <v/>
      </c>
      <c r="F57" s="7"/>
      <c r="G57" s="6" t="str">
        <f>IF(F57="","",IF(ISNUMBER(SEARCH(",",F57)),"Several items (the script lists them)",IFERROR(INDEX('Dashboard Items'!$B$2:$B$497,MATCH(F57,'Dashboard Items'!$A$2:$A$497,0))&amp;": "&amp;INDEX('Dashboard Items'!$C$2:$C$497,MATCH(F57,'Dashboard Items'!$A$2:$A$497,0)),"ID not found")))</f>
        <v/>
      </c>
      <c r="H57" s="2"/>
      <c r="I57" s="2"/>
      <c r="J57" s="2"/>
      <c r="K57" s="2"/>
      <c r="L57" s="2"/>
      <c r="M57" s="2"/>
      <c r="N57" s="2"/>
      <c r="O57" s="2"/>
      <c r="P57" s="2"/>
      <c r="Q57" s="2"/>
      <c r="R57" s="2"/>
      <c r="S57" s="2"/>
    </row>
    <row r="58" spans="1:19" x14ac:dyDescent="0.2">
      <c r="A58" s="2"/>
      <c r="B58" s="2"/>
      <c r="C58" s="2"/>
      <c r="D58" s="2"/>
      <c r="E58" s="6" t="str">
        <f>IF(D58="","",IFERROR(IF(INDEX('Dashboard Items'!$B$2:$B$497,MATCH(D58,'Dashboard Items'!$A$2:$A$497,0))="Objective","Objectives go in the next column",IF(OR(C58="",INDEX('Dashboard Items'!$B$2:$B$497,MATCH(D58,'Dashboard Items'!$A$2:$A$497,0))=C58),INDEX('Dashboard Items'!$C$2:$C$497,MATCH(D58,'Dashboard Items'!$A$2:$A$497,0)),"Level does not match ID")),"ID not found"))</f>
        <v/>
      </c>
      <c r="F58" s="7"/>
      <c r="G58" s="6" t="str">
        <f>IF(F58="","",IF(ISNUMBER(SEARCH(",",F58)),"Several items (the script lists them)",IFERROR(INDEX('Dashboard Items'!$B$2:$B$497,MATCH(F58,'Dashboard Items'!$A$2:$A$497,0))&amp;": "&amp;INDEX('Dashboard Items'!$C$2:$C$497,MATCH(F58,'Dashboard Items'!$A$2:$A$497,0)),"ID not found")))</f>
        <v/>
      </c>
      <c r="H58" s="2"/>
      <c r="I58" s="2"/>
      <c r="J58" s="2"/>
      <c r="K58" s="2"/>
      <c r="L58" s="2"/>
      <c r="M58" s="2"/>
      <c r="N58" s="2"/>
      <c r="O58" s="2"/>
      <c r="P58" s="2"/>
      <c r="Q58" s="2"/>
      <c r="R58" s="2"/>
      <c r="S58" s="2"/>
    </row>
    <row r="59" spans="1:19" x14ac:dyDescent="0.2">
      <c r="A59" s="2"/>
      <c r="B59" s="2"/>
      <c r="C59" s="2"/>
      <c r="D59" s="2"/>
      <c r="E59" s="6" t="str">
        <f>IF(D59="","",IFERROR(IF(INDEX('Dashboard Items'!$B$2:$B$497,MATCH(D59,'Dashboard Items'!$A$2:$A$497,0))="Objective","Objectives go in the next column",IF(OR(C59="",INDEX('Dashboard Items'!$B$2:$B$497,MATCH(D59,'Dashboard Items'!$A$2:$A$497,0))=C59),INDEX('Dashboard Items'!$C$2:$C$497,MATCH(D59,'Dashboard Items'!$A$2:$A$497,0)),"Level does not match ID")),"ID not found"))</f>
        <v/>
      </c>
      <c r="F59" s="7"/>
      <c r="G59" s="6" t="str">
        <f>IF(F59="","",IF(ISNUMBER(SEARCH(",",F59)),"Several items (the script lists them)",IFERROR(INDEX('Dashboard Items'!$B$2:$B$497,MATCH(F59,'Dashboard Items'!$A$2:$A$497,0))&amp;": "&amp;INDEX('Dashboard Items'!$C$2:$C$497,MATCH(F59,'Dashboard Items'!$A$2:$A$497,0)),"ID not found")))</f>
        <v/>
      </c>
      <c r="H59" s="2"/>
      <c r="I59" s="2"/>
      <c r="J59" s="2"/>
      <c r="K59" s="2"/>
      <c r="L59" s="2"/>
      <c r="M59" s="2"/>
      <c r="N59" s="2"/>
      <c r="O59" s="2"/>
      <c r="P59" s="2"/>
      <c r="Q59" s="2"/>
      <c r="R59" s="2"/>
      <c r="S59" s="2"/>
    </row>
    <row r="60" spans="1:19" x14ac:dyDescent="0.2">
      <c r="A60" s="2"/>
      <c r="B60" s="2"/>
      <c r="C60" s="2"/>
      <c r="D60" s="2"/>
      <c r="E60" s="6" t="str">
        <f>IF(D60="","",IFERROR(IF(INDEX('Dashboard Items'!$B$2:$B$497,MATCH(D60,'Dashboard Items'!$A$2:$A$497,0))="Objective","Objectives go in the next column",IF(OR(C60="",INDEX('Dashboard Items'!$B$2:$B$497,MATCH(D60,'Dashboard Items'!$A$2:$A$497,0))=C60),INDEX('Dashboard Items'!$C$2:$C$497,MATCH(D60,'Dashboard Items'!$A$2:$A$497,0)),"Level does not match ID")),"ID not found"))</f>
        <v/>
      </c>
      <c r="F60" s="7"/>
      <c r="G60" s="6" t="str">
        <f>IF(F60="","",IF(ISNUMBER(SEARCH(",",F60)),"Several items (the script lists them)",IFERROR(INDEX('Dashboard Items'!$B$2:$B$497,MATCH(F60,'Dashboard Items'!$A$2:$A$497,0))&amp;": "&amp;INDEX('Dashboard Items'!$C$2:$C$497,MATCH(F60,'Dashboard Items'!$A$2:$A$497,0)),"ID not found")))</f>
        <v/>
      </c>
      <c r="H60" s="2"/>
      <c r="I60" s="2"/>
      <c r="J60" s="2"/>
      <c r="K60" s="2"/>
      <c r="L60" s="2"/>
      <c r="M60" s="2"/>
      <c r="N60" s="2"/>
      <c r="O60" s="2"/>
      <c r="P60" s="2"/>
      <c r="Q60" s="2"/>
      <c r="R60" s="2"/>
      <c r="S60" s="2"/>
    </row>
    <row r="61" spans="1:19" x14ac:dyDescent="0.2">
      <c r="A61" s="2"/>
      <c r="B61" s="2"/>
      <c r="C61" s="2"/>
      <c r="D61" s="2"/>
      <c r="E61" s="6" t="str">
        <f>IF(D61="","",IFERROR(IF(INDEX('Dashboard Items'!$B$2:$B$497,MATCH(D61,'Dashboard Items'!$A$2:$A$497,0))="Objective","Objectives go in the next column",IF(OR(C61="",INDEX('Dashboard Items'!$B$2:$B$497,MATCH(D61,'Dashboard Items'!$A$2:$A$497,0))=C61),INDEX('Dashboard Items'!$C$2:$C$497,MATCH(D61,'Dashboard Items'!$A$2:$A$497,0)),"Level does not match ID")),"ID not found"))</f>
        <v/>
      </c>
      <c r="F61" s="7"/>
      <c r="G61" s="6" t="str">
        <f>IF(F61="","",IF(ISNUMBER(SEARCH(",",F61)),"Several items (the script lists them)",IFERROR(INDEX('Dashboard Items'!$B$2:$B$497,MATCH(F61,'Dashboard Items'!$A$2:$A$497,0))&amp;": "&amp;INDEX('Dashboard Items'!$C$2:$C$497,MATCH(F61,'Dashboard Items'!$A$2:$A$497,0)),"ID not found")))</f>
        <v/>
      </c>
      <c r="H61" s="2"/>
      <c r="I61" s="2"/>
      <c r="J61" s="2"/>
      <c r="K61" s="2"/>
      <c r="L61" s="2"/>
      <c r="M61" s="2"/>
      <c r="N61" s="2"/>
      <c r="O61" s="2"/>
      <c r="P61" s="2"/>
      <c r="Q61" s="2"/>
      <c r="R61" s="2"/>
      <c r="S61" s="2"/>
    </row>
    <row r="62" spans="1:19" x14ac:dyDescent="0.2">
      <c r="A62" s="2"/>
      <c r="B62" s="2"/>
      <c r="C62" s="2"/>
      <c r="D62" s="2"/>
      <c r="E62" s="6" t="str">
        <f>IF(D62="","",IFERROR(IF(INDEX('Dashboard Items'!$B$2:$B$497,MATCH(D62,'Dashboard Items'!$A$2:$A$497,0))="Objective","Objectives go in the next column",IF(OR(C62="",INDEX('Dashboard Items'!$B$2:$B$497,MATCH(D62,'Dashboard Items'!$A$2:$A$497,0))=C62),INDEX('Dashboard Items'!$C$2:$C$497,MATCH(D62,'Dashboard Items'!$A$2:$A$497,0)),"Level does not match ID")),"ID not found"))</f>
        <v/>
      </c>
      <c r="F62" s="7"/>
      <c r="G62" s="6" t="str">
        <f>IF(F62="","",IF(ISNUMBER(SEARCH(",",F62)),"Several items (the script lists them)",IFERROR(INDEX('Dashboard Items'!$B$2:$B$497,MATCH(F62,'Dashboard Items'!$A$2:$A$497,0))&amp;": "&amp;INDEX('Dashboard Items'!$C$2:$C$497,MATCH(F62,'Dashboard Items'!$A$2:$A$497,0)),"ID not found")))</f>
        <v/>
      </c>
      <c r="H62" s="2"/>
      <c r="I62" s="2"/>
      <c r="J62" s="2"/>
      <c r="K62" s="2"/>
      <c r="L62" s="2"/>
      <c r="M62" s="2"/>
      <c r="N62" s="2"/>
      <c r="O62" s="2"/>
      <c r="P62" s="2"/>
      <c r="Q62" s="2"/>
      <c r="R62" s="2"/>
      <c r="S62" s="2"/>
    </row>
    <row r="63" spans="1:19" x14ac:dyDescent="0.2">
      <c r="A63" s="2"/>
      <c r="B63" s="2"/>
      <c r="C63" s="2"/>
      <c r="D63" s="2"/>
      <c r="E63" s="6" t="str">
        <f>IF(D63="","",IFERROR(IF(INDEX('Dashboard Items'!$B$2:$B$497,MATCH(D63,'Dashboard Items'!$A$2:$A$497,0))="Objective","Objectives go in the next column",IF(OR(C63="",INDEX('Dashboard Items'!$B$2:$B$497,MATCH(D63,'Dashboard Items'!$A$2:$A$497,0))=C63),INDEX('Dashboard Items'!$C$2:$C$497,MATCH(D63,'Dashboard Items'!$A$2:$A$497,0)),"Level does not match ID")),"ID not found"))</f>
        <v/>
      </c>
      <c r="F63" s="7"/>
      <c r="G63" s="6" t="str">
        <f>IF(F63="","",IF(ISNUMBER(SEARCH(",",F63)),"Several items (the script lists them)",IFERROR(INDEX('Dashboard Items'!$B$2:$B$497,MATCH(F63,'Dashboard Items'!$A$2:$A$497,0))&amp;": "&amp;INDEX('Dashboard Items'!$C$2:$C$497,MATCH(F63,'Dashboard Items'!$A$2:$A$497,0)),"ID not found")))</f>
        <v/>
      </c>
      <c r="H63" s="2"/>
      <c r="I63" s="2"/>
      <c r="J63" s="2"/>
      <c r="K63" s="2"/>
      <c r="L63" s="2"/>
      <c r="M63" s="2"/>
      <c r="N63" s="2"/>
      <c r="O63" s="2"/>
      <c r="P63" s="2"/>
      <c r="Q63" s="2"/>
      <c r="R63" s="2"/>
      <c r="S63" s="2"/>
    </row>
    <row r="64" spans="1:19" x14ac:dyDescent="0.2">
      <c r="A64" s="2"/>
      <c r="B64" s="2"/>
      <c r="C64" s="2"/>
      <c r="D64" s="2"/>
      <c r="E64" s="6" t="str">
        <f>IF(D64="","",IFERROR(IF(INDEX('Dashboard Items'!$B$2:$B$497,MATCH(D64,'Dashboard Items'!$A$2:$A$497,0))="Objective","Objectives go in the next column",IF(OR(C64="",INDEX('Dashboard Items'!$B$2:$B$497,MATCH(D64,'Dashboard Items'!$A$2:$A$497,0))=C64),INDEX('Dashboard Items'!$C$2:$C$497,MATCH(D64,'Dashboard Items'!$A$2:$A$497,0)),"Level does not match ID")),"ID not found"))</f>
        <v/>
      </c>
      <c r="F64" s="7"/>
      <c r="G64" s="6" t="str">
        <f>IF(F64="","",IF(ISNUMBER(SEARCH(",",F64)),"Several items (the script lists them)",IFERROR(INDEX('Dashboard Items'!$B$2:$B$497,MATCH(F64,'Dashboard Items'!$A$2:$A$497,0))&amp;": "&amp;INDEX('Dashboard Items'!$C$2:$C$497,MATCH(F64,'Dashboard Items'!$A$2:$A$497,0)),"ID not found")))</f>
        <v/>
      </c>
      <c r="H64" s="2"/>
      <c r="I64" s="2"/>
      <c r="J64" s="2"/>
      <c r="K64" s="2"/>
      <c r="L64" s="2"/>
      <c r="M64" s="2"/>
      <c r="N64" s="2"/>
      <c r="O64" s="2"/>
      <c r="P64" s="2"/>
      <c r="Q64" s="2"/>
      <c r="R64" s="2"/>
      <c r="S64" s="2"/>
    </row>
    <row r="65" spans="1:19" x14ac:dyDescent="0.2">
      <c r="A65" s="2"/>
      <c r="B65" s="2"/>
      <c r="C65" s="2"/>
      <c r="D65" s="2"/>
      <c r="E65" s="6" t="str">
        <f>IF(D65="","",IFERROR(IF(INDEX('Dashboard Items'!$B$2:$B$497,MATCH(D65,'Dashboard Items'!$A$2:$A$497,0))="Objective","Objectives go in the next column",IF(OR(C65="",INDEX('Dashboard Items'!$B$2:$B$497,MATCH(D65,'Dashboard Items'!$A$2:$A$497,0))=C65),INDEX('Dashboard Items'!$C$2:$C$497,MATCH(D65,'Dashboard Items'!$A$2:$A$497,0)),"Level does not match ID")),"ID not found"))</f>
        <v/>
      </c>
      <c r="F65" s="7"/>
      <c r="G65" s="6" t="str">
        <f>IF(F65="","",IF(ISNUMBER(SEARCH(",",F65)),"Several items (the script lists them)",IFERROR(INDEX('Dashboard Items'!$B$2:$B$497,MATCH(F65,'Dashboard Items'!$A$2:$A$497,0))&amp;": "&amp;INDEX('Dashboard Items'!$C$2:$C$497,MATCH(F65,'Dashboard Items'!$A$2:$A$497,0)),"ID not found")))</f>
        <v/>
      </c>
      <c r="H65" s="2"/>
      <c r="I65" s="2"/>
      <c r="J65" s="2"/>
      <c r="K65" s="2"/>
      <c r="L65" s="2"/>
      <c r="M65" s="2"/>
      <c r="N65" s="2"/>
      <c r="O65" s="2"/>
      <c r="P65" s="2"/>
      <c r="Q65" s="2"/>
      <c r="R65" s="2"/>
      <c r="S65" s="2"/>
    </row>
    <row r="66" spans="1:19" x14ac:dyDescent="0.2">
      <c r="A66" s="2"/>
      <c r="B66" s="2"/>
      <c r="C66" s="2"/>
      <c r="D66" s="2"/>
      <c r="E66" s="6" t="str">
        <f>IF(D66="","",IFERROR(IF(INDEX('Dashboard Items'!$B$2:$B$497,MATCH(D66,'Dashboard Items'!$A$2:$A$497,0))="Objective","Objectives go in the next column",IF(OR(C66="",INDEX('Dashboard Items'!$B$2:$B$497,MATCH(D66,'Dashboard Items'!$A$2:$A$497,0))=C66),INDEX('Dashboard Items'!$C$2:$C$497,MATCH(D66,'Dashboard Items'!$A$2:$A$497,0)),"Level does not match ID")),"ID not found"))</f>
        <v/>
      </c>
      <c r="F66" s="7"/>
      <c r="G66" s="6" t="str">
        <f>IF(F66="","",IF(ISNUMBER(SEARCH(",",F66)),"Several items (the script lists them)",IFERROR(INDEX('Dashboard Items'!$B$2:$B$497,MATCH(F66,'Dashboard Items'!$A$2:$A$497,0))&amp;": "&amp;INDEX('Dashboard Items'!$C$2:$C$497,MATCH(F66,'Dashboard Items'!$A$2:$A$497,0)),"ID not found")))</f>
        <v/>
      </c>
      <c r="H66" s="2"/>
      <c r="I66" s="2"/>
      <c r="J66" s="2"/>
      <c r="K66" s="2"/>
      <c r="L66" s="2"/>
      <c r="M66" s="2"/>
      <c r="N66" s="2"/>
      <c r="O66" s="2"/>
      <c r="P66" s="2"/>
      <c r="Q66" s="2"/>
      <c r="R66" s="2"/>
      <c r="S66" s="2"/>
    </row>
    <row r="67" spans="1:19" x14ac:dyDescent="0.2">
      <c r="A67" s="2"/>
      <c r="B67" s="2"/>
      <c r="C67" s="2"/>
      <c r="D67" s="2"/>
      <c r="E67" s="6" t="str">
        <f>IF(D67="","",IFERROR(IF(INDEX('Dashboard Items'!$B$2:$B$497,MATCH(D67,'Dashboard Items'!$A$2:$A$497,0))="Objective","Objectives go in the next column",IF(OR(C67="",INDEX('Dashboard Items'!$B$2:$B$497,MATCH(D67,'Dashboard Items'!$A$2:$A$497,0))=C67),INDEX('Dashboard Items'!$C$2:$C$497,MATCH(D67,'Dashboard Items'!$A$2:$A$497,0)),"Level does not match ID")),"ID not found"))</f>
        <v/>
      </c>
      <c r="F67" s="7"/>
      <c r="G67" s="6" t="str">
        <f>IF(F67="","",IF(ISNUMBER(SEARCH(",",F67)),"Several items (the script lists them)",IFERROR(INDEX('Dashboard Items'!$B$2:$B$497,MATCH(F67,'Dashboard Items'!$A$2:$A$497,0))&amp;": "&amp;INDEX('Dashboard Items'!$C$2:$C$497,MATCH(F67,'Dashboard Items'!$A$2:$A$497,0)),"ID not found")))</f>
        <v/>
      </c>
      <c r="H67" s="2"/>
      <c r="I67" s="2"/>
      <c r="J67" s="2"/>
      <c r="K67" s="2"/>
      <c r="L67" s="2"/>
      <c r="M67" s="2"/>
      <c r="N67" s="2"/>
      <c r="O67" s="2"/>
      <c r="P67" s="2"/>
      <c r="Q67" s="2"/>
      <c r="R67" s="2"/>
      <c r="S67" s="2"/>
    </row>
    <row r="68" spans="1:19" x14ac:dyDescent="0.2">
      <c r="A68" s="2"/>
      <c r="B68" s="2"/>
      <c r="C68" s="2"/>
      <c r="D68" s="2"/>
      <c r="E68" s="6" t="str">
        <f>IF(D68="","",IFERROR(IF(INDEX('Dashboard Items'!$B$2:$B$497,MATCH(D68,'Dashboard Items'!$A$2:$A$497,0))="Objective","Objectives go in the next column",IF(OR(C68="",INDEX('Dashboard Items'!$B$2:$B$497,MATCH(D68,'Dashboard Items'!$A$2:$A$497,0))=C68),INDEX('Dashboard Items'!$C$2:$C$497,MATCH(D68,'Dashboard Items'!$A$2:$A$497,0)),"Level does not match ID")),"ID not found"))</f>
        <v/>
      </c>
      <c r="F68" s="7"/>
      <c r="G68" s="6" t="str">
        <f>IF(F68="","",IF(ISNUMBER(SEARCH(",",F68)),"Several items (the script lists them)",IFERROR(INDEX('Dashboard Items'!$B$2:$B$497,MATCH(F68,'Dashboard Items'!$A$2:$A$497,0))&amp;": "&amp;INDEX('Dashboard Items'!$C$2:$C$497,MATCH(F68,'Dashboard Items'!$A$2:$A$497,0)),"ID not found")))</f>
        <v/>
      </c>
      <c r="H68" s="2"/>
      <c r="I68" s="2"/>
      <c r="J68" s="2"/>
      <c r="K68" s="2"/>
      <c r="L68" s="2"/>
      <c r="M68" s="2"/>
      <c r="N68" s="2"/>
      <c r="O68" s="2"/>
      <c r="P68" s="2"/>
      <c r="Q68" s="2"/>
      <c r="R68" s="2"/>
      <c r="S68" s="2"/>
    </row>
    <row r="69" spans="1:19" x14ac:dyDescent="0.2">
      <c r="A69" s="2"/>
      <c r="B69" s="2"/>
      <c r="C69" s="2"/>
      <c r="D69" s="2"/>
      <c r="E69" s="6" t="str">
        <f>IF(D69="","",IFERROR(IF(INDEX('Dashboard Items'!$B$2:$B$497,MATCH(D69,'Dashboard Items'!$A$2:$A$497,0))="Objective","Objectives go in the next column",IF(OR(C69="",INDEX('Dashboard Items'!$B$2:$B$497,MATCH(D69,'Dashboard Items'!$A$2:$A$497,0))=C69),INDEX('Dashboard Items'!$C$2:$C$497,MATCH(D69,'Dashboard Items'!$A$2:$A$497,0)),"Level does not match ID")),"ID not found"))</f>
        <v/>
      </c>
      <c r="F69" s="7"/>
      <c r="G69" s="6" t="str">
        <f>IF(F69="","",IF(ISNUMBER(SEARCH(",",F69)),"Several items (the script lists them)",IFERROR(INDEX('Dashboard Items'!$B$2:$B$497,MATCH(F69,'Dashboard Items'!$A$2:$A$497,0))&amp;": "&amp;INDEX('Dashboard Items'!$C$2:$C$497,MATCH(F69,'Dashboard Items'!$A$2:$A$497,0)),"ID not found")))</f>
        <v/>
      </c>
      <c r="H69" s="2"/>
      <c r="I69" s="2"/>
      <c r="J69" s="2"/>
      <c r="K69" s="2"/>
      <c r="L69" s="2"/>
      <c r="M69" s="2"/>
      <c r="N69" s="2"/>
      <c r="O69" s="2"/>
      <c r="P69" s="2"/>
      <c r="Q69" s="2"/>
      <c r="R69" s="2"/>
      <c r="S69" s="2"/>
    </row>
    <row r="70" spans="1:19" x14ac:dyDescent="0.2">
      <c r="A70" s="2"/>
      <c r="B70" s="2"/>
      <c r="C70" s="2"/>
      <c r="D70" s="2"/>
      <c r="E70" s="6" t="str">
        <f>IF(D70="","",IFERROR(IF(INDEX('Dashboard Items'!$B$2:$B$497,MATCH(D70,'Dashboard Items'!$A$2:$A$497,0))="Objective","Objectives go in the next column",IF(OR(C70="",INDEX('Dashboard Items'!$B$2:$B$497,MATCH(D70,'Dashboard Items'!$A$2:$A$497,0))=C70),INDEX('Dashboard Items'!$C$2:$C$497,MATCH(D70,'Dashboard Items'!$A$2:$A$497,0)),"Level does not match ID")),"ID not found"))</f>
        <v/>
      </c>
      <c r="F70" s="7"/>
      <c r="G70" s="6" t="str">
        <f>IF(F70="","",IF(ISNUMBER(SEARCH(",",F70)),"Several items (the script lists them)",IFERROR(INDEX('Dashboard Items'!$B$2:$B$497,MATCH(F70,'Dashboard Items'!$A$2:$A$497,0))&amp;": "&amp;INDEX('Dashboard Items'!$C$2:$C$497,MATCH(F70,'Dashboard Items'!$A$2:$A$497,0)),"ID not found")))</f>
        <v/>
      </c>
      <c r="H70" s="2"/>
      <c r="I70" s="2"/>
      <c r="J70" s="2"/>
      <c r="K70" s="2"/>
      <c r="L70" s="2"/>
      <c r="M70" s="2"/>
      <c r="N70" s="2"/>
      <c r="O70" s="2"/>
      <c r="P70" s="2"/>
      <c r="Q70" s="2"/>
      <c r="R70" s="2"/>
      <c r="S70" s="2"/>
    </row>
    <row r="71" spans="1:19" x14ac:dyDescent="0.2">
      <c r="A71" s="2"/>
      <c r="B71" s="2"/>
      <c r="C71" s="2"/>
      <c r="D71" s="2"/>
      <c r="E71" s="6" t="str">
        <f>IF(D71="","",IFERROR(IF(INDEX('Dashboard Items'!$B$2:$B$497,MATCH(D71,'Dashboard Items'!$A$2:$A$497,0))="Objective","Objectives go in the next column",IF(OR(C71="",INDEX('Dashboard Items'!$B$2:$B$497,MATCH(D71,'Dashboard Items'!$A$2:$A$497,0))=C71),INDEX('Dashboard Items'!$C$2:$C$497,MATCH(D71,'Dashboard Items'!$A$2:$A$497,0)),"Level does not match ID")),"ID not found"))</f>
        <v/>
      </c>
      <c r="F71" s="7"/>
      <c r="G71" s="6" t="str">
        <f>IF(F71="","",IF(ISNUMBER(SEARCH(",",F71)),"Several items (the script lists them)",IFERROR(INDEX('Dashboard Items'!$B$2:$B$497,MATCH(F71,'Dashboard Items'!$A$2:$A$497,0))&amp;": "&amp;INDEX('Dashboard Items'!$C$2:$C$497,MATCH(F71,'Dashboard Items'!$A$2:$A$497,0)),"ID not found")))</f>
        <v/>
      </c>
      <c r="H71" s="2"/>
      <c r="I71" s="2"/>
      <c r="J71" s="2"/>
      <c r="K71" s="2"/>
      <c r="L71" s="2"/>
      <c r="M71" s="2"/>
      <c r="N71" s="2"/>
      <c r="O71" s="2"/>
      <c r="P71" s="2"/>
      <c r="Q71" s="2"/>
      <c r="R71" s="2"/>
      <c r="S71" s="2"/>
    </row>
    <row r="72" spans="1:19" x14ac:dyDescent="0.2">
      <c r="A72" s="2"/>
      <c r="B72" s="2"/>
      <c r="C72" s="2"/>
      <c r="D72" s="2"/>
      <c r="E72" s="6" t="str">
        <f>IF(D72="","",IFERROR(IF(INDEX('Dashboard Items'!$B$2:$B$497,MATCH(D72,'Dashboard Items'!$A$2:$A$497,0))="Objective","Objectives go in the next column",IF(OR(C72="",INDEX('Dashboard Items'!$B$2:$B$497,MATCH(D72,'Dashboard Items'!$A$2:$A$497,0))=C72),INDEX('Dashboard Items'!$C$2:$C$497,MATCH(D72,'Dashboard Items'!$A$2:$A$497,0)),"Level does not match ID")),"ID not found"))</f>
        <v/>
      </c>
      <c r="F72" s="7"/>
      <c r="G72" s="6" t="str">
        <f>IF(F72="","",IF(ISNUMBER(SEARCH(",",F72)),"Several items (the script lists them)",IFERROR(INDEX('Dashboard Items'!$B$2:$B$497,MATCH(F72,'Dashboard Items'!$A$2:$A$497,0))&amp;": "&amp;INDEX('Dashboard Items'!$C$2:$C$497,MATCH(F72,'Dashboard Items'!$A$2:$A$497,0)),"ID not found")))</f>
        <v/>
      </c>
      <c r="H72" s="2"/>
      <c r="I72" s="2"/>
      <c r="J72" s="2"/>
      <c r="K72" s="2"/>
      <c r="L72" s="2"/>
      <c r="M72" s="2"/>
      <c r="N72" s="2"/>
      <c r="O72" s="2"/>
      <c r="P72" s="2"/>
      <c r="Q72" s="2"/>
      <c r="R72" s="2"/>
      <c r="S72" s="2"/>
    </row>
    <row r="73" spans="1:19" x14ac:dyDescent="0.2">
      <c r="A73" s="2"/>
      <c r="B73" s="2"/>
      <c r="C73" s="2"/>
      <c r="D73" s="2"/>
      <c r="E73" s="6" t="str">
        <f>IF(D73="","",IFERROR(IF(INDEX('Dashboard Items'!$B$2:$B$497,MATCH(D73,'Dashboard Items'!$A$2:$A$497,0))="Objective","Objectives go in the next column",IF(OR(C73="",INDEX('Dashboard Items'!$B$2:$B$497,MATCH(D73,'Dashboard Items'!$A$2:$A$497,0))=C73),INDEX('Dashboard Items'!$C$2:$C$497,MATCH(D73,'Dashboard Items'!$A$2:$A$497,0)),"Level does not match ID")),"ID not found"))</f>
        <v/>
      </c>
      <c r="F73" s="7"/>
      <c r="G73" s="6" t="str">
        <f>IF(F73="","",IF(ISNUMBER(SEARCH(",",F73)),"Several items (the script lists them)",IFERROR(INDEX('Dashboard Items'!$B$2:$B$497,MATCH(F73,'Dashboard Items'!$A$2:$A$497,0))&amp;": "&amp;INDEX('Dashboard Items'!$C$2:$C$497,MATCH(F73,'Dashboard Items'!$A$2:$A$497,0)),"ID not found")))</f>
        <v/>
      </c>
      <c r="H73" s="2"/>
      <c r="I73" s="2"/>
      <c r="J73" s="2"/>
      <c r="K73" s="2"/>
      <c r="L73" s="2"/>
      <c r="M73" s="2"/>
      <c r="N73" s="2"/>
      <c r="O73" s="2"/>
      <c r="P73" s="2"/>
      <c r="Q73" s="2"/>
      <c r="R73" s="2"/>
      <c r="S73" s="2"/>
    </row>
    <row r="74" spans="1:19" x14ac:dyDescent="0.2">
      <c r="A74" s="2"/>
      <c r="B74" s="2"/>
      <c r="C74" s="2"/>
      <c r="D74" s="2"/>
      <c r="E74" s="6" t="str">
        <f>IF(D74="","",IFERROR(IF(INDEX('Dashboard Items'!$B$2:$B$497,MATCH(D74,'Dashboard Items'!$A$2:$A$497,0))="Objective","Objectives go in the next column",IF(OR(C74="",INDEX('Dashboard Items'!$B$2:$B$497,MATCH(D74,'Dashboard Items'!$A$2:$A$497,0))=C74),INDEX('Dashboard Items'!$C$2:$C$497,MATCH(D74,'Dashboard Items'!$A$2:$A$497,0)),"Level does not match ID")),"ID not found"))</f>
        <v/>
      </c>
      <c r="F74" s="7"/>
      <c r="G74" s="6" t="str">
        <f>IF(F74="","",IF(ISNUMBER(SEARCH(",",F74)),"Several items (the script lists them)",IFERROR(INDEX('Dashboard Items'!$B$2:$B$497,MATCH(F74,'Dashboard Items'!$A$2:$A$497,0))&amp;": "&amp;INDEX('Dashboard Items'!$C$2:$C$497,MATCH(F74,'Dashboard Items'!$A$2:$A$497,0)),"ID not found")))</f>
        <v/>
      </c>
      <c r="H74" s="2"/>
      <c r="I74" s="2"/>
      <c r="J74" s="2"/>
      <c r="K74" s="2"/>
      <c r="L74" s="2"/>
      <c r="M74" s="2"/>
      <c r="N74" s="2"/>
      <c r="O74" s="2"/>
      <c r="P74" s="2"/>
      <c r="Q74" s="2"/>
      <c r="R74" s="2"/>
      <c r="S74" s="2"/>
    </row>
    <row r="75" spans="1:19" x14ac:dyDescent="0.2">
      <c r="A75" s="2"/>
      <c r="B75" s="2"/>
      <c r="C75" s="2"/>
      <c r="D75" s="2"/>
      <c r="E75" s="6" t="str">
        <f>IF(D75="","",IFERROR(IF(INDEX('Dashboard Items'!$B$2:$B$497,MATCH(D75,'Dashboard Items'!$A$2:$A$497,0))="Objective","Objectives go in the next column",IF(OR(C75="",INDEX('Dashboard Items'!$B$2:$B$497,MATCH(D75,'Dashboard Items'!$A$2:$A$497,0))=C75),INDEX('Dashboard Items'!$C$2:$C$497,MATCH(D75,'Dashboard Items'!$A$2:$A$497,0)),"Level does not match ID")),"ID not found"))</f>
        <v/>
      </c>
      <c r="F75" s="7"/>
      <c r="G75" s="6" t="str">
        <f>IF(F75="","",IF(ISNUMBER(SEARCH(",",F75)),"Several items (the script lists them)",IFERROR(INDEX('Dashboard Items'!$B$2:$B$497,MATCH(F75,'Dashboard Items'!$A$2:$A$497,0))&amp;": "&amp;INDEX('Dashboard Items'!$C$2:$C$497,MATCH(F75,'Dashboard Items'!$A$2:$A$497,0)),"ID not found")))</f>
        <v/>
      </c>
      <c r="H75" s="2"/>
      <c r="I75" s="2"/>
      <c r="J75" s="2"/>
      <c r="K75" s="2"/>
      <c r="L75" s="2"/>
      <c r="M75" s="2"/>
      <c r="N75" s="2"/>
      <c r="O75" s="2"/>
      <c r="P75" s="2"/>
      <c r="Q75" s="2"/>
      <c r="R75" s="2"/>
      <c r="S75" s="2"/>
    </row>
    <row r="76" spans="1:19" x14ac:dyDescent="0.2">
      <c r="A76" s="2"/>
      <c r="B76" s="2"/>
      <c r="C76" s="2"/>
      <c r="D76" s="2"/>
      <c r="E76" s="6" t="str">
        <f>IF(D76="","",IFERROR(IF(INDEX('Dashboard Items'!$B$2:$B$497,MATCH(D76,'Dashboard Items'!$A$2:$A$497,0))="Objective","Objectives go in the next column",IF(OR(C76="",INDEX('Dashboard Items'!$B$2:$B$497,MATCH(D76,'Dashboard Items'!$A$2:$A$497,0))=C76),INDEX('Dashboard Items'!$C$2:$C$497,MATCH(D76,'Dashboard Items'!$A$2:$A$497,0)),"Level does not match ID")),"ID not found"))</f>
        <v/>
      </c>
      <c r="F76" s="7"/>
      <c r="G76" s="6" t="str">
        <f>IF(F76="","",IF(ISNUMBER(SEARCH(",",F76)),"Several items (the script lists them)",IFERROR(INDEX('Dashboard Items'!$B$2:$B$497,MATCH(F76,'Dashboard Items'!$A$2:$A$497,0))&amp;": "&amp;INDEX('Dashboard Items'!$C$2:$C$497,MATCH(F76,'Dashboard Items'!$A$2:$A$497,0)),"ID not found")))</f>
        <v/>
      </c>
      <c r="H76" s="2"/>
      <c r="I76" s="2"/>
      <c r="J76" s="2"/>
      <c r="K76" s="2"/>
      <c r="L76" s="2"/>
      <c r="M76" s="2"/>
      <c r="N76" s="2"/>
      <c r="O76" s="2"/>
      <c r="P76" s="2"/>
      <c r="Q76" s="2"/>
      <c r="R76" s="2"/>
      <c r="S76" s="2"/>
    </row>
    <row r="77" spans="1:19" x14ac:dyDescent="0.2">
      <c r="A77" s="2"/>
      <c r="B77" s="2"/>
      <c r="C77" s="2"/>
      <c r="D77" s="2"/>
      <c r="E77" s="6" t="str">
        <f>IF(D77="","",IFERROR(IF(INDEX('Dashboard Items'!$B$2:$B$497,MATCH(D77,'Dashboard Items'!$A$2:$A$497,0))="Objective","Objectives go in the next column",IF(OR(C77="",INDEX('Dashboard Items'!$B$2:$B$497,MATCH(D77,'Dashboard Items'!$A$2:$A$497,0))=C77),INDEX('Dashboard Items'!$C$2:$C$497,MATCH(D77,'Dashboard Items'!$A$2:$A$497,0)),"Level does not match ID")),"ID not found"))</f>
        <v/>
      </c>
      <c r="F77" s="7"/>
      <c r="G77" s="6" t="str">
        <f>IF(F77="","",IF(ISNUMBER(SEARCH(",",F77)),"Several items (the script lists them)",IFERROR(INDEX('Dashboard Items'!$B$2:$B$497,MATCH(F77,'Dashboard Items'!$A$2:$A$497,0))&amp;": "&amp;INDEX('Dashboard Items'!$C$2:$C$497,MATCH(F77,'Dashboard Items'!$A$2:$A$497,0)),"ID not found")))</f>
        <v/>
      </c>
      <c r="H77" s="2"/>
      <c r="I77" s="2"/>
      <c r="J77" s="2"/>
      <c r="K77" s="2"/>
      <c r="L77" s="2"/>
      <c r="M77" s="2"/>
      <c r="N77" s="2"/>
      <c r="O77" s="2"/>
      <c r="P77" s="2"/>
      <c r="Q77" s="2"/>
      <c r="R77" s="2"/>
      <c r="S77" s="2"/>
    </row>
    <row r="78" spans="1:19" x14ac:dyDescent="0.2">
      <c r="A78" s="2"/>
      <c r="B78" s="2"/>
      <c r="C78" s="2"/>
      <c r="D78" s="2"/>
      <c r="E78" s="6" t="str">
        <f>IF(D78="","",IFERROR(IF(INDEX('Dashboard Items'!$B$2:$B$497,MATCH(D78,'Dashboard Items'!$A$2:$A$497,0))="Objective","Objectives go in the next column",IF(OR(C78="",INDEX('Dashboard Items'!$B$2:$B$497,MATCH(D78,'Dashboard Items'!$A$2:$A$497,0))=C78),INDEX('Dashboard Items'!$C$2:$C$497,MATCH(D78,'Dashboard Items'!$A$2:$A$497,0)),"Level does not match ID")),"ID not found"))</f>
        <v/>
      </c>
      <c r="F78" s="7"/>
      <c r="G78" s="6" t="str">
        <f>IF(F78="","",IF(ISNUMBER(SEARCH(",",F78)),"Several items (the script lists them)",IFERROR(INDEX('Dashboard Items'!$B$2:$B$497,MATCH(F78,'Dashboard Items'!$A$2:$A$497,0))&amp;": "&amp;INDEX('Dashboard Items'!$C$2:$C$497,MATCH(F78,'Dashboard Items'!$A$2:$A$497,0)),"ID not found")))</f>
        <v/>
      </c>
      <c r="H78" s="2"/>
      <c r="I78" s="2"/>
      <c r="J78" s="2"/>
      <c r="K78" s="2"/>
      <c r="L78" s="2"/>
      <c r="M78" s="2"/>
      <c r="N78" s="2"/>
      <c r="O78" s="2"/>
      <c r="P78" s="2"/>
      <c r="Q78" s="2"/>
      <c r="R78" s="2"/>
      <c r="S78" s="2"/>
    </row>
    <row r="79" spans="1:19" x14ac:dyDescent="0.2">
      <c r="A79" s="2"/>
      <c r="B79" s="2"/>
      <c r="C79" s="2"/>
      <c r="D79" s="2"/>
      <c r="E79" s="6" t="str">
        <f>IF(D79="","",IFERROR(IF(INDEX('Dashboard Items'!$B$2:$B$497,MATCH(D79,'Dashboard Items'!$A$2:$A$497,0))="Objective","Objectives go in the next column",IF(OR(C79="",INDEX('Dashboard Items'!$B$2:$B$497,MATCH(D79,'Dashboard Items'!$A$2:$A$497,0))=C79),INDEX('Dashboard Items'!$C$2:$C$497,MATCH(D79,'Dashboard Items'!$A$2:$A$497,0)),"Level does not match ID")),"ID not found"))</f>
        <v/>
      </c>
      <c r="F79" s="7"/>
      <c r="G79" s="6" t="str">
        <f>IF(F79="","",IF(ISNUMBER(SEARCH(",",F79)),"Several items (the script lists them)",IFERROR(INDEX('Dashboard Items'!$B$2:$B$497,MATCH(F79,'Dashboard Items'!$A$2:$A$497,0))&amp;": "&amp;INDEX('Dashboard Items'!$C$2:$C$497,MATCH(F79,'Dashboard Items'!$A$2:$A$497,0)),"ID not found")))</f>
        <v/>
      </c>
      <c r="H79" s="2"/>
      <c r="I79" s="2"/>
      <c r="J79" s="2"/>
      <c r="K79" s="2"/>
      <c r="L79" s="2"/>
      <c r="M79" s="2"/>
      <c r="N79" s="2"/>
      <c r="O79" s="2"/>
      <c r="P79" s="2"/>
      <c r="Q79" s="2"/>
      <c r="R79" s="2"/>
      <c r="S79" s="2"/>
    </row>
    <row r="80" spans="1:19" x14ac:dyDescent="0.2">
      <c r="A80" s="2"/>
      <c r="B80" s="2"/>
      <c r="C80" s="2"/>
      <c r="D80" s="2"/>
      <c r="E80" s="6" t="str">
        <f>IF(D80="","",IFERROR(IF(INDEX('Dashboard Items'!$B$2:$B$497,MATCH(D80,'Dashboard Items'!$A$2:$A$497,0))="Objective","Objectives go in the next column",IF(OR(C80="",INDEX('Dashboard Items'!$B$2:$B$497,MATCH(D80,'Dashboard Items'!$A$2:$A$497,0))=C80),INDEX('Dashboard Items'!$C$2:$C$497,MATCH(D80,'Dashboard Items'!$A$2:$A$497,0)),"Level does not match ID")),"ID not found"))</f>
        <v/>
      </c>
      <c r="F80" s="7"/>
      <c r="G80" s="6" t="str">
        <f>IF(F80="","",IF(ISNUMBER(SEARCH(",",F80)),"Several items (the script lists them)",IFERROR(INDEX('Dashboard Items'!$B$2:$B$497,MATCH(F80,'Dashboard Items'!$A$2:$A$497,0))&amp;": "&amp;INDEX('Dashboard Items'!$C$2:$C$497,MATCH(F80,'Dashboard Items'!$A$2:$A$497,0)),"ID not found")))</f>
        <v/>
      </c>
      <c r="H80" s="2"/>
      <c r="I80" s="2"/>
      <c r="J80" s="2"/>
      <c r="K80" s="2"/>
      <c r="L80" s="2"/>
      <c r="M80" s="2"/>
      <c r="N80" s="2"/>
      <c r="O80" s="2"/>
      <c r="P80" s="2"/>
      <c r="Q80" s="2"/>
      <c r="R80" s="2"/>
      <c r="S80" s="2"/>
    </row>
    <row r="81" spans="1:19" x14ac:dyDescent="0.2">
      <c r="A81" s="2"/>
      <c r="B81" s="2"/>
      <c r="C81" s="2"/>
      <c r="D81" s="2"/>
      <c r="E81" s="6" t="str">
        <f>IF(D81="","",IFERROR(IF(INDEX('Dashboard Items'!$B$2:$B$497,MATCH(D81,'Dashboard Items'!$A$2:$A$497,0))="Objective","Objectives go in the next column",IF(OR(C81="",INDEX('Dashboard Items'!$B$2:$B$497,MATCH(D81,'Dashboard Items'!$A$2:$A$497,0))=C81),INDEX('Dashboard Items'!$C$2:$C$497,MATCH(D81,'Dashboard Items'!$A$2:$A$497,0)),"Level does not match ID")),"ID not found"))</f>
        <v/>
      </c>
      <c r="F81" s="7"/>
      <c r="G81" s="6" t="str">
        <f>IF(F81="","",IF(ISNUMBER(SEARCH(",",F81)),"Several items (the script lists them)",IFERROR(INDEX('Dashboard Items'!$B$2:$B$497,MATCH(F81,'Dashboard Items'!$A$2:$A$497,0))&amp;": "&amp;INDEX('Dashboard Items'!$C$2:$C$497,MATCH(F81,'Dashboard Items'!$A$2:$A$497,0)),"ID not found")))</f>
        <v/>
      </c>
      <c r="H81" s="2"/>
      <c r="I81" s="2"/>
      <c r="J81" s="2"/>
      <c r="K81" s="2"/>
      <c r="L81" s="2"/>
      <c r="M81" s="2"/>
      <c r="N81" s="2"/>
      <c r="O81" s="2"/>
      <c r="P81" s="2"/>
      <c r="Q81" s="2"/>
      <c r="R81" s="2"/>
      <c r="S81" s="2"/>
    </row>
    <row r="82" spans="1:19" x14ac:dyDescent="0.2">
      <c r="A82" s="2"/>
      <c r="B82" s="2"/>
      <c r="C82" s="2"/>
      <c r="D82" s="2"/>
      <c r="E82" s="6" t="str">
        <f>IF(D82="","",IFERROR(IF(INDEX('Dashboard Items'!$B$2:$B$497,MATCH(D82,'Dashboard Items'!$A$2:$A$497,0))="Objective","Objectives go in the next column",IF(OR(C82="",INDEX('Dashboard Items'!$B$2:$B$497,MATCH(D82,'Dashboard Items'!$A$2:$A$497,0))=C82),INDEX('Dashboard Items'!$C$2:$C$497,MATCH(D82,'Dashboard Items'!$A$2:$A$497,0)),"Level does not match ID")),"ID not found"))</f>
        <v/>
      </c>
      <c r="F82" s="7"/>
      <c r="G82" s="6" t="str">
        <f>IF(F82="","",IF(ISNUMBER(SEARCH(",",F82)),"Several items (the script lists them)",IFERROR(INDEX('Dashboard Items'!$B$2:$B$497,MATCH(F82,'Dashboard Items'!$A$2:$A$497,0))&amp;": "&amp;INDEX('Dashboard Items'!$C$2:$C$497,MATCH(F82,'Dashboard Items'!$A$2:$A$497,0)),"ID not found")))</f>
        <v/>
      </c>
      <c r="H82" s="2"/>
      <c r="I82" s="2"/>
      <c r="J82" s="2"/>
      <c r="K82" s="2"/>
      <c r="L82" s="2"/>
      <c r="M82" s="2"/>
      <c r="N82" s="2"/>
      <c r="O82" s="2"/>
      <c r="P82" s="2"/>
      <c r="Q82" s="2"/>
      <c r="R82" s="2"/>
      <c r="S82" s="2"/>
    </row>
    <row r="83" spans="1:19" x14ac:dyDescent="0.2">
      <c r="A83" s="2"/>
      <c r="B83" s="2"/>
      <c r="C83" s="2"/>
      <c r="D83" s="2"/>
      <c r="E83" s="6" t="str">
        <f>IF(D83="","",IFERROR(IF(INDEX('Dashboard Items'!$B$2:$B$497,MATCH(D83,'Dashboard Items'!$A$2:$A$497,0))="Objective","Objectives go in the next column",IF(OR(C83="",INDEX('Dashboard Items'!$B$2:$B$497,MATCH(D83,'Dashboard Items'!$A$2:$A$497,0))=C83),INDEX('Dashboard Items'!$C$2:$C$497,MATCH(D83,'Dashboard Items'!$A$2:$A$497,0)),"Level does not match ID")),"ID not found"))</f>
        <v/>
      </c>
      <c r="F83" s="7"/>
      <c r="G83" s="6" t="str">
        <f>IF(F83="","",IF(ISNUMBER(SEARCH(",",F83)),"Several items (the script lists them)",IFERROR(INDEX('Dashboard Items'!$B$2:$B$497,MATCH(F83,'Dashboard Items'!$A$2:$A$497,0))&amp;": "&amp;INDEX('Dashboard Items'!$C$2:$C$497,MATCH(F83,'Dashboard Items'!$A$2:$A$497,0)),"ID not found")))</f>
        <v/>
      </c>
      <c r="H83" s="2"/>
      <c r="I83" s="2"/>
      <c r="J83" s="2"/>
      <c r="K83" s="2"/>
      <c r="L83" s="2"/>
      <c r="M83" s="2"/>
      <c r="N83" s="2"/>
      <c r="O83" s="2"/>
      <c r="P83" s="2"/>
      <c r="Q83" s="2"/>
      <c r="R83" s="2"/>
      <c r="S83" s="2"/>
    </row>
    <row r="84" spans="1:19" x14ac:dyDescent="0.2">
      <c r="A84" s="2"/>
      <c r="B84" s="2"/>
      <c r="C84" s="2"/>
      <c r="D84" s="2"/>
      <c r="E84" s="6" t="str">
        <f>IF(D84="","",IFERROR(IF(INDEX('Dashboard Items'!$B$2:$B$497,MATCH(D84,'Dashboard Items'!$A$2:$A$497,0))="Objective","Objectives go in the next column",IF(OR(C84="",INDEX('Dashboard Items'!$B$2:$B$497,MATCH(D84,'Dashboard Items'!$A$2:$A$497,0))=C84),INDEX('Dashboard Items'!$C$2:$C$497,MATCH(D84,'Dashboard Items'!$A$2:$A$497,0)),"Level does not match ID")),"ID not found"))</f>
        <v/>
      </c>
      <c r="F84" s="7"/>
      <c r="G84" s="6" t="str">
        <f>IF(F84="","",IF(ISNUMBER(SEARCH(",",F84)),"Several items (the script lists them)",IFERROR(INDEX('Dashboard Items'!$B$2:$B$497,MATCH(F84,'Dashboard Items'!$A$2:$A$497,0))&amp;": "&amp;INDEX('Dashboard Items'!$C$2:$C$497,MATCH(F84,'Dashboard Items'!$A$2:$A$497,0)),"ID not found")))</f>
        <v/>
      </c>
      <c r="H84" s="2"/>
      <c r="I84" s="2"/>
      <c r="J84" s="2"/>
      <c r="K84" s="2"/>
      <c r="L84" s="2"/>
      <c r="M84" s="2"/>
      <c r="N84" s="2"/>
      <c r="O84" s="2"/>
      <c r="P84" s="2"/>
      <c r="Q84" s="2"/>
      <c r="R84" s="2"/>
      <c r="S84" s="2"/>
    </row>
    <row r="85" spans="1:19" x14ac:dyDescent="0.2">
      <c r="A85" s="2"/>
      <c r="B85" s="2"/>
      <c r="C85" s="2"/>
      <c r="D85" s="2"/>
      <c r="E85" s="6" t="str">
        <f>IF(D85="","",IFERROR(IF(INDEX('Dashboard Items'!$B$2:$B$497,MATCH(D85,'Dashboard Items'!$A$2:$A$497,0))="Objective","Objectives go in the next column",IF(OR(C85="",INDEX('Dashboard Items'!$B$2:$B$497,MATCH(D85,'Dashboard Items'!$A$2:$A$497,0))=C85),INDEX('Dashboard Items'!$C$2:$C$497,MATCH(D85,'Dashboard Items'!$A$2:$A$497,0)),"Level does not match ID")),"ID not found"))</f>
        <v/>
      </c>
      <c r="F85" s="7"/>
      <c r="G85" s="6" t="str">
        <f>IF(F85="","",IF(ISNUMBER(SEARCH(",",F85)),"Several items (the script lists them)",IFERROR(INDEX('Dashboard Items'!$B$2:$B$497,MATCH(F85,'Dashboard Items'!$A$2:$A$497,0))&amp;": "&amp;INDEX('Dashboard Items'!$C$2:$C$497,MATCH(F85,'Dashboard Items'!$A$2:$A$497,0)),"ID not found")))</f>
        <v/>
      </c>
      <c r="H85" s="2"/>
      <c r="I85" s="2"/>
      <c r="J85" s="2"/>
      <c r="K85" s="2"/>
      <c r="L85" s="2"/>
      <c r="M85" s="2"/>
      <c r="N85" s="2"/>
      <c r="O85" s="2"/>
      <c r="P85" s="2"/>
      <c r="Q85" s="2"/>
      <c r="R85" s="2"/>
      <c r="S85" s="2"/>
    </row>
    <row r="86" spans="1:19" x14ac:dyDescent="0.2">
      <c r="A86" s="2"/>
      <c r="B86" s="2"/>
      <c r="C86" s="2"/>
      <c r="D86" s="2"/>
      <c r="E86" s="6" t="str">
        <f>IF(D86="","",IFERROR(IF(INDEX('Dashboard Items'!$B$2:$B$497,MATCH(D86,'Dashboard Items'!$A$2:$A$497,0))="Objective","Objectives go in the next column",IF(OR(C86="",INDEX('Dashboard Items'!$B$2:$B$497,MATCH(D86,'Dashboard Items'!$A$2:$A$497,0))=C86),INDEX('Dashboard Items'!$C$2:$C$497,MATCH(D86,'Dashboard Items'!$A$2:$A$497,0)),"Level does not match ID")),"ID not found"))</f>
        <v/>
      </c>
      <c r="F86" s="7"/>
      <c r="G86" s="6" t="str">
        <f>IF(F86="","",IF(ISNUMBER(SEARCH(",",F86)),"Several items (the script lists them)",IFERROR(INDEX('Dashboard Items'!$B$2:$B$497,MATCH(F86,'Dashboard Items'!$A$2:$A$497,0))&amp;": "&amp;INDEX('Dashboard Items'!$C$2:$C$497,MATCH(F86,'Dashboard Items'!$A$2:$A$497,0)),"ID not found")))</f>
        <v/>
      </c>
      <c r="H86" s="2"/>
      <c r="I86" s="2"/>
      <c r="J86" s="2"/>
      <c r="K86" s="2"/>
      <c r="L86" s="2"/>
      <c r="M86" s="2"/>
      <c r="N86" s="2"/>
      <c r="O86" s="2"/>
      <c r="P86" s="2"/>
      <c r="Q86" s="2"/>
      <c r="R86" s="2"/>
      <c r="S86" s="2"/>
    </row>
    <row r="87" spans="1:19" x14ac:dyDescent="0.2">
      <c r="A87" s="2"/>
      <c r="B87" s="2"/>
      <c r="C87" s="2"/>
      <c r="D87" s="2"/>
      <c r="E87" s="6" t="str">
        <f>IF(D87="","",IFERROR(IF(INDEX('Dashboard Items'!$B$2:$B$497,MATCH(D87,'Dashboard Items'!$A$2:$A$497,0))="Objective","Objectives go in the next column",IF(OR(C87="",INDEX('Dashboard Items'!$B$2:$B$497,MATCH(D87,'Dashboard Items'!$A$2:$A$497,0))=C87),INDEX('Dashboard Items'!$C$2:$C$497,MATCH(D87,'Dashboard Items'!$A$2:$A$497,0)),"Level does not match ID")),"ID not found"))</f>
        <v/>
      </c>
      <c r="F87" s="7"/>
      <c r="G87" s="6" t="str">
        <f>IF(F87="","",IF(ISNUMBER(SEARCH(",",F87)),"Several items (the script lists them)",IFERROR(INDEX('Dashboard Items'!$B$2:$B$497,MATCH(F87,'Dashboard Items'!$A$2:$A$497,0))&amp;": "&amp;INDEX('Dashboard Items'!$C$2:$C$497,MATCH(F87,'Dashboard Items'!$A$2:$A$497,0)),"ID not found")))</f>
        <v/>
      </c>
      <c r="H87" s="2"/>
      <c r="I87" s="2"/>
      <c r="J87" s="2"/>
      <c r="K87" s="2"/>
      <c r="L87" s="2"/>
      <c r="M87" s="2"/>
      <c r="N87" s="2"/>
      <c r="O87" s="2"/>
      <c r="P87" s="2"/>
      <c r="Q87" s="2"/>
      <c r="R87" s="2"/>
      <c r="S87" s="2"/>
    </row>
    <row r="88" spans="1:19" x14ac:dyDescent="0.2">
      <c r="A88" s="2"/>
      <c r="B88" s="2"/>
      <c r="C88" s="2"/>
      <c r="D88" s="2"/>
      <c r="E88" s="6" t="str">
        <f>IF(D88="","",IFERROR(IF(INDEX('Dashboard Items'!$B$2:$B$497,MATCH(D88,'Dashboard Items'!$A$2:$A$497,0))="Objective","Objectives go in the next column",IF(OR(C88="",INDEX('Dashboard Items'!$B$2:$B$497,MATCH(D88,'Dashboard Items'!$A$2:$A$497,0))=C88),INDEX('Dashboard Items'!$C$2:$C$497,MATCH(D88,'Dashboard Items'!$A$2:$A$497,0)),"Level does not match ID")),"ID not found"))</f>
        <v/>
      </c>
      <c r="F88" s="7"/>
      <c r="G88" s="6" t="str">
        <f>IF(F88="","",IF(ISNUMBER(SEARCH(",",F88)),"Several items (the script lists them)",IFERROR(INDEX('Dashboard Items'!$B$2:$B$497,MATCH(F88,'Dashboard Items'!$A$2:$A$497,0))&amp;": "&amp;INDEX('Dashboard Items'!$C$2:$C$497,MATCH(F88,'Dashboard Items'!$A$2:$A$497,0)),"ID not found")))</f>
        <v/>
      </c>
      <c r="H88" s="2"/>
      <c r="I88" s="2"/>
      <c r="J88" s="2"/>
      <c r="K88" s="2"/>
      <c r="L88" s="2"/>
      <c r="M88" s="2"/>
      <c r="N88" s="2"/>
      <c r="O88" s="2"/>
      <c r="P88" s="2"/>
      <c r="Q88" s="2"/>
      <c r="R88" s="2"/>
      <c r="S88" s="2"/>
    </row>
    <row r="89" spans="1:19" x14ac:dyDescent="0.2">
      <c r="A89" s="2"/>
      <c r="B89" s="2"/>
      <c r="C89" s="2"/>
      <c r="D89" s="2"/>
      <c r="E89" s="6" t="str">
        <f>IF(D89="","",IFERROR(IF(INDEX('Dashboard Items'!$B$2:$B$497,MATCH(D89,'Dashboard Items'!$A$2:$A$497,0))="Objective","Objectives go in the next column",IF(OR(C89="",INDEX('Dashboard Items'!$B$2:$B$497,MATCH(D89,'Dashboard Items'!$A$2:$A$497,0))=C89),INDEX('Dashboard Items'!$C$2:$C$497,MATCH(D89,'Dashboard Items'!$A$2:$A$497,0)),"Level does not match ID")),"ID not found"))</f>
        <v/>
      </c>
      <c r="F89" s="7"/>
      <c r="G89" s="6" t="str">
        <f>IF(F89="","",IF(ISNUMBER(SEARCH(",",F89)),"Several items (the script lists them)",IFERROR(INDEX('Dashboard Items'!$B$2:$B$497,MATCH(F89,'Dashboard Items'!$A$2:$A$497,0))&amp;": "&amp;INDEX('Dashboard Items'!$C$2:$C$497,MATCH(F89,'Dashboard Items'!$A$2:$A$497,0)),"ID not found")))</f>
        <v/>
      </c>
      <c r="H89" s="2"/>
      <c r="I89" s="2"/>
      <c r="J89" s="2"/>
      <c r="K89" s="2"/>
      <c r="L89" s="2"/>
      <c r="M89" s="2"/>
      <c r="N89" s="2"/>
      <c r="O89" s="2"/>
      <c r="P89" s="2"/>
      <c r="Q89" s="2"/>
      <c r="R89" s="2"/>
      <c r="S89" s="2"/>
    </row>
    <row r="90" spans="1:19" x14ac:dyDescent="0.2">
      <c r="A90" s="2"/>
      <c r="B90" s="2"/>
      <c r="C90" s="2"/>
      <c r="D90" s="2"/>
      <c r="E90" s="6" t="str">
        <f>IF(D90="","",IFERROR(IF(INDEX('Dashboard Items'!$B$2:$B$497,MATCH(D90,'Dashboard Items'!$A$2:$A$497,0))="Objective","Objectives go in the next column",IF(OR(C90="",INDEX('Dashboard Items'!$B$2:$B$497,MATCH(D90,'Dashboard Items'!$A$2:$A$497,0))=C90),INDEX('Dashboard Items'!$C$2:$C$497,MATCH(D90,'Dashboard Items'!$A$2:$A$497,0)),"Level does not match ID")),"ID not found"))</f>
        <v/>
      </c>
      <c r="F90" s="7"/>
      <c r="G90" s="6" t="str">
        <f>IF(F90="","",IF(ISNUMBER(SEARCH(",",F90)),"Several items (the script lists them)",IFERROR(INDEX('Dashboard Items'!$B$2:$B$497,MATCH(F90,'Dashboard Items'!$A$2:$A$497,0))&amp;": "&amp;INDEX('Dashboard Items'!$C$2:$C$497,MATCH(F90,'Dashboard Items'!$A$2:$A$497,0)),"ID not found")))</f>
        <v/>
      </c>
      <c r="H90" s="2"/>
      <c r="I90" s="2"/>
      <c r="J90" s="2"/>
      <c r="K90" s="2"/>
      <c r="L90" s="2"/>
      <c r="M90" s="2"/>
      <c r="N90" s="2"/>
      <c r="O90" s="2"/>
      <c r="P90" s="2"/>
      <c r="Q90" s="2"/>
      <c r="R90" s="2"/>
      <c r="S90" s="2"/>
    </row>
    <row r="91" spans="1:19" x14ac:dyDescent="0.2">
      <c r="A91" s="2"/>
      <c r="B91" s="2"/>
      <c r="C91" s="2"/>
      <c r="D91" s="2"/>
      <c r="E91" s="6" t="str">
        <f>IF(D91="","",IFERROR(IF(INDEX('Dashboard Items'!$B$2:$B$497,MATCH(D91,'Dashboard Items'!$A$2:$A$497,0))="Objective","Objectives go in the next column",IF(OR(C91="",INDEX('Dashboard Items'!$B$2:$B$497,MATCH(D91,'Dashboard Items'!$A$2:$A$497,0))=C91),INDEX('Dashboard Items'!$C$2:$C$497,MATCH(D91,'Dashboard Items'!$A$2:$A$497,0)),"Level does not match ID")),"ID not found"))</f>
        <v/>
      </c>
      <c r="F91" s="7"/>
      <c r="G91" s="6" t="str">
        <f>IF(F91="","",IF(ISNUMBER(SEARCH(",",F91)),"Several items (the script lists them)",IFERROR(INDEX('Dashboard Items'!$B$2:$B$497,MATCH(F91,'Dashboard Items'!$A$2:$A$497,0))&amp;": "&amp;INDEX('Dashboard Items'!$C$2:$C$497,MATCH(F91,'Dashboard Items'!$A$2:$A$497,0)),"ID not found")))</f>
        <v/>
      </c>
      <c r="H91" s="2"/>
      <c r="I91" s="2"/>
      <c r="J91" s="2"/>
      <c r="K91" s="2"/>
      <c r="L91" s="2"/>
      <c r="M91" s="2"/>
      <c r="N91" s="2"/>
      <c r="O91" s="2"/>
      <c r="P91" s="2"/>
      <c r="Q91" s="2"/>
      <c r="R91" s="2"/>
      <c r="S91" s="2"/>
    </row>
    <row r="92" spans="1:19" x14ac:dyDescent="0.2">
      <c r="A92" s="2"/>
      <c r="B92" s="2"/>
      <c r="C92" s="2"/>
      <c r="D92" s="2"/>
      <c r="E92" s="6" t="str">
        <f>IF(D92="","",IFERROR(IF(INDEX('Dashboard Items'!$B$2:$B$497,MATCH(D92,'Dashboard Items'!$A$2:$A$497,0))="Objective","Objectives go in the next column",IF(OR(C92="",INDEX('Dashboard Items'!$B$2:$B$497,MATCH(D92,'Dashboard Items'!$A$2:$A$497,0))=C92),INDEX('Dashboard Items'!$C$2:$C$497,MATCH(D92,'Dashboard Items'!$A$2:$A$497,0)),"Level does not match ID")),"ID not found"))</f>
        <v/>
      </c>
      <c r="F92" s="7"/>
      <c r="G92" s="6" t="str">
        <f>IF(F92="","",IF(ISNUMBER(SEARCH(",",F92)),"Several items (the script lists them)",IFERROR(INDEX('Dashboard Items'!$B$2:$B$497,MATCH(F92,'Dashboard Items'!$A$2:$A$497,0))&amp;": "&amp;INDEX('Dashboard Items'!$C$2:$C$497,MATCH(F92,'Dashboard Items'!$A$2:$A$497,0)),"ID not found")))</f>
        <v/>
      </c>
      <c r="H92" s="2"/>
      <c r="I92" s="2"/>
      <c r="J92" s="2"/>
      <c r="K92" s="2"/>
      <c r="L92" s="2"/>
      <c r="M92" s="2"/>
      <c r="N92" s="2"/>
      <c r="O92" s="2"/>
      <c r="P92" s="2"/>
      <c r="Q92" s="2"/>
      <c r="R92" s="2"/>
      <c r="S92" s="2"/>
    </row>
    <row r="93" spans="1:19" x14ac:dyDescent="0.2">
      <c r="A93" s="2"/>
      <c r="B93" s="2"/>
      <c r="C93" s="2"/>
      <c r="D93" s="2"/>
      <c r="E93" s="6" t="str">
        <f>IF(D93="","",IFERROR(IF(INDEX('Dashboard Items'!$B$2:$B$497,MATCH(D93,'Dashboard Items'!$A$2:$A$497,0))="Objective","Objectives go in the next column",IF(OR(C93="",INDEX('Dashboard Items'!$B$2:$B$497,MATCH(D93,'Dashboard Items'!$A$2:$A$497,0))=C93),INDEX('Dashboard Items'!$C$2:$C$497,MATCH(D93,'Dashboard Items'!$A$2:$A$497,0)),"Level does not match ID")),"ID not found"))</f>
        <v/>
      </c>
      <c r="F93" s="7"/>
      <c r="G93" s="6" t="str">
        <f>IF(F93="","",IF(ISNUMBER(SEARCH(",",F93)),"Several items (the script lists them)",IFERROR(INDEX('Dashboard Items'!$B$2:$B$497,MATCH(F93,'Dashboard Items'!$A$2:$A$497,0))&amp;": "&amp;INDEX('Dashboard Items'!$C$2:$C$497,MATCH(F93,'Dashboard Items'!$A$2:$A$497,0)),"ID not found")))</f>
        <v/>
      </c>
      <c r="H93" s="2"/>
      <c r="I93" s="2"/>
      <c r="J93" s="2"/>
      <c r="K93" s="2"/>
      <c r="L93" s="2"/>
      <c r="M93" s="2"/>
      <c r="N93" s="2"/>
      <c r="O93" s="2"/>
      <c r="P93" s="2"/>
      <c r="Q93" s="2"/>
      <c r="R93" s="2"/>
      <c r="S93" s="2"/>
    </row>
    <row r="94" spans="1:19" x14ac:dyDescent="0.2">
      <c r="A94" s="2"/>
      <c r="B94" s="2"/>
      <c r="C94" s="2"/>
      <c r="D94" s="2"/>
      <c r="E94" s="6" t="str">
        <f>IF(D94="","",IFERROR(IF(INDEX('Dashboard Items'!$B$2:$B$497,MATCH(D94,'Dashboard Items'!$A$2:$A$497,0))="Objective","Objectives go in the next column",IF(OR(C94="",INDEX('Dashboard Items'!$B$2:$B$497,MATCH(D94,'Dashboard Items'!$A$2:$A$497,0))=C94),INDEX('Dashboard Items'!$C$2:$C$497,MATCH(D94,'Dashboard Items'!$A$2:$A$497,0)),"Level does not match ID")),"ID not found"))</f>
        <v/>
      </c>
      <c r="F94" s="7"/>
      <c r="G94" s="6" t="str">
        <f>IF(F94="","",IF(ISNUMBER(SEARCH(",",F94)),"Several items (the script lists them)",IFERROR(INDEX('Dashboard Items'!$B$2:$B$497,MATCH(F94,'Dashboard Items'!$A$2:$A$497,0))&amp;": "&amp;INDEX('Dashboard Items'!$C$2:$C$497,MATCH(F94,'Dashboard Items'!$A$2:$A$497,0)),"ID not found")))</f>
        <v/>
      </c>
      <c r="H94" s="2"/>
      <c r="I94" s="2"/>
      <c r="J94" s="2"/>
      <c r="K94" s="2"/>
      <c r="L94" s="2"/>
      <c r="M94" s="2"/>
      <c r="N94" s="2"/>
      <c r="O94" s="2"/>
      <c r="P94" s="2"/>
      <c r="Q94" s="2"/>
      <c r="R94" s="2"/>
      <c r="S94" s="2"/>
    </row>
    <row r="95" spans="1:19" x14ac:dyDescent="0.2">
      <c r="A95" s="2"/>
      <c r="B95" s="2"/>
      <c r="C95" s="2"/>
      <c r="D95" s="2"/>
      <c r="E95" s="6" t="str">
        <f>IF(D95="","",IFERROR(IF(INDEX('Dashboard Items'!$B$2:$B$497,MATCH(D95,'Dashboard Items'!$A$2:$A$497,0))="Objective","Objectives go in the next column",IF(OR(C95="",INDEX('Dashboard Items'!$B$2:$B$497,MATCH(D95,'Dashboard Items'!$A$2:$A$497,0))=C95),INDEX('Dashboard Items'!$C$2:$C$497,MATCH(D95,'Dashboard Items'!$A$2:$A$497,0)),"Level does not match ID")),"ID not found"))</f>
        <v/>
      </c>
      <c r="F95" s="7"/>
      <c r="G95" s="6" t="str">
        <f>IF(F95="","",IF(ISNUMBER(SEARCH(",",F95)),"Several items (the script lists them)",IFERROR(INDEX('Dashboard Items'!$B$2:$B$497,MATCH(F95,'Dashboard Items'!$A$2:$A$497,0))&amp;": "&amp;INDEX('Dashboard Items'!$C$2:$C$497,MATCH(F95,'Dashboard Items'!$A$2:$A$497,0)),"ID not found")))</f>
        <v/>
      </c>
      <c r="H95" s="2"/>
      <c r="I95" s="2"/>
      <c r="J95" s="2"/>
      <c r="K95" s="2"/>
      <c r="L95" s="2"/>
      <c r="M95" s="2"/>
      <c r="N95" s="2"/>
      <c r="O95" s="2"/>
      <c r="P95" s="2"/>
      <c r="Q95" s="2"/>
      <c r="R95" s="2"/>
      <c r="S95" s="2"/>
    </row>
    <row r="96" spans="1:19" x14ac:dyDescent="0.2">
      <c r="A96" s="2"/>
      <c r="B96" s="2"/>
      <c r="C96" s="2"/>
      <c r="D96" s="2"/>
      <c r="E96" s="6" t="str">
        <f>IF(D96="","",IFERROR(IF(INDEX('Dashboard Items'!$B$2:$B$497,MATCH(D96,'Dashboard Items'!$A$2:$A$497,0))="Objective","Objectives go in the next column",IF(OR(C96="",INDEX('Dashboard Items'!$B$2:$B$497,MATCH(D96,'Dashboard Items'!$A$2:$A$497,0))=C96),INDEX('Dashboard Items'!$C$2:$C$497,MATCH(D96,'Dashboard Items'!$A$2:$A$497,0)),"Level does not match ID")),"ID not found"))</f>
        <v/>
      </c>
      <c r="F96" s="7"/>
      <c r="G96" s="6" t="str">
        <f>IF(F96="","",IF(ISNUMBER(SEARCH(",",F96)),"Several items (the script lists them)",IFERROR(INDEX('Dashboard Items'!$B$2:$B$497,MATCH(F96,'Dashboard Items'!$A$2:$A$497,0))&amp;": "&amp;INDEX('Dashboard Items'!$C$2:$C$497,MATCH(F96,'Dashboard Items'!$A$2:$A$497,0)),"ID not found")))</f>
        <v/>
      </c>
      <c r="H96" s="2"/>
      <c r="I96" s="2"/>
      <c r="J96" s="2"/>
      <c r="K96" s="2"/>
      <c r="L96" s="2"/>
      <c r="M96" s="2"/>
      <c r="N96" s="2"/>
      <c r="O96" s="2"/>
      <c r="P96" s="2"/>
      <c r="Q96" s="2"/>
      <c r="R96" s="2"/>
      <c r="S96" s="2"/>
    </row>
    <row r="97" spans="1:19" x14ac:dyDescent="0.2">
      <c r="A97" s="2"/>
      <c r="B97" s="2"/>
      <c r="C97" s="2"/>
      <c r="D97" s="2"/>
      <c r="E97" s="6" t="str">
        <f>IF(D97="","",IFERROR(IF(INDEX('Dashboard Items'!$B$2:$B$497,MATCH(D97,'Dashboard Items'!$A$2:$A$497,0))="Objective","Objectives go in the next column",IF(OR(C97="",INDEX('Dashboard Items'!$B$2:$B$497,MATCH(D97,'Dashboard Items'!$A$2:$A$497,0))=C97),INDEX('Dashboard Items'!$C$2:$C$497,MATCH(D97,'Dashboard Items'!$A$2:$A$497,0)),"Level does not match ID")),"ID not found"))</f>
        <v/>
      </c>
      <c r="F97" s="7"/>
      <c r="G97" s="6" t="str">
        <f>IF(F97="","",IF(ISNUMBER(SEARCH(",",F97)),"Several items (the script lists them)",IFERROR(INDEX('Dashboard Items'!$B$2:$B$497,MATCH(F97,'Dashboard Items'!$A$2:$A$497,0))&amp;": "&amp;INDEX('Dashboard Items'!$C$2:$C$497,MATCH(F97,'Dashboard Items'!$A$2:$A$497,0)),"ID not found")))</f>
        <v/>
      </c>
      <c r="H97" s="2"/>
      <c r="I97" s="2"/>
      <c r="J97" s="2"/>
      <c r="K97" s="2"/>
      <c r="L97" s="2"/>
      <c r="M97" s="2"/>
      <c r="N97" s="2"/>
      <c r="O97" s="2"/>
      <c r="P97" s="2"/>
      <c r="Q97" s="2"/>
      <c r="R97" s="2"/>
      <c r="S97" s="2"/>
    </row>
    <row r="98" spans="1:19" x14ac:dyDescent="0.2">
      <c r="A98" s="2"/>
      <c r="B98" s="2"/>
      <c r="C98" s="2"/>
      <c r="D98" s="2"/>
      <c r="E98" s="6" t="str">
        <f>IF(D98="","",IFERROR(IF(INDEX('Dashboard Items'!$B$2:$B$497,MATCH(D98,'Dashboard Items'!$A$2:$A$497,0))="Objective","Objectives go in the next column",IF(OR(C98="",INDEX('Dashboard Items'!$B$2:$B$497,MATCH(D98,'Dashboard Items'!$A$2:$A$497,0))=C98),INDEX('Dashboard Items'!$C$2:$C$497,MATCH(D98,'Dashboard Items'!$A$2:$A$497,0)),"Level does not match ID")),"ID not found"))</f>
        <v/>
      </c>
      <c r="F98" s="7"/>
      <c r="G98" s="6" t="str">
        <f>IF(F98="","",IF(ISNUMBER(SEARCH(",",F98)),"Several items (the script lists them)",IFERROR(INDEX('Dashboard Items'!$B$2:$B$497,MATCH(F98,'Dashboard Items'!$A$2:$A$497,0))&amp;": "&amp;INDEX('Dashboard Items'!$C$2:$C$497,MATCH(F98,'Dashboard Items'!$A$2:$A$497,0)),"ID not found")))</f>
        <v/>
      </c>
      <c r="H98" s="2"/>
      <c r="I98" s="2"/>
      <c r="J98" s="2"/>
      <c r="K98" s="2"/>
      <c r="L98" s="2"/>
      <c r="M98" s="2"/>
      <c r="N98" s="2"/>
      <c r="O98" s="2"/>
      <c r="P98" s="2"/>
      <c r="Q98" s="2"/>
      <c r="R98" s="2"/>
      <c r="S98" s="2"/>
    </row>
    <row r="99" spans="1:19" x14ac:dyDescent="0.2">
      <c r="A99" s="2"/>
      <c r="B99" s="2"/>
      <c r="C99" s="2"/>
      <c r="D99" s="2"/>
      <c r="E99" s="6" t="str">
        <f>IF(D99="","",IFERROR(IF(INDEX('Dashboard Items'!$B$2:$B$497,MATCH(D99,'Dashboard Items'!$A$2:$A$497,0))="Objective","Objectives go in the next column",IF(OR(C99="",INDEX('Dashboard Items'!$B$2:$B$497,MATCH(D99,'Dashboard Items'!$A$2:$A$497,0))=C99),INDEX('Dashboard Items'!$C$2:$C$497,MATCH(D99,'Dashboard Items'!$A$2:$A$497,0)),"Level does not match ID")),"ID not found"))</f>
        <v/>
      </c>
      <c r="F99" s="7"/>
      <c r="G99" s="6" t="str">
        <f>IF(F99="","",IF(ISNUMBER(SEARCH(",",F99)),"Several items (the script lists them)",IFERROR(INDEX('Dashboard Items'!$B$2:$B$497,MATCH(F99,'Dashboard Items'!$A$2:$A$497,0))&amp;": "&amp;INDEX('Dashboard Items'!$C$2:$C$497,MATCH(F99,'Dashboard Items'!$A$2:$A$497,0)),"ID not found")))</f>
        <v/>
      </c>
      <c r="H99" s="2"/>
      <c r="I99" s="2"/>
      <c r="J99" s="2"/>
      <c r="K99" s="2"/>
      <c r="L99" s="2"/>
      <c r="M99" s="2"/>
      <c r="N99" s="2"/>
      <c r="O99" s="2"/>
      <c r="P99" s="2"/>
      <c r="Q99" s="2"/>
      <c r="R99" s="2"/>
      <c r="S99" s="2"/>
    </row>
    <row r="100" spans="1:19" x14ac:dyDescent="0.2">
      <c r="A100" s="2"/>
      <c r="B100" s="2"/>
      <c r="C100" s="2"/>
      <c r="D100" s="2"/>
      <c r="E100" s="6" t="str">
        <f>IF(D100="","",IFERROR(IF(INDEX('Dashboard Items'!$B$2:$B$497,MATCH(D100,'Dashboard Items'!$A$2:$A$497,0))="Objective","Objectives go in the next column",IF(OR(C100="",INDEX('Dashboard Items'!$B$2:$B$497,MATCH(D100,'Dashboard Items'!$A$2:$A$497,0))=C100),INDEX('Dashboard Items'!$C$2:$C$497,MATCH(D100,'Dashboard Items'!$A$2:$A$497,0)),"Level does not match ID")),"ID not found"))</f>
        <v/>
      </c>
      <c r="F100" s="7"/>
      <c r="G100" s="6" t="str">
        <f>IF(F100="","",IF(ISNUMBER(SEARCH(",",F100)),"Several items (the script lists them)",IFERROR(INDEX('Dashboard Items'!$B$2:$B$497,MATCH(F100,'Dashboard Items'!$A$2:$A$497,0))&amp;": "&amp;INDEX('Dashboard Items'!$C$2:$C$497,MATCH(F100,'Dashboard Items'!$A$2:$A$497,0)),"ID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Items'!$B$2:$B$497,MATCH(D101,'Dashboard Items'!$A$2:$A$497,0))="Objective","Objectives go in the next column",IF(OR(C101="",INDEX('Dashboard Items'!$B$2:$B$497,MATCH(D101,'Dashboard Items'!$A$2:$A$497,0))=C101),INDEX('Dashboard Items'!$C$2:$C$497,MATCH(D101,'Dashboard Items'!$A$2:$A$497,0)),"Level does not match ID")),"ID not found"))</f>
        <v/>
      </c>
      <c r="F101" s="7"/>
      <c r="G101" s="6" t="str">
        <f>IF(F101="","",IF(ISNUMBER(SEARCH(",",F101)),"Several items (the script lists them)",IFERROR(INDEX('Dashboard Items'!$B$2:$B$497,MATCH(F101,'Dashboard Items'!$A$2:$A$497,0))&amp;": "&amp;INDEX('Dashboard Items'!$C$2:$C$497,MATCH(F101,'Dashboard Items'!$A$2:$A$497,0)),"ID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Items'!$B$2:$B$497,MATCH(D102,'Dashboard Items'!$A$2:$A$497,0))="Objective","Objectives go in the next column",IF(OR(C102="",INDEX('Dashboard Items'!$B$2:$B$497,MATCH(D102,'Dashboard Items'!$A$2:$A$497,0))=C102),INDEX('Dashboard Items'!$C$2:$C$497,MATCH(D102,'Dashboard Items'!$A$2:$A$497,0)),"Level does not match ID")),"ID not found"))</f>
        <v/>
      </c>
      <c r="F102" s="7"/>
      <c r="G102" s="6" t="str">
        <f>IF(F102="","",IF(ISNUMBER(SEARCH(",",F102)),"Several items (the script lists them)",IFERROR(INDEX('Dashboard Items'!$B$2:$B$497,MATCH(F102,'Dashboard Items'!$A$2:$A$497,0))&amp;": "&amp;INDEX('Dashboard Items'!$C$2:$C$497,MATCH(F102,'Dashboard Items'!$A$2:$A$497,0)),"ID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Items'!$B$2:$B$497,MATCH(D103,'Dashboard Items'!$A$2:$A$497,0))="Objective","Objectives go in the next column",IF(OR(C103="",INDEX('Dashboard Items'!$B$2:$B$497,MATCH(D103,'Dashboard Items'!$A$2:$A$497,0))=C103),INDEX('Dashboard Items'!$C$2:$C$497,MATCH(D103,'Dashboard Items'!$A$2:$A$497,0)),"Level does not match ID")),"ID not found"))</f>
        <v/>
      </c>
      <c r="F103" s="7"/>
      <c r="G103" s="6" t="str">
        <f>IF(F103="","",IF(ISNUMBER(SEARCH(",",F103)),"Several items (the script lists them)",IFERROR(INDEX('Dashboard Items'!$B$2:$B$497,MATCH(F103,'Dashboard Items'!$A$2:$A$497,0))&amp;": "&amp;INDEX('Dashboard Items'!$C$2:$C$497,MATCH(F103,'Dashboard Items'!$A$2:$A$497,0)),"ID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Items'!$B$2:$B$497,MATCH(D104,'Dashboard Items'!$A$2:$A$497,0))="Objective","Objectives go in the next column",IF(OR(C104="",INDEX('Dashboard Items'!$B$2:$B$497,MATCH(D104,'Dashboard Items'!$A$2:$A$497,0))=C104),INDEX('Dashboard Items'!$C$2:$C$497,MATCH(D104,'Dashboard Items'!$A$2:$A$497,0)),"Level does not match ID")),"ID not found"))</f>
        <v/>
      </c>
      <c r="F104" s="7"/>
      <c r="G104" s="6" t="str">
        <f>IF(F104="","",IF(ISNUMBER(SEARCH(",",F104)),"Several items (the script lists them)",IFERROR(INDEX('Dashboard Items'!$B$2:$B$497,MATCH(F104,'Dashboard Items'!$A$2:$A$497,0))&amp;": "&amp;INDEX('Dashboard Items'!$C$2:$C$497,MATCH(F104,'Dashboard Items'!$A$2:$A$497,0)),"ID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Items'!$B$2:$B$497,MATCH(D105,'Dashboard Items'!$A$2:$A$497,0))="Objective","Objectives go in the next column",IF(OR(C105="",INDEX('Dashboard Items'!$B$2:$B$497,MATCH(D105,'Dashboard Items'!$A$2:$A$497,0))=C105),INDEX('Dashboard Items'!$C$2:$C$497,MATCH(D105,'Dashboard Items'!$A$2:$A$497,0)),"Level does not match ID")),"ID not found"))</f>
        <v/>
      </c>
      <c r="F105" s="7"/>
      <c r="G105" s="6" t="str">
        <f>IF(F105="","",IF(ISNUMBER(SEARCH(",",F105)),"Several items (the script lists them)",IFERROR(INDEX('Dashboard Items'!$B$2:$B$497,MATCH(F105,'Dashboard Items'!$A$2:$A$497,0))&amp;": "&amp;INDEX('Dashboard Items'!$C$2:$C$497,MATCH(F105,'Dashboard Items'!$A$2:$A$497,0)),"ID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Items'!$B$2:$B$497,MATCH(D106,'Dashboard Items'!$A$2:$A$497,0))="Objective","Objectives go in the next column",IF(OR(C106="",INDEX('Dashboard Items'!$B$2:$B$497,MATCH(D106,'Dashboard Items'!$A$2:$A$497,0))=C106),INDEX('Dashboard Items'!$C$2:$C$497,MATCH(D106,'Dashboard Items'!$A$2:$A$497,0)),"Level does not match ID")),"ID not found"))</f>
        <v/>
      </c>
      <c r="F106" s="7"/>
      <c r="G106" s="6" t="str">
        <f>IF(F106="","",IF(ISNUMBER(SEARCH(",",F106)),"Several items (the script lists them)",IFERROR(INDEX('Dashboard Items'!$B$2:$B$497,MATCH(F106,'Dashboard Items'!$A$2:$A$497,0))&amp;": "&amp;INDEX('Dashboard Items'!$C$2:$C$497,MATCH(F106,'Dashboard Items'!$A$2:$A$497,0)),"ID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Items'!$B$2:$B$497,MATCH(D107,'Dashboard Items'!$A$2:$A$497,0))="Objective","Objectives go in the next column",IF(OR(C107="",INDEX('Dashboard Items'!$B$2:$B$497,MATCH(D107,'Dashboard Items'!$A$2:$A$497,0))=C107),INDEX('Dashboard Items'!$C$2:$C$497,MATCH(D107,'Dashboard Items'!$A$2:$A$497,0)),"Level does not match ID")),"ID not found"))</f>
        <v/>
      </c>
      <c r="F107" s="7"/>
      <c r="G107" s="6" t="str">
        <f>IF(F107="","",IF(ISNUMBER(SEARCH(",",F107)),"Several items (the script lists them)",IFERROR(INDEX('Dashboard Items'!$B$2:$B$497,MATCH(F107,'Dashboard Items'!$A$2:$A$497,0))&amp;": "&amp;INDEX('Dashboard Items'!$C$2:$C$497,MATCH(F107,'Dashboard Items'!$A$2:$A$497,0)),"ID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Items'!$B$2:$B$497,MATCH(D108,'Dashboard Items'!$A$2:$A$497,0))="Objective","Objectives go in the next column",IF(OR(C108="",INDEX('Dashboard Items'!$B$2:$B$497,MATCH(D108,'Dashboard Items'!$A$2:$A$497,0))=C108),INDEX('Dashboard Items'!$C$2:$C$497,MATCH(D108,'Dashboard Items'!$A$2:$A$497,0)),"Level does not match ID")),"ID not found"))</f>
        <v/>
      </c>
      <c r="F108" s="7"/>
      <c r="G108" s="6" t="str">
        <f>IF(F108="","",IF(ISNUMBER(SEARCH(",",F108)),"Several items (the script lists them)",IFERROR(INDEX('Dashboard Items'!$B$2:$B$497,MATCH(F108,'Dashboard Items'!$A$2:$A$497,0))&amp;": "&amp;INDEX('Dashboard Items'!$C$2:$C$497,MATCH(F108,'Dashboard Items'!$A$2:$A$497,0)),"ID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Items'!$B$2:$B$497,MATCH(D109,'Dashboard Items'!$A$2:$A$497,0))="Objective","Objectives go in the next column",IF(OR(C109="",INDEX('Dashboard Items'!$B$2:$B$497,MATCH(D109,'Dashboard Items'!$A$2:$A$497,0))=C109),INDEX('Dashboard Items'!$C$2:$C$497,MATCH(D109,'Dashboard Items'!$A$2:$A$497,0)),"Level does not match ID")),"ID not found"))</f>
        <v/>
      </c>
      <c r="F109" s="7"/>
      <c r="G109" s="6" t="str">
        <f>IF(F109="","",IF(ISNUMBER(SEARCH(",",F109)),"Several items (the script lists them)",IFERROR(INDEX('Dashboard Items'!$B$2:$B$497,MATCH(F109,'Dashboard Items'!$A$2:$A$497,0))&amp;": "&amp;INDEX('Dashboard Items'!$C$2:$C$497,MATCH(F109,'Dashboard Items'!$A$2:$A$497,0)),"ID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Items'!$B$2:$B$497,MATCH(D110,'Dashboard Items'!$A$2:$A$497,0))="Objective","Objectives go in the next column",IF(OR(C110="",INDEX('Dashboard Items'!$B$2:$B$497,MATCH(D110,'Dashboard Items'!$A$2:$A$497,0))=C110),INDEX('Dashboard Items'!$C$2:$C$497,MATCH(D110,'Dashboard Items'!$A$2:$A$497,0)),"Level does not match ID")),"ID not found"))</f>
        <v/>
      </c>
      <c r="F110" s="7"/>
      <c r="G110" s="6" t="str">
        <f>IF(F110="","",IF(ISNUMBER(SEARCH(",",F110)),"Several items (the script lists them)",IFERROR(INDEX('Dashboard Items'!$B$2:$B$497,MATCH(F110,'Dashboard Items'!$A$2:$A$497,0))&amp;": "&amp;INDEX('Dashboard Items'!$C$2:$C$497,MATCH(F110,'Dashboard Items'!$A$2:$A$497,0)),"ID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Items'!$B$2:$B$497,MATCH(D111,'Dashboard Items'!$A$2:$A$497,0))="Objective","Objectives go in the next column",IF(OR(C111="",INDEX('Dashboard Items'!$B$2:$B$497,MATCH(D111,'Dashboard Items'!$A$2:$A$497,0))=C111),INDEX('Dashboard Items'!$C$2:$C$497,MATCH(D111,'Dashboard Items'!$A$2:$A$497,0)),"Level does not match ID")),"ID not found"))</f>
        <v/>
      </c>
      <c r="F111" s="7"/>
      <c r="G111" s="6" t="str">
        <f>IF(F111="","",IF(ISNUMBER(SEARCH(",",F111)),"Several items (the script lists them)",IFERROR(INDEX('Dashboard Items'!$B$2:$B$497,MATCH(F111,'Dashboard Items'!$A$2:$A$497,0))&amp;": "&amp;INDEX('Dashboard Items'!$C$2:$C$497,MATCH(F111,'Dashboard Items'!$A$2:$A$497,0)),"ID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Items'!$B$2:$B$497,MATCH(D112,'Dashboard Items'!$A$2:$A$497,0))="Objective","Objectives go in the next column",IF(OR(C112="",INDEX('Dashboard Items'!$B$2:$B$497,MATCH(D112,'Dashboard Items'!$A$2:$A$497,0))=C112),INDEX('Dashboard Items'!$C$2:$C$497,MATCH(D112,'Dashboard Items'!$A$2:$A$497,0)),"Level does not match ID")),"ID not found"))</f>
        <v/>
      </c>
      <c r="F112" s="7"/>
      <c r="G112" s="6" t="str">
        <f>IF(F112="","",IF(ISNUMBER(SEARCH(",",F112)),"Several items (the script lists them)",IFERROR(INDEX('Dashboard Items'!$B$2:$B$497,MATCH(F112,'Dashboard Items'!$A$2:$A$497,0))&amp;": "&amp;INDEX('Dashboard Items'!$C$2:$C$497,MATCH(F112,'Dashboard Items'!$A$2:$A$497,0)),"ID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Items'!$B$2:$B$497,MATCH(D113,'Dashboard Items'!$A$2:$A$497,0))="Objective","Objectives go in the next column",IF(OR(C113="",INDEX('Dashboard Items'!$B$2:$B$497,MATCH(D113,'Dashboard Items'!$A$2:$A$497,0))=C113),INDEX('Dashboard Items'!$C$2:$C$497,MATCH(D113,'Dashboard Items'!$A$2:$A$497,0)),"Level does not match ID")),"ID not found"))</f>
        <v/>
      </c>
      <c r="F113" s="7"/>
      <c r="G113" s="6" t="str">
        <f>IF(F113="","",IF(ISNUMBER(SEARCH(",",F113)),"Several items (the script lists them)",IFERROR(INDEX('Dashboard Items'!$B$2:$B$497,MATCH(F113,'Dashboard Items'!$A$2:$A$497,0))&amp;": "&amp;INDEX('Dashboard Items'!$C$2:$C$497,MATCH(F113,'Dashboard Items'!$A$2:$A$497,0)),"ID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Items'!$B$2:$B$497,MATCH(D114,'Dashboard Items'!$A$2:$A$497,0))="Objective","Objectives go in the next column",IF(OR(C114="",INDEX('Dashboard Items'!$B$2:$B$497,MATCH(D114,'Dashboard Items'!$A$2:$A$497,0))=C114),INDEX('Dashboard Items'!$C$2:$C$497,MATCH(D114,'Dashboard Items'!$A$2:$A$497,0)),"Level does not match ID")),"ID not found"))</f>
        <v/>
      </c>
      <c r="F114" s="7"/>
      <c r="G114" s="6" t="str">
        <f>IF(F114="","",IF(ISNUMBER(SEARCH(",",F114)),"Several items (the script lists them)",IFERROR(INDEX('Dashboard Items'!$B$2:$B$497,MATCH(F114,'Dashboard Items'!$A$2:$A$497,0))&amp;": "&amp;INDEX('Dashboard Items'!$C$2:$C$497,MATCH(F114,'Dashboard Items'!$A$2:$A$497,0)),"ID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Items'!$B$2:$B$497,MATCH(D115,'Dashboard Items'!$A$2:$A$497,0))="Objective","Objectives go in the next column",IF(OR(C115="",INDEX('Dashboard Items'!$B$2:$B$497,MATCH(D115,'Dashboard Items'!$A$2:$A$497,0))=C115),INDEX('Dashboard Items'!$C$2:$C$497,MATCH(D115,'Dashboard Items'!$A$2:$A$497,0)),"Level does not match ID")),"ID not found"))</f>
        <v/>
      </c>
      <c r="F115" s="7"/>
      <c r="G115" s="6" t="str">
        <f>IF(F115="","",IF(ISNUMBER(SEARCH(",",F115)),"Several items (the script lists them)",IFERROR(INDEX('Dashboard Items'!$B$2:$B$497,MATCH(F115,'Dashboard Items'!$A$2:$A$497,0))&amp;": "&amp;INDEX('Dashboard Items'!$C$2:$C$497,MATCH(F115,'Dashboard Items'!$A$2:$A$497,0)),"ID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Items'!$B$2:$B$497,MATCH(D116,'Dashboard Items'!$A$2:$A$497,0))="Objective","Objectives go in the next column",IF(OR(C116="",INDEX('Dashboard Items'!$B$2:$B$497,MATCH(D116,'Dashboard Items'!$A$2:$A$497,0))=C116),INDEX('Dashboard Items'!$C$2:$C$497,MATCH(D116,'Dashboard Items'!$A$2:$A$497,0)),"Level does not match ID")),"ID not found"))</f>
        <v/>
      </c>
      <c r="F116" s="7"/>
      <c r="G116" s="6" t="str">
        <f>IF(F116="","",IF(ISNUMBER(SEARCH(",",F116)),"Several items (the script lists them)",IFERROR(INDEX('Dashboard Items'!$B$2:$B$497,MATCH(F116,'Dashboard Items'!$A$2:$A$497,0))&amp;": "&amp;INDEX('Dashboard Items'!$C$2:$C$497,MATCH(F116,'Dashboard Items'!$A$2:$A$497,0)),"ID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Items'!$B$2:$B$497,MATCH(D117,'Dashboard Items'!$A$2:$A$497,0))="Objective","Objectives go in the next column",IF(OR(C117="",INDEX('Dashboard Items'!$B$2:$B$497,MATCH(D117,'Dashboard Items'!$A$2:$A$497,0))=C117),INDEX('Dashboard Items'!$C$2:$C$497,MATCH(D117,'Dashboard Items'!$A$2:$A$497,0)),"Level does not match ID")),"ID not found"))</f>
        <v/>
      </c>
      <c r="F117" s="7"/>
      <c r="G117" s="6" t="str">
        <f>IF(F117="","",IF(ISNUMBER(SEARCH(",",F117)),"Several items (the script lists them)",IFERROR(INDEX('Dashboard Items'!$B$2:$B$497,MATCH(F117,'Dashboard Items'!$A$2:$A$497,0))&amp;": "&amp;INDEX('Dashboard Items'!$C$2:$C$497,MATCH(F117,'Dashboard Items'!$A$2:$A$497,0)),"ID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Items'!$B$2:$B$497,MATCH(D118,'Dashboard Items'!$A$2:$A$497,0))="Objective","Objectives go in the next column",IF(OR(C118="",INDEX('Dashboard Items'!$B$2:$B$497,MATCH(D118,'Dashboard Items'!$A$2:$A$497,0))=C118),INDEX('Dashboard Items'!$C$2:$C$497,MATCH(D118,'Dashboard Items'!$A$2:$A$497,0)),"Level does not match ID")),"ID not found"))</f>
        <v/>
      </c>
      <c r="F118" s="7"/>
      <c r="G118" s="6" t="str">
        <f>IF(F118="","",IF(ISNUMBER(SEARCH(",",F118)),"Several items (the script lists them)",IFERROR(INDEX('Dashboard Items'!$B$2:$B$497,MATCH(F118,'Dashboard Items'!$A$2:$A$497,0))&amp;": "&amp;INDEX('Dashboard Items'!$C$2:$C$497,MATCH(F118,'Dashboard Items'!$A$2:$A$497,0)),"ID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Items'!$B$2:$B$497,MATCH(D119,'Dashboard Items'!$A$2:$A$497,0))="Objective","Objectives go in the next column",IF(OR(C119="",INDEX('Dashboard Items'!$B$2:$B$497,MATCH(D119,'Dashboard Items'!$A$2:$A$497,0))=C119),INDEX('Dashboard Items'!$C$2:$C$497,MATCH(D119,'Dashboard Items'!$A$2:$A$497,0)),"Level does not match ID")),"ID not found"))</f>
        <v/>
      </c>
      <c r="F119" s="7"/>
      <c r="G119" s="6" t="str">
        <f>IF(F119="","",IF(ISNUMBER(SEARCH(",",F119)),"Several items (the script lists them)",IFERROR(INDEX('Dashboard Items'!$B$2:$B$497,MATCH(F119,'Dashboard Items'!$A$2:$A$497,0))&amp;": "&amp;INDEX('Dashboard Items'!$C$2:$C$497,MATCH(F119,'Dashboard Items'!$A$2:$A$497,0)),"ID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Items'!$B$2:$B$497,MATCH(D120,'Dashboard Items'!$A$2:$A$497,0))="Objective","Objectives go in the next column",IF(OR(C120="",INDEX('Dashboard Items'!$B$2:$B$497,MATCH(D120,'Dashboard Items'!$A$2:$A$497,0))=C120),INDEX('Dashboard Items'!$C$2:$C$497,MATCH(D120,'Dashboard Items'!$A$2:$A$497,0)),"Level does not match ID")),"ID not found"))</f>
        <v/>
      </c>
      <c r="F120" s="7"/>
      <c r="G120" s="6" t="str">
        <f>IF(F120="","",IF(ISNUMBER(SEARCH(",",F120)),"Several items (the script lists them)",IFERROR(INDEX('Dashboard Items'!$B$2:$B$497,MATCH(F120,'Dashboard Items'!$A$2:$A$497,0))&amp;": "&amp;INDEX('Dashboard Items'!$C$2:$C$497,MATCH(F120,'Dashboard Items'!$A$2:$A$497,0)),"ID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Items'!$B$2:$B$497,MATCH(D121,'Dashboard Items'!$A$2:$A$497,0))="Objective","Objectives go in the next column",IF(OR(C121="",INDEX('Dashboard Items'!$B$2:$B$497,MATCH(D121,'Dashboard Items'!$A$2:$A$497,0))=C121),INDEX('Dashboard Items'!$C$2:$C$497,MATCH(D121,'Dashboard Items'!$A$2:$A$497,0)),"Level does not match ID")),"ID not found"))</f>
        <v/>
      </c>
      <c r="F121" s="7"/>
      <c r="G121" s="6" t="str">
        <f>IF(F121="","",IF(ISNUMBER(SEARCH(",",F121)),"Several items (the script lists them)",IFERROR(INDEX('Dashboard Items'!$B$2:$B$497,MATCH(F121,'Dashboard Items'!$A$2:$A$497,0))&amp;": "&amp;INDEX('Dashboard Items'!$C$2:$C$497,MATCH(F121,'Dashboard Items'!$A$2:$A$497,0)),"ID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Items'!$B$2:$B$497,MATCH(D122,'Dashboard Items'!$A$2:$A$497,0))="Objective","Objectives go in the next column",IF(OR(C122="",INDEX('Dashboard Items'!$B$2:$B$497,MATCH(D122,'Dashboard Items'!$A$2:$A$497,0))=C122),INDEX('Dashboard Items'!$C$2:$C$497,MATCH(D122,'Dashboard Items'!$A$2:$A$497,0)),"Level does not match ID")),"ID not found"))</f>
        <v/>
      </c>
      <c r="F122" s="7"/>
      <c r="G122" s="6" t="str">
        <f>IF(F122="","",IF(ISNUMBER(SEARCH(",",F122)),"Several items (the script lists them)",IFERROR(INDEX('Dashboard Items'!$B$2:$B$497,MATCH(F122,'Dashboard Items'!$A$2:$A$497,0))&amp;": "&amp;INDEX('Dashboard Items'!$C$2:$C$497,MATCH(F122,'Dashboard Items'!$A$2:$A$497,0)),"ID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Items'!$B$2:$B$497,MATCH(D123,'Dashboard Items'!$A$2:$A$497,0))="Objective","Objectives go in the next column",IF(OR(C123="",INDEX('Dashboard Items'!$B$2:$B$497,MATCH(D123,'Dashboard Items'!$A$2:$A$497,0))=C123),INDEX('Dashboard Items'!$C$2:$C$497,MATCH(D123,'Dashboard Items'!$A$2:$A$497,0)),"Level does not match ID")),"ID not found"))</f>
        <v/>
      </c>
      <c r="F123" s="7"/>
      <c r="G123" s="6" t="str">
        <f>IF(F123="","",IF(ISNUMBER(SEARCH(",",F123)),"Several items (the script lists them)",IFERROR(INDEX('Dashboard Items'!$B$2:$B$497,MATCH(F123,'Dashboard Items'!$A$2:$A$497,0))&amp;": "&amp;INDEX('Dashboard Items'!$C$2:$C$497,MATCH(F123,'Dashboard Items'!$A$2:$A$497,0)),"ID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Items'!$B$2:$B$497,MATCH(D124,'Dashboard Items'!$A$2:$A$497,0))="Objective","Objectives go in the next column",IF(OR(C124="",INDEX('Dashboard Items'!$B$2:$B$497,MATCH(D124,'Dashboard Items'!$A$2:$A$497,0))=C124),INDEX('Dashboard Items'!$C$2:$C$497,MATCH(D124,'Dashboard Items'!$A$2:$A$497,0)),"Level does not match ID")),"ID not found"))</f>
        <v/>
      </c>
      <c r="F124" s="7"/>
      <c r="G124" s="6" t="str">
        <f>IF(F124="","",IF(ISNUMBER(SEARCH(",",F124)),"Several items (the script lists them)",IFERROR(INDEX('Dashboard Items'!$B$2:$B$497,MATCH(F124,'Dashboard Items'!$A$2:$A$497,0))&amp;": "&amp;INDEX('Dashboard Items'!$C$2:$C$497,MATCH(F124,'Dashboard Items'!$A$2:$A$497,0)),"ID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Items'!$B$2:$B$497,MATCH(D125,'Dashboard Items'!$A$2:$A$497,0))="Objective","Objectives go in the next column",IF(OR(C125="",INDEX('Dashboard Items'!$B$2:$B$497,MATCH(D125,'Dashboard Items'!$A$2:$A$497,0))=C125),INDEX('Dashboard Items'!$C$2:$C$497,MATCH(D125,'Dashboard Items'!$A$2:$A$497,0)),"Level does not match ID")),"ID not found"))</f>
        <v/>
      </c>
      <c r="F125" s="7"/>
      <c r="G125" s="6" t="str">
        <f>IF(F125="","",IF(ISNUMBER(SEARCH(",",F125)),"Several items (the script lists them)",IFERROR(INDEX('Dashboard Items'!$B$2:$B$497,MATCH(F125,'Dashboard Items'!$A$2:$A$497,0))&amp;": "&amp;INDEX('Dashboard Items'!$C$2:$C$497,MATCH(F125,'Dashboard Items'!$A$2:$A$497,0)),"ID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Items'!$B$2:$B$497,MATCH(D126,'Dashboard Items'!$A$2:$A$497,0))="Objective","Objectives go in the next column",IF(OR(C126="",INDEX('Dashboard Items'!$B$2:$B$497,MATCH(D126,'Dashboard Items'!$A$2:$A$497,0))=C126),INDEX('Dashboard Items'!$C$2:$C$497,MATCH(D126,'Dashboard Items'!$A$2:$A$497,0)),"Level does not match ID")),"ID not found"))</f>
        <v/>
      </c>
      <c r="F126" s="7"/>
      <c r="G126" s="6" t="str">
        <f>IF(F126="","",IF(ISNUMBER(SEARCH(",",F126)),"Several items (the script lists them)",IFERROR(INDEX('Dashboard Items'!$B$2:$B$497,MATCH(F126,'Dashboard Items'!$A$2:$A$497,0))&amp;": "&amp;INDEX('Dashboard Items'!$C$2:$C$497,MATCH(F126,'Dashboard Items'!$A$2:$A$497,0)),"ID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Items'!$B$2:$B$497,MATCH(D127,'Dashboard Items'!$A$2:$A$497,0))="Objective","Objectives go in the next column",IF(OR(C127="",INDEX('Dashboard Items'!$B$2:$B$497,MATCH(D127,'Dashboard Items'!$A$2:$A$497,0))=C127),INDEX('Dashboard Items'!$C$2:$C$497,MATCH(D127,'Dashboard Items'!$A$2:$A$497,0)),"Level does not match ID")),"ID not found"))</f>
        <v/>
      </c>
      <c r="F127" s="7"/>
      <c r="G127" s="6" t="str">
        <f>IF(F127="","",IF(ISNUMBER(SEARCH(",",F127)),"Several items (the script lists them)",IFERROR(INDEX('Dashboard Items'!$B$2:$B$497,MATCH(F127,'Dashboard Items'!$A$2:$A$497,0))&amp;": "&amp;INDEX('Dashboard Items'!$C$2:$C$497,MATCH(F127,'Dashboard Items'!$A$2:$A$497,0)),"ID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Items'!$B$2:$B$497,MATCH(D128,'Dashboard Items'!$A$2:$A$497,0))="Objective","Objectives go in the next column",IF(OR(C128="",INDEX('Dashboard Items'!$B$2:$B$497,MATCH(D128,'Dashboard Items'!$A$2:$A$497,0))=C128),INDEX('Dashboard Items'!$C$2:$C$497,MATCH(D128,'Dashboard Items'!$A$2:$A$497,0)),"Level does not match ID")),"ID not found"))</f>
        <v/>
      </c>
      <c r="F128" s="7"/>
      <c r="G128" s="6" t="str">
        <f>IF(F128="","",IF(ISNUMBER(SEARCH(",",F128)),"Several items (the script lists them)",IFERROR(INDEX('Dashboard Items'!$B$2:$B$497,MATCH(F128,'Dashboard Items'!$A$2:$A$497,0))&amp;": "&amp;INDEX('Dashboard Items'!$C$2:$C$497,MATCH(F128,'Dashboard Items'!$A$2:$A$497,0)),"ID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Items'!$B$2:$B$497,MATCH(D129,'Dashboard Items'!$A$2:$A$497,0))="Objective","Objectives go in the next column",IF(OR(C129="",INDEX('Dashboard Items'!$B$2:$B$497,MATCH(D129,'Dashboard Items'!$A$2:$A$497,0))=C129),INDEX('Dashboard Items'!$C$2:$C$497,MATCH(D129,'Dashboard Items'!$A$2:$A$497,0)),"Level does not match ID")),"ID not found"))</f>
        <v/>
      </c>
      <c r="F129" s="7"/>
      <c r="G129" s="6" t="str">
        <f>IF(F129="","",IF(ISNUMBER(SEARCH(",",F129)),"Several items (the script lists them)",IFERROR(INDEX('Dashboard Items'!$B$2:$B$497,MATCH(F129,'Dashboard Items'!$A$2:$A$497,0))&amp;": "&amp;INDEX('Dashboard Items'!$C$2:$C$497,MATCH(F129,'Dashboard Items'!$A$2:$A$497,0)),"ID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Items'!$B$2:$B$497,MATCH(D130,'Dashboard Items'!$A$2:$A$497,0))="Objective","Objectives go in the next column",IF(OR(C130="",INDEX('Dashboard Items'!$B$2:$B$497,MATCH(D130,'Dashboard Items'!$A$2:$A$497,0))=C130),INDEX('Dashboard Items'!$C$2:$C$497,MATCH(D130,'Dashboard Items'!$A$2:$A$497,0)),"Level does not match ID")),"ID not found"))</f>
        <v/>
      </c>
      <c r="F130" s="7"/>
      <c r="G130" s="6" t="str">
        <f>IF(F130="","",IF(ISNUMBER(SEARCH(",",F130)),"Several items (the script lists them)",IFERROR(INDEX('Dashboard Items'!$B$2:$B$497,MATCH(F130,'Dashboard Items'!$A$2:$A$497,0))&amp;": "&amp;INDEX('Dashboard Items'!$C$2:$C$497,MATCH(F130,'Dashboard Items'!$A$2:$A$497,0)),"ID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Items'!$B$2:$B$497,MATCH(D131,'Dashboard Items'!$A$2:$A$497,0))="Objective","Objectives go in the next column",IF(OR(C131="",INDEX('Dashboard Items'!$B$2:$B$497,MATCH(D131,'Dashboard Items'!$A$2:$A$497,0))=C131),INDEX('Dashboard Items'!$C$2:$C$497,MATCH(D131,'Dashboard Items'!$A$2:$A$497,0)),"Level does not match ID")),"ID not found"))</f>
        <v/>
      </c>
      <c r="F131" s="7"/>
      <c r="G131" s="6" t="str">
        <f>IF(F131="","",IF(ISNUMBER(SEARCH(",",F131)),"Several items (the script lists them)",IFERROR(INDEX('Dashboard Items'!$B$2:$B$497,MATCH(F131,'Dashboard Items'!$A$2:$A$497,0))&amp;": "&amp;INDEX('Dashboard Items'!$C$2:$C$497,MATCH(F131,'Dashboard Items'!$A$2:$A$497,0)),"ID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Items'!$B$2:$B$497,MATCH(D132,'Dashboard Items'!$A$2:$A$497,0))="Objective","Objectives go in the next column",IF(OR(C132="",INDEX('Dashboard Items'!$B$2:$B$497,MATCH(D132,'Dashboard Items'!$A$2:$A$497,0))=C132),INDEX('Dashboard Items'!$C$2:$C$497,MATCH(D132,'Dashboard Items'!$A$2:$A$497,0)),"Level does not match ID")),"ID not found"))</f>
        <v/>
      </c>
      <c r="F132" s="7"/>
      <c r="G132" s="6" t="str">
        <f>IF(F132="","",IF(ISNUMBER(SEARCH(",",F132)),"Several items (the script lists them)",IFERROR(INDEX('Dashboard Items'!$B$2:$B$497,MATCH(F132,'Dashboard Items'!$A$2:$A$497,0))&amp;": "&amp;INDEX('Dashboard Items'!$C$2:$C$497,MATCH(F132,'Dashboard Items'!$A$2:$A$497,0)),"ID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Items'!$B$2:$B$497,MATCH(D133,'Dashboard Items'!$A$2:$A$497,0))="Objective","Objectives go in the next column",IF(OR(C133="",INDEX('Dashboard Items'!$B$2:$B$497,MATCH(D133,'Dashboard Items'!$A$2:$A$497,0))=C133),INDEX('Dashboard Items'!$C$2:$C$497,MATCH(D133,'Dashboard Items'!$A$2:$A$497,0)),"Level does not match ID")),"ID not found"))</f>
        <v/>
      </c>
      <c r="F133" s="7"/>
      <c r="G133" s="6" t="str">
        <f>IF(F133="","",IF(ISNUMBER(SEARCH(",",F133)),"Several items (the script lists them)",IFERROR(INDEX('Dashboard Items'!$B$2:$B$497,MATCH(F133,'Dashboard Items'!$A$2:$A$497,0))&amp;": "&amp;INDEX('Dashboard Items'!$C$2:$C$497,MATCH(F133,'Dashboard Items'!$A$2:$A$497,0)),"ID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Items'!$B$2:$B$497,MATCH(D134,'Dashboard Items'!$A$2:$A$497,0))="Objective","Objectives go in the next column",IF(OR(C134="",INDEX('Dashboard Items'!$B$2:$B$497,MATCH(D134,'Dashboard Items'!$A$2:$A$497,0))=C134),INDEX('Dashboard Items'!$C$2:$C$497,MATCH(D134,'Dashboard Items'!$A$2:$A$497,0)),"Level does not match ID")),"ID not found"))</f>
        <v/>
      </c>
      <c r="F134" s="7"/>
      <c r="G134" s="6" t="str">
        <f>IF(F134="","",IF(ISNUMBER(SEARCH(",",F134)),"Several items (the script lists them)",IFERROR(INDEX('Dashboard Items'!$B$2:$B$497,MATCH(F134,'Dashboard Items'!$A$2:$A$497,0))&amp;": "&amp;INDEX('Dashboard Items'!$C$2:$C$497,MATCH(F134,'Dashboard Items'!$A$2:$A$497,0)),"ID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Items'!$B$2:$B$497,MATCH(D135,'Dashboard Items'!$A$2:$A$497,0))="Objective","Objectives go in the next column",IF(OR(C135="",INDEX('Dashboard Items'!$B$2:$B$497,MATCH(D135,'Dashboard Items'!$A$2:$A$497,0))=C135),INDEX('Dashboard Items'!$C$2:$C$497,MATCH(D135,'Dashboard Items'!$A$2:$A$497,0)),"Level does not match ID")),"ID not found"))</f>
        <v/>
      </c>
      <c r="F135" s="7"/>
      <c r="G135" s="6" t="str">
        <f>IF(F135="","",IF(ISNUMBER(SEARCH(",",F135)),"Several items (the script lists them)",IFERROR(INDEX('Dashboard Items'!$B$2:$B$497,MATCH(F135,'Dashboard Items'!$A$2:$A$497,0))&amp;": "&amp;INDEX('Dashboard Items'!$C$2:$C$497,MATCH(F135,'Dashboard Items'!$A$2:$A$497,0)),"ID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Items'!$B$2:$B$497,MATCH(D136,'Dashboard Items'!$A$2:$A$497,0))="Objective","Objectives go in the next column",IF(OR(C136="",INDEX('Dashboard Items'!$B$2:$B$497,MATCH(D136,'Dashboard Items'!$A$2:$A$497,0))=C136),INDEX('Dashboard Items'!$C$2:$C$497,MATCH(D136,'Dashboard Items'!$A$2:$A$497,0)),"Level does not match ID")),"ID not found"))</f>
        <v/>
      </c>
      <c r="F136" s="7"/>
      <c r="G136" s="6" t="str">
        <f>IF(F136="","",IF(ISNUMBER(SEARCH(",",F136)),"Several items (the script lists them)",IFERROR(INDEX('Dashboard Items'!$B$2:$B$497,MATCH(F136,'Dashboard Items'!$A$2:$A$497,0))&amp;": "&amp;INDEX('Dashboard Items'!$C$2:$C$497,MATCH(F136,'Dashboard Items'!$A$2:$A$497,0)),"ID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Items'!$B$2:$B$497,MATCH(D137,'Dashboard Items'!$A$2:$A$497,0))="Objective","Objectives go in the next column",IF(OR(C137="",INDEX('Dashboard Items'!$B$2:$B$497,MATCH(D137,'Dashboard Items'!$A$2:$A$497,0))=C137),INDEX('Dashboard Items'!$C$2:$C$497,MATCH(D137,'Dashboard Items'!$A$2:$A$497,0)),"Level does not match ID")),"ID not found"))</f>
        <v/>
      </c>
      <c r="F137" s="7"/>
      <c r="G137" s="6" t="str">
        <f>IF(F137="","",IF(ISNUMBER(SEARCH(",",F137)),"Several items (the script lists them)",IFERROR(INDEX('Dashboard Items'!$B$2:$B$497,MATCH(F137,'Dashboard Items'!$A$2:$A$497,0))&amp;": "&amp;INDEX('Dashboard Items'!$C$2:$C$497,MATCH(F137,'Dashboard Items'!$A$2:$A$497,0)),"ID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Items'!$B$2:$B$497,MATCH(D138,'Dashboard Items'!$A$2:$A$497,0))="Objective","Objectives go in the next column",IF(OR(C138="",INDEX('Dashboard Items'!$B$2:$B$497,MATCH(D138,'Dashboard Items'!$A$2:$A$497,0))=C138),INDEX('Dashboard Items'!$C$2:$C$497,MATCH(D138,'Dashboard Items'!$A$2:$A$497,0)),"Level does not match ID")),"ID not found"))</f>
        <v/>
      </c>
      <c r="F138" s="7"/>
      <c r="G138" s="6" t="str">
        <f>IF(F138="","",IF(ISNUMBER(SEARCH(",",F138)),"Several items (the script lists them)",IFERROR(INDEX('Dashboard Items'!$B$2:$B$497,MATCH(F138,'Dashboard Items'!$A$2:$A$497,0))&amp;": "&amp;INDEX('Dashboard Items'!$C$2:$C$497,MATCH(F138,'Dashboard Items'!$A$2:$A$497,0)),"ID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Items'!$B$2:$B$497,MATCH(D139,'Dashboard Items'!$A$2:$A$497,0))="Objective","Objectives go in the next column",IF(OR(C139="",INDEX('Dashboard Items'!$B$2:$B$497,MATCH(D139,'Dashboard Items'!$A$2:$A$497,0))=C139),INDEX('Dashboard Items'!$C$2:$C$497,MATCH(D139,'Dashboard Items'!$A$2:$A$497,0)),"Level does not match ID")),"ID not found"))</f>
        <v/>
      </c>
      <c r="F139" s="7"/>
      <c r="G139" s="6" t="str">
        <f>IF(F139="","",IF(ISNUMBER(SEARCH(",",F139)),"Several items (the script lists them)",IFERROR(INDEX('Dashboard Items'!$B$2:$B$497,MATCH(F139,'Dashboard Items'!$A$2:$A$497,0))&amp;": "&amp;INDEX('Dashboard Items'!$C$2:$C$497,MATCH(F139,'Dashboard Items'!$A$2:$A$497,0)),"ID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Items'!$B$2:$B$497,MATCH(D140,'Dashboard Items'!$A$2:$A$497,0))="Objective","Objectives go in the next column",IF(OR(C140="",INDEX('Dashboard Items'!$B$2:$B$497,MATCH(D140,'Dashboard Items'!$A$2:$A$497,0))=C140),INDEX('Dashboard Items'!$C$2:$C$497,MATCH(D140,'Dashboard Items'!$A$2:$A$497,0)),"Level does not match ID")),"ID not found"))</f>
        <v/>
      </c>
      <c r="F140" s="7"/>
      <c r="G140" s="6" t="str">
        <f>IF(F140="","",IF(ISNUMBER(SEARCH(",",F140)),"Several items (the script lists them)",IFERROR(INDEX('Dashboard Items'!$B$2:$B$497,MATCH(F140,'Dashboard Items'!$A$2:$A$497,0))&amp;": "&amp;INDEX('Dashboard Items'!$C$2:$C$497,MATCH(F140,'Dashboard Items'!$A$2:$A$497,0)),"ID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Items'!$B$2:$B$497,MATCH(D141,'Dashboard Items'!$A$2:$A$497,0))="Objective","Objectives go in the next column",IF(OR(C141="",INDEX('Dashboard Items'!$B$2:$B$497,MATCH(D141,'Dashboard Items'!$A$2:$A$497,0))=C141),INDEX('Dashboard Items'!$C$2:$C$497,MATCH(D141,'Dashboard Items'!$A$2:$A$497,0)),"Level does not match ID")),"ID not found"))</f>
        <v/>
      </c>
      <c r="F141" s="7"/>
      <c r="G141" s="6" t="str">
        <f>IF(F141="","",IF(ISNUMBER(SEARCH(",",F141)),"Several items (the script lists them)",IFERROR(INDEX('Dashboard Items'!$B$2:$B$497,MATCH(F141,'Dashboard Items'!$A$2:$A$497,0))&amp;": "&amp;INDEX('Dashboard Items'!$C$2:$C$497,MATCH(F141,'Dashboard Items'!$A$2:$A$497,0)),"ID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Items'!$B$2:$B$497,MATCH(D142,'Dashboard Items'!$A$2:$A$497,0))="Objective","Objectives go in the next column",IF(OR(C142="",INDEX('Dashboard Items'!$B$2:$B$497,MATCH(D142,'Dashboard Items'!$A$2:$A$497,0))=C142),INDEX('Dashboard Items'!$C$2:$C$497,MATCH(D142,'Dashboard Items'!$A$2:$A$497,0)),"Level does not match ID")),"ID not found"))</f>
        <v/>
      </c>
      <c r="F142" s="7"/>
      <c r="G142" s="6" t="str">
        <f>IF(F142="","",IF(ISNUMBER(SEARCH(",",F142)),"Several items (the script lists them)",IFERROR(INDEX('Dashboard Items'!$B$2:$B$497,MATCH(F142,'Dashboard Items'!$A$2:$A$497,0))&amp;": "&amp;INDEX('Dashboard Items'!$C$2:$C$497,MATCH(F142,'Dashboard Items'!$A$2:$A$497,0)),"ID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Items'!$B$2:$B$497,MATCH(D143,'Dashboard Items'!$A$2:$A$497,0))="Objective","Objectives go in the next column",IF(OR(C143="",INDEX('Dashboard Items'!$B$2:$B$497,MATCH(D143,'Dashboard Items'!$A$2:$A$497,0))=C143),INDEX('Dashboard Items'!$C$2:$C$497,MATCH(D143,'Dashboard Items'!$A$2:$A$497,0)),"Level does not match ID")),"ID not found"))</f>
        <v/>
      </c>
      <c r="F143" s="7"/>
      <c r="G143" s="6" t="str">
        <f>IF(F143="","",IF(ISNUMBER(SEARCH(",",F143)),"Several items (the script lists them)",IFERROR(INDEX('Dashboard Items'!$B$2:$B$497,MATCH(F143,'Dashboard Items'!$A$2:$A$497,0))&amp;": "&amp;INDEX('Dashboard Items'!$C$2:$C$497,MATCH(F143,'Dashboard Items'!$A$2:$A$497,0)),"ID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Items'!$B$2:$B$497,MATCH(D144,'Dashboard Items'!$A$2:$A$497,0))="Objective","Objectives go in the next column",IF(OR(C144="",INDEX('Dashboard Items'!$B$2:$B$497,MATCH(D144,'Dashboard Items'!$A$2:$A$497,0))=C144),INDEX('Dashboard Items'!$C$2:$C$497,MATCH(D144,'Dashboard Items'!$A$2:$A$497,0)),"Level does not match ID")),"ID not found"))</f>
        <v/>
      </c>
      <c r="F144" s="7"/>
      <c r="G144" s="6" t="str">
        <f>IF(F144="","",IF(ISNUMBER(SEARCH(",",F144)),"Several items (the script lists them)",IFERROR(INDEX('Dashboard Items'!$B$2:$B$497,MATCH(F144,'Dashboard Items'!$A$2:$A$497,0))&amp;": "&amp;INDEX('Dashboard Items'!$C$2:$C$497,MATCH(F144,'Dashboard Items'!$A$2:$A$497,0)),"ID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Items'!$B$2:$B$497,MATCH(D145,'Dashboard Items'!$A$2:$A$497,0))="Objective","Objectives go in the next column",IF(OR(C145="",INDEX('Dashboard Items'!$B$2:$B$497,MATCH(D145,'Dashboard Items'!$A$2:$A$497,0))=C145),INDEX('Dashboard Items'!$C$2:$C$497,MATCH(D145,'Dashboard Items'!$A$2:$A$497,0)),"Level does not match ID")),"ID not found"))</f>
        <v/>
      </c>
      <c r="F145" s="7"/>
      <c r="G145" s="6" t="str">
        <f>IF(F145="","",IF(ISNUMBER(SEARCH(",",F145)),"Several items (the script lists them)",IFERROR(INDEX('Dashboard Items'!$B$2:$B$497,MATCH(F145,'Dashboard Items'!$A$2:$A$497,0))&amp;": "&amp;INDEX('Dashboard Items'!$C$2:$C$497,MATCH(F145,'Dashboard Items'!$A$2:$A$497,0)),"ID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Items'!$B$2:$B$497,MATCH(D146,'Dashboard Items'!$A$2:$A$497,0))="Objective","Objectives go in the next column",IF(OR(C146="",INDEX('Dashboard Items'!$B$2:$B$497,MATCH(D146,'Dashboard Items'!$A$2:$A$497,0))=C146),INDEX('Dashboard Items'!$C$2:$C$497,MATCH(D146,'Dashboard Items'!$A$2:$A$497,0)),"Level does not match ID")),"ID not found"))</f>
        <v/>
      </c>
      <c r="F146" s="7"/>
      <c r="G146" s="6" t="str">
        <f>IF(F146="","",IF(ISNUMBER(SEARCH(",",F146)),"Several items (the script lists them)",IFERROR(INDEX('Dashboard Items'!$B$2:$B$497,MATCH(F146,'Dashboard Items'!$A$2:$A$497,0))&amp;": "&amp;INDEX('Dashboard Items'!$C$2:$C$497,MATCH(F146,'Dashboard Items'!$A$2:$A$497,0)),"ID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Items'!$B$2:$B$497,MATCH(D147,'Dashboard Items'!$A$2:$A$497,0))="Objective","Objectives go in the next column",IF(OR(C147="",INDEX('Dashboard Items'!$B$2:$B$497,MATCH(D147,'Dashboard Items'!$A$2:$A$497,0))=C147),INDEX('Dashboard Items'!$C$2:$C$497,MATCH(D147,'Dashboard Items'!$A$2:$A$497,0)),"Level does not match ID")),"ID not found"))</f>
        <v/>
      </c>
      <c r="F147" s="7"/>
      <c r="G147" s="6" t="str">
        <f>IF(F147="","",IF(ISNUMBER(SEARCH(",",F147)),"Several items (the script lists them)",IFERROR(INDEX('Dashboard Items'!$B$2:$B$497,MATCH(F147,'Dashboard Items'!$A$2:$A$497,0))&amp;": "&amp;INDEX('Dashboard Items'!$C$2:$C$497,MATCH(F147,'Dashboard Items'!$A$2:$A$497,0)),"ID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Items'!$B$2:$B$497,MATCH(D148,'Dashboard Items'!$A$2:$A$497,0))="Objective","Objectives go in the next column",IF(OR(C148="",INDEX('Dashboard Items'!$B$2:$B$497,MATCH(D148,'Dashboard Items'!$A$2:$A$497,0))=C148),INDEX('Dashboard Items'!$C$2:$C$497,MATCH(D148,'Dashboard Items'!$A$2:$A$497,0)),"Level does not match ID")),"ID not found"))</f>
        <v/>
      </c>
      <c r="F148" s="7"/>
      <c r="G148" s="6" t="str">
        <f>IF(F148="","",IF(ISNUMBER(SEARCH(",",F148)),"Several items (the script lists them)",IFERROR(INDEX('Dashboard Items'!$B$2:$B$497,MATCH(F148,'Dashboard Items'!$A$2:$A$497,0))&amp;": "&amp;INDEX('Dashboard Items'!$C$2:$C$497,MATCH(F148,'Dashboard Items'!$A$2:$A$497,0)),"ID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Items'!$B$2:$B$497,MATCH(D149,'Dashboard Items'!$A$2:$A$497,0))="Objective","Objectives go in the next column",IF(OR(C149="",INDEX('Dashboard Items'!$B$2:$B$497,MATCH(D149,'Dashboard Items'!$A$2:$A$497,0))=C149),INDEX('Dashboard Items'!$C$2:$C$497,MATCH(D149,'Dashboard Items'!$A$2:$A$497,0)),"Level does not match ID")),"ID not found"))</f>
        <v/>
      </c>
      <c r="F149" s="7"/>
      <c r="G149" s="6" t="str">
        <f>IF(F149="","",IF(ISNUMBER(SEARCH(",",F149)),"Several items (the script lists them)",IFERROR(INDEX('Dashboard Items'!$B$2:$B$497,MATCH(F149,'Dashboard Items'!$A$2:$A$497,0))&amp;": "&amp;INDEX('Dashboard Items'!$C$2:$C$497,MATCH(F149,'Dashboard Items'!$A$2:$A$497,0)),"ID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Items'!$B$2:$B$497,MATCH(D150,'Dashboard Items'!$A$2:$A$497,0))="Objective","Objectives go in the next column",IF(OR(C150="",INDEX('Dashboard Items'!$B$2:$B$497,MATCH(D150,'Dashboard Items'!$A$2:$A$497,0))=C150),INDEX('Dashboard Items'!$C$2:$C$497,MATCH(D150,'Dashboard Items'!$A$2:$A$497,0)),"Level does not match ID")),"ID not found"))</f>
        <v/>
      </c>
      <c r="F150" s="7"/>
      <c r="G150" s="6" t="str">
        <f>IF(F150="","",IF(ISNUMBER(SEARCH(",",F150)),"Several items (the script lists them)",IFERROR(INDEX('Dashboard Items'!$B$2:$B$497,MATCH(F150,'Dashboard Items'!$A$2:$A$497,0))&amp;": "&amp;INDEX('Dashboard Items'!$C$2:$C$497,MATCH(F150,'Dashboard Items'!$A$2:$A$497,0)),"ID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Items'!$B$2:$B$497,MATCH(D151,'Dashboard Items'!$A$2:$A$497,0))="Objective","Objectives go in the next column",IF(OR(C151="",INDEX('Dashboard Items'!$B$2:$B$497,MATCH(D151,'Dashboard Items'!$A$2:$A$497,0))=C151),INDEX('Dashboard Items'!$C$2:$C$497,MATCH(D151,'Dashboard Items'!$A$2:$A$497,0)),"Level does not match ID")),"ID not found"))</f>
        <v/>
      </c>
      <c r="F151" s="7"/>
      <c r="G151" s="6" t="str">
        <f>IF(F151="","",IF(ISNUMBER(SEARCH(",",F151)),"Several items (the script lists them)",IFERROR(INDEX('Dashboard Items'!$B$2:$B$497,MATCH(F151,'Dashboard Items'!$A$2:$A$497,0))&amp;": "&amp;INDEX('Dashboard Items'!$C$2:$C$497,MATCH(F151,'Dashboard Items'!$A$2:$A$497,0)),"ID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Items'!$B$2:$B$497,MATCH(D152,'Dashboard Items'!$A$2:$A$497,0))="Objective","Objectives go in the next column",IF(OR(C152="",INDEX('Dashboard Items'!$B$2:$B$497,MATCH(D152,'Dashboard Items'!$A$2:$A$497,0))=C152),INDEX('Dashboard Items'!$C$2:$C$497,MATCH(D152,'Dashboard Items'!$A$2:$A$497,0)),"Level does not match ID")),"ID not found"))</f>
        <v/>
      </c>
      <c r="F152" s="7"/>
      <c r="G152" s="6" t="str">
        <f>IF(F152="","",IF(ISNUMBER(SEARCH(",",F152)),"Several items (the script lists them)",IFERROR(INDEX('Dashboard Items'!$B$2:$B$497,MATCH(F152,'Dashboard Items'!$A$2:$A$497,0))&amp;": "&amp;INDEX('Dashboard Items'!$C$2:$C$497,MATCH(F152,'Dashboard Items'!$A$2:$A$497,0)),"ID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Items'!$B$2:$B$497,MATCH(D153,'Dashboard Items'!$A$2:$A$497,0))="Objective","Objectives go in the next column",IF(OR(C153="",INDEX('Dashboard Items'!$B$2:$B$497,MATCH(D153,'Dashboard Items'!$A$2:$A$497,0))=C153),INDEX('Dashboard Items'!$C$2:$C$497,MATCH(D153,'Dashboard Items'!$A$2:$A$497,0)),"Level does not match ID")),"ID not found"))</f>
        <v/>
      </c>
      <c r="F153" s="7"/>
      <c r="G153" s="6" t="str">
        <f>IF(F153="","",IF(ISNUMBER(SEARCH(",",F153)),"Several items (the script lists them)",IFERROR(INDEX('Dashboard Items'!$B$2:$B$497,MATCH(F153,'Dashboard Items'!$A$2:$A$497,0))&amp;": "&amp;INDEX('Dashboard Items'!$C$2:$C$497,MATCH(F153,'Dashboard Items'!$A$2:$A$497,0)),"ID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Items'!$B$2:$B$497,MATCH(D154,'Dashboard Items'!$A$2:$A$497,0))="Objective","Objectives go in the next column",IF(OR(C154="",INDEX('Dashboard Items'!$B$2:$B$497,MATCH(D154,'Dashboard Items'!$A$2:$A$497,0))=C154),INDEX('Dashboard Items'!$C$2:$C$497,MATCH(D154,'Dashboard Items'!$A$2:$A$497,0)),"Level does not match ID")),"ID not found"))</f>
        <v/>
      </c>
      <c r="F154" s="7"/>
      <c r="G154" s="6" t="str">
        <f>IF(F154="","",IF(ISNUMBER(SEARCH(",",F154)),"Several items (the script lists them)",IFERROR(INDEX('Dashboard Items'!$B$2:$B$497,MATCH(F154,'Dashboard Items'!$A$2:$A$497,0))&amp;": "&amp;INDEX('Dashboard Items'!$C$2:$C$497,MATCH(F154,'Dashboard Items'!$A$2:$A$497,0)),"ID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Items'!$B$2:$B$497,MATCH(D155,'Dashboard Items'!$A$2:$A$497,0))="Objective","Objectives go in the next column",IF(OR(C155="",INDEX('Dashboard Items'!$B$2:$B$497,MATCH(D155,'Dashboard Items'!$A$2:$A$497,0))=C155),INDEX('Dashboard Items'!$C$2:$C$497,MATCH(D155,'Dashboard Items'!$A$2:$A$497,0)),"Level does not match ID")),"ID not found"))</f>
        <v/>
      </c>
      <c r="F155" s="7"/>
      <c r="G155" s="6" t="str">
        <f>IF(F155="","",IF(ISNUMBER(SEARCH(",",F155)),"Several items (the script lists them)",IFERROR(INDEX('Dashboard Items'!$B$2:$B$497,MATCH(F155,'Dashboard Items'!$A$2:$A$497,0))&amp;": "&amp;INDEX('Dashboard Items'!$C$2:$C$497,MATCH(F155,'Dashboard Items'!$A$2:$A$497,0)),"ID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Items'!$B$2:$B$497,MATCH(D156,'Dashboard Items'!$A$2:$A$497,0))="Objective","Objectives go in the next column",IF(OR(C156="",INDEX('Dashboard Items'!$B$2:$B$497,MATCH(D156,'Dashboard Items'!$A$2:$A$497,0))=C156),INDEX('Dashboard Items'!$C$2:$C$497,MATCH(D156,'Dashboard Items'!$A$2:$A$497,0)),"Level does not match ID")),"ID not found"))</f>
        <v/>
      </c>
      <c r="F156" s="7"/>
      <c r="G156" s="6" t="str">
        <f>IF(F156="","",IF(ISNUMBER(SEARCH(",",F156)),"Several items (the script lists them)",IFERROR(INDEX('Dashboard Items'!$B$2:$B$497,MATCH(F156,'Dashboard Items'!$A$2:$A$497,0))&amp;": "&amp;INDEX('Dashboard Items'!$C$2:$C$497,MATCH(F156,'Dashboard Items'!$A$2:$A$497,0)),"ID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Items'!$B$2:$B$497,MATCH(D157,'Dashboard Items'!$A$2:$A$497,0))="Objective","Objectives go in the next column",IF(OR(C157="",INDEX('Dashboard Items'!$B$2:$B$497,MATCH(D157,'Dashboard Items'!$A$2:$A$497,0))=C157),INDEX('Dashboard Items'!$C$2:$C$497,MATCH(D157,'Dashboard Items'!$A$2:$A$497,0)),"Level does not match ID")),"ID not found"))</f>
        <v/>
      </c>
      <c r="F157" s="7"/>
      <c r="G157" s="6" t="str">
        <f>IF(F157="","",IF(ISNUMBER(SEARCH(",",F157)),"Several items (the script lists them)",IFERROR(INDEX('Dashboard Items'!$B$2:$B$497,MATCH(F157,'Dashboard Items'!$A$2:$A$497,0))&amp;": "&amp;INDEX('Dashboard Items'!$C$2:$C$497,MATCH(F157,'Dashboard Items'!$A$2:$A$497,0)),"ID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Items'!$B$2:$B$497,MATCH(D158,'Dashboard Items'!$A$2:$A$497,0))="Objective","Objectives go in the next column",IF(OR(C158="",INDEX('Dashboard Items'!$B$2:$B$497,MATCH(D158,'Dashboard Items'!$A$2:$A$497,0))=C158),INDEX('Dashboard Items'!$C$2:$C$497,MATCH(D158,'Dashboard Items'!$A$2:$A$497,0)),"Level does not match ID")),"ID not found"))</f>
        <v/>
      </c>
      <c r="F158" s="7"/>
      <c r="G158" s="6" t="str">
        <f>IF(F158="","",IF(ISNUMBER(SEARCH(",",F158)),"Several items (the script lists them)",IFERROR(INDEX('Dashboard Items'!$B$2:$B$497,MATCH(F158,'Dashboard Items'!$A$2:$A$497,0))&amp;": "&amp;INDEX('Dashboard Items'!$C$2:$C$497,MATCH(F158,'Dashboard Items'!$A$2:$A$497,0)),"ID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Items'!$B$2:$B$497,MATCH(D159,'Dashboard Items'!$A$2:$A$497,0))="Objective","Objectives go in the next column",IF(OR(C159="",INDEX('Dashboard Items'!$B$2:$B$497,MATCH(D159,'Dashboard Items'!$A$2:$A$497,0))=C159),INDEX('Dashboard Items'!$C$2:$C$497,MATCH(D159,'Dashboard Items'!$A$2:$A$497,0)),"Level does not match ID")),"ID not found"))</f>
        <v/>
      </c>
      <c r="F159" s="7"/>
      <c r="G159" s="6" t="str">
        <f>IF(F159="","",IF(ISNUMBER(SEARCH(",",F159)),"Several items (the script lists them)",IFERROR(INDEX('Dashboard Items'!$B$2:$B$497,MATCH(F159,'Dashboard Items'!$A$2:$A$497,0))&amp;": "&amp;INDEX('Dashboard Items'!$C$2:$C$497,MATCH(F159,'Dashboard Items'!$A$2:$A$497,0)),"ID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Items'!$B$2:$B$497,MATCH(D160,'Dashboard Items'!$A$2:$A$497,0))="Objective","Objectives go in the next column",IF(OR(C160="",INDEX('Dashboard Items'!$B$2:$B$497,MATCH(D160,'Dashboard Items'!$A$2:$A$497,0))=C160),INDEX('Dashboard Items'!$C$2:$C$497,MATCH(D160,'Dashboard Items'!$A$2:$A$497,0)),"Level does not match ID")),"ID not found"))</f>
        <v/>
      </c>
      <c r="F160" s="7"/>
      <c r="G160" s="6" t="str">
        <f>IF(F160="","",IF(ISNUMBER(SEARCH(",",F160)),"Several items (the script lists them)",IFERROR(INDEX('Dashboard Items'!$B$2:$B$497,MATCH(F160,'Dashboard Items'!$A$2:$A$497,0))&amp;": "&amp;INDEX('Dashboard Items'!$C$2:$C$497,MATCH(F160,'Dashboard Items'!$A$2:$A$497,0)),"ID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Items'!$B$2:$B$497,MATCH(D161,'Dashboard Items'!$A$2:$A$497,0))="Objective","Objectives go in the next column",IF(OR(C161="",INDEX('Dashboard Items'!$B$2:$B$497,MATCH(D161,'Dashboard Items'!$A$2:$A$497,0))=C161),INDEX('Dashboard Items'!$C$2:$C$497,MATCH(D161,'Dashboard Items'!$A$2:$A$497,0)),"Level does not match ID")),"ID not found"))</f>
        <v/>
      </c>
      <c r="F161" s="7"/>
      <c r="G161" s="6" t="str">
        <f>IF(F161="","",IF(ISNUMBER(SEARCH(",",F161)),"Several items (the script lists them)",IFERROR(INDEX('Dashboard Items'!$B$2:$B$497,MATCH(F161,'Dashboard Items'!$A$2:$A$497,0))&amp;": "&amp;INDEX('Dashboard Items'!$C$2:$C$497,MATCH(F161,'Dashboard Items'!$A$2:$A$497,0)),"ID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Items'!$B$2:$B$497,MATCH(D162,'Dashboard Items'!$A$2:$A$497,0))="Objective","Objectives go in the next column",IF(OR(C162="",INDEX('Dashboard Items'!$B$2:$B$497,MATCH(D162,'Dashboard Items'!$A$2:$A$497,0))=C162),INDEX('Dashboard Items'!$C$2:$C$497,MATCH(D162,'Dashboard Items'!$A$2:$A$497,0)),"Level does not match ID")),"ID not found"))</f>
        <v/>
      </c>
      <c r="F162" s="7"/>
      <c r="G162" s="6" t="str">
        <f>IF(F162="","",IF(ISNUMBER(SEARCH(",",F162)),"Several items (the script lists them)",IFERROR(INDEX('Dashboard Items'!$B$2:$B$497,MATCH(F162,'Dashboard Items'!$A$2:$A$497,0))&amp;": "&amp;INDEX('Dashboard Items'!$C$2:$C$497,MATCH(F162,'Dashboard Items'!$A$2:$A$497,0)),"ID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Items'!$B$2:$B$497,MATCH(D163,'Dashboard Items'!$A$2:$A$497,0))="Objective","Objectives go in the next column",IF(OR(C163="",INDEX('Dashboard Items'!$B$2:$B$497,MATCH(D163,'Dashboard Items'!$A$2:$A$497,0))=C163),INDEX('Dashboard Items'!$C$2:$C$497,MATCH(D163,'Dashboard Items'!$A$2:$A$497,0)),"Level does not match ID")),"ID not found"))</f>
        <v/>
      </c>
      <c r="F163" s="7"/>
      <c r="G163" s="6" t="str">
        <f>IF(F163="","",IF(ISNUMBER(SEARCH(",",F163)),"Several items (the script lists them)",IFERROR(INDEX('Dashboard Items'!$B$2:$B$497,MATCH(F163,'Dashboard Items'!$A$2:$A$497,0))&amp;": "&amp;INDEX('Dashboard Items'!$C$2:$C$497,MATCH(F163,'Dashboard Items'!$A$2:$A$497,0)),"ID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Items'!$B$2:$B$497,MATCH(D164,'Dashboard Items'!$A$2:$A$497,0))="Objective","Objectives go in the next column",IF(OR(C164="",INDEX('Dashboard Items'!$B$2:$B$497,MATCH(D164,'Dashboard Items'!$A$2:$A$497,0))=C164),INDEX('Dashboard Items'!$C$2:$C$497,MATCH(D164,'Dashboard Items'!$A$2:$A$497,0)),"Level does not match ID")),"ID not found"))</f>
        <v/>
      </c>
      <c r="F164" s="7"/>
      <c r="G164" s="6" t="str">
        <f>IF(F164="","",IF(ISNUMBER(SEARCH(",",F164)),"Several items (the script lists them)",IFERROR(INDEX('Dashboard Items'!$B$2:$B$497,MATCH(F164,'Dashboard Items'!$A$2:$A$497,0))&amp;": "&amp;INDEX('Dashboard Items'!$C$2:$C$497,MATCH(F164,'Dashboard Items'!$A$2:$A$497,0)),"ID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Items'!$B$2:$B$497,MATCH(D165,'Dashboard Items'!$A$2:$A$497,0))="Objective","Objectives go in the next column",IF(OR(C165="",INDEX('Dashboard Items'!$B$2:$B$497,MATCH(D165,'Dashboard Items'!$A$2:$A$497,0))=C165),INDEX('Dashboard Items'!$C$2:$C$497,MATCH(D165,'Dashboard Items'!$A$2:$A$497,0)),"Level does not match ID")),"ID not found"))</f>
        <v/>
      </c>
      <c r="F165" s="7"/>
      <c r="G165" s="6" t="str">
        <f>IF(F165="","",IF(ISNUMBER(SEARCH(",",F165)),"Several items (the script lists them)",IFERROR(INDEX('Dashboard Items'!$B$2:$B$497,MATCH(F165,'Dashboard Items'!$A$2:$A$497,0))&amp;": "&amp;INDEX('Dashboard Items'!$C$2:$C$497,MATCH(F165,'Dashboard Items'!$A$2:$A$497,0)),"ID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Items'!$B$2:$B$497,MATCH(D166,'Dashboard Items'!$A$2:$A$497,0))="Objective","Objectives go in the next column",IF(OR(C166="",INDEX('Dashboard Items'!$B$2:$B$497,MATCH(D166,'Dashboard Items'!$A$2:$A$497,0))=C166),INDEX('Dashboard Items'!$C$2:$C$497,MATCH(D166,'Dashboard Items'!$A$2:$A$497,0)),"Level does not match ID")),"ID not found"))</f>
        <v/>
      </c>
      <c r="F166" s="7"/>
      <c r="G166" s="6" t="str">
        <f>IF(F166="","",IF(ISNUMBER(SEARCH(",",F166)),"Several items (the script lists them)",IFERROR(INDEX('Dashboard Items'!$B$2:$B$497,MATCH(F166,'Dashboard Items'!$A$2:$A$497,0))&amp;": "&amp;INDEX('Dashboard Items'!$C$2:$C$497,MATCH(F166,'Dashboard Items'!$A$2:$A$497,0)),"ID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Items'!$B$2:$B$497,MATCH(D167,'Dashboard Items'!$A$2:$A$497,0))="Objective","Objectives go in the next column",IF(OR(C167="",INDEX('Dashboard Items'!$B$2:$B$497,MATCH(D167,'Dashboard Items'!$A$2:$A$497,0))=C167),INDEX('Dashboard Items'!$C$2:$C$497,MATCH(D167,'Dashboard Items'!$A$2:$A$497,0)),"Level does not match ID")),"ID not found"))</f>
        <v/>
      </c>
      <c r="F167" s="7"/>
      <c r="G167" s="6" t="str">
        <f>IF(F167="","",IF(ISNUMBER(SEARCH(",",F167)),"Several items (the script lists them)",IFERROR(INDEX('Dashboard Items'!$B$2:$B$497,MATCH(F167,'Dashboard Items'!$A$2:$A$497,0))&amp;": "&amp;INDEX('Dashboard Items'!$C$2:$C$497,MATCH(F167,'Dashboard Items'!$A$2:$A$497,0)),"ID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Items'!$B$2:$B$497,MATCH(D168,'Dashboard Items'!$A$2:$A$497,0))="Objective","Objectives go in the next column",IF(OR(C168="",INDEX('Dashboard Items'!$B$2:$B$497,MATCH(D168,'Dashboard Items'!$A$2:$A$497,0))=C168),INDEX('Dashboard Items'!$C$2:$C$497,MATCH(D168,'Dashboard Items'!$A$2:$A$497,0)),"Level does not match ID")),"ID not found"))</f>
        <v/>
      </c>
      <c r="F168" s="7"/>
      <c r="G168" s="6" t="str">
        <f>IF(F168="","",IF(ISNUMBER(SEARCH(",",F168)),"Several items (the script lists them)",IFERROR(INDEX('Dashboard Items'!$B$2:$B$497,MATCH(F168,'Dashboard Items'!$A$2:$A$497,0))&amp;": "&amp;INDEX('Dashboard Items'!$C$2:$C$497,MATCH(F168,'Dashboard Items'!$A$2:$A$497,0)),"ID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Items'!$B$2:$B$497,MATCH(D169,'Dashboard Items'!$A$2:$A$497,0))="Objective","Objectives go in the next column",IF(OR(C169="",INDEX('Dashboard Items'!$B$2:$B$497,MATCH(D169,'Dashboard Items'!$A$2:$A$497,0))=C169),INDEX('Dashboard Items'!$C$2:$C$497,MATCH(D169,'Dashboard Items'!$A$2:$A$497,0)),"Level does not match ID")),"ID not found"))</f>
        <v/>
      </c>
      <c r="F169" s="7"/>
      <c r="G169" s="6" t="str">
        <f>IF(F169="","",IF(ISNUMBER(SEARCH(",",F169)),"Several items (the script lists them)",IFERROR(INDEX('Dashboard Items'!$B$2:$B$497,MATCH(F169,'Dashboard Items'!$A$2:$A$497,0))&amp;": "&amp;INDEX('Dashboard Items'!$C$2:$C$497,MATCH(F169,'Dashboard Items'!$A$2:$A$497,0)),"ID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Items'!$B$2:$B$497,MATCH(D170,'Dashboard Items'!$A$2:$A$497,0))="Objective","Objectives go in the next column",IF(OR(C170="",INDEX('Dashboard Items'!$B$2:$B$497,MATCH(D170,'Dashboard Items'!$A$2:$A$497,0))=C170),INDEX('Dashboard Items'!$C$2:$C$497,MATCH(D170,'Dashboard Items'!$A$2:$A$497,0)),"Level does not match ID")),"ID not found"))</f>
        <v/>
      </c>
      <c r="F170" s="7"/>
      <c r="G170" s="6" t="str">
        <f>IF(F170="","",IF(ISNUMBER(SEARCH(",",F170)),"Several items (the script lists them)",IFERROR(INDEX('Dashboard Items'!$B$2:$B$497,MATCH(F170,'Dashboard Items'!$A$2:$A$497,0))&amp;": "&amp;INDEX('Dashboard Items'!$C$2:$C$497,MATCH(F170,'Dashboard Items'!$A$2:$A$497,0)),"ID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Items'!$B$2:$B$497,MATCH(D171,'Dashboard Items'!$A$2:$A$497,0))="Objective","Objectives go in the next column",IF(OR(C171="",INDEX('Dashboard Items'!$B$2:$B$497,MATCH(D171,'Dashboard Items'!$A$2:$A$497,0))=C171),INDEX('Dashboard Items'!$C$2:$C$497,MATCH(D171,'Dashboard Items'!$A$2:$A$497,0)),"Level does not match ID")),"ID not found"))</f>
        <v/>
      </c>
      <c r="F171" s="7"/>
      <c r="G171" s="6" t="str">
        <f>IF(F171="","",IF(ISNUMBER(SEARCH(",",F171)),"Several items (the script lists them)",IFERROR(INDEX('Dashboard Items'!$B$2:$B$497,MATCH(F171,'Dashboard Items'!$A$2:$A$497,0))&amp;": "&amp;INDEX('Dashboard Items'!$C$2:$C$497,MATCH(F171,'Dashboard Items'!$A$2:$A$497,0)),"ID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Items'!$B$2:$B$497,MATCH(D172,'Dashboard Items'!$A$2:$A$497,0))="Objective","Objectives go in the next column",IF(OR(C172="",INDEX('Dashboard Items'!$B$2:$B$497,MATCH(D172,'Dashboard Items'!$A$2:$A$497,0))=C172),INDEX('Dashboard Items'!$C$2:$C$497,MATCH(D172,'Dashboard Items'!$A$2:$A$497,0)),"Level does not match ID")),"ID not found"))</f>
        <v/>
      </c>
      <c r="F172" s="7"/>
      <c r="G172" s="6" t="str">
        <f>IF(F172="","",IF(ISNUMBER(SEARCH(",",F172)),"Several items (the script lists them)",IFERROR(INDEX('Dashboard Items'!$B$2:$B$497,MATCH(F172,'Dashboard Items'!$A$2:$A$497,0))&amp;": "&amp;INDEX('Dashboard Items'!$C$2:$C$497,MATCH(F172,'Dashboard Items'!$A$2:$A$497,0)),"ID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Items'!$B$2:$B$497,MATCH(D173,'Dashboard Items'!$A$2:$A$497,0))="Objective","Objectives go in the next column",IF(OR(C173="",INDEX('Dashboard Items'!$B$2:$B$497,MATCH(D173,'Dashboard Items'!$A$2:$A$497,0))=C173),INDEX('Dashboard Items'!$C$2:$C$497,MATCH(D173,'Dashboard Items'!$A$2:$A$497,0)),"Level does not match ID")),"ID not found"))</f>
        <v/>
      </c>
      <c r="F173" s="7"/>
      <c r="G173" s="6" t="str">
        <f>IF(F173="","",IF(ISNUMBER(SEARCH(",",F173)),"Several items (the script lists them)",IFERROR(INDEX('Dashboard Items'!$B$2:$B$497,MATCH(F173,'Dashboard Items'!$A$2:$A$497,0))&amp;": "&amp;INDEX('Dashboard Items'!$C$2:$C$497,MATCH(F173,'Dashboard Items'!$A$2:$A$497,0)),"ID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Items'!$B$2:$B$497,MATCH(D174,'Dashboard Items'!$A$2:$A$497,0))="Objective","Objectives go in the next column",IF(OR(C174="",INDEX('Dashboard Items'!$B$2:$B$497,MATCH(D174,'Dashboard Items'!$A$2:$A$497,0))=C174),INDEX('Dashboard Items'!$C$2:$C$497,MATCH(D174,'Dashboard Items'!$A$2:$A$497,0)),"Level does not match ID")),"ID not found"))</f>
        <v/>
      </c>
      <c r="F174" s="7"/>
      <c r="G174" s="6" t="str">
        <f>IF(F174="","",IF(ISNUMBER(SEARCH(",",F174)),"Several items (the script lists them)",IFERROR(INDEX('Dashboard Items'!$B$2:$B$497,MATCH(F174,'Dashboard Items'!$A$2:$A$497,0))&amp;": "&amp;INDEX('Dashboard Items'!$C$2:$C$497,MATCH(F174,'Dashboard Items'!$A$2:$A$497,0)),"ID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Items'!$B$2:$B$497,MATCH(D175,'Dashboard Items'!$A$2:$A$497,0))="Objective","Objectives go in the next column",IF(OR(C175="",INDEX('Dashboard Items'!$B$2:$B$497,MATCH(D175,'Dashboard Items'!$A$2:$A$497,0))=C175),INDEX('Dashboard Items'!$C$2:$C$497,MATCH(D175,'Dashboard Items'!$A$2:$A$497,0)),"Level does not match ID")),"ID not found"))</f>
        <v/>
      </c>
      <c r="F175" s="7"/>
      <c r="G175" s="6" t="str">
        <f>IF(F175="","",IF(ISNUMBER(SEARCH(",",F175)),"Several items (the script lists them)",IFERROR(INDEX('Dashboard Items'!$B$2:$B$497,MATCH(F175,'Dashboard Items'!$A$2:$A$497,0))&amp;": "&amp;INDEX('Dashboard Items'!$C$2:$C$497,MATCH(F175,'Dashboard Items'!$A$2:$A$497,0)),"ID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Items'!$B$2:$B$497,MATCH(D176,'Dashboard Items'!$A$2:$A$497,0))="Objective","Objectives go in the next column",IF(OR(C176="",INDEX('Dashboard Items'!$B$2:$B$497,MATCH(D176,'Dashboard Items'!$A$2:$A$497,0))=C176),INDEX('Dashboard Items'!$C$2:$C$497,MATCH(D176,'Dashboard Items'!$A$2:$A$497,0)),"Level does not match ID")),"ID not found"))</f>
        <v/>
      </c>
      <c r="F176" s="7"/>
      <c r="G176" s="6" t="str">
        <f>IF(F176="","",IF(ISNUMBER(SEARCH(",",F176)),"Several items (the script lists them)",IFERROR(INDEX('Dashboard Items'!$B$2:$B$497,MATCH(F176,'Dashboard Items'!$A$2:$A$497,0))&amp;": "&amp;INDEX('Dashboard Items'!$C$2:$C$497,MATCH(F176,'Dashboard Items'!$A$2:$A$497,0)),"ID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Items'!$B$2:$B$497,MATCH(D177,'Dashboard Items'!$A$2:$A$497,0))="Objective","Objectives go in the next column",IF(OR(C177="",INDEX('Dashboard Items'!$B$2:$B$497,MATCH(D177,'Dashboard Items'!$A$2:$A$497,0))=C177),INDEX('Dashboard Items'!$C$2:$C$497,MATCH(D177,'Dashboard Items'!$A$2:$A$497,0)),"Level does not match ID")),"ID not found"))</f>
        <v/>
      </c>
      <c r="F177" s="7"/>
      <c r="G177" s="6" t="str">
        <f>IF(F177="","",IF(ISNUMBER(SEARCH(",",F177)),"Several items (the script lists them)",IFERROR(INDEX('Dashboard Items'!$B$2:$B$497,MATCH(F177,'Dashboard Items'!$A$2:$A$497,0))&amp;": "&amp;INDEX('Dashboard Items'!$C$2:$C$497,MATCH(F177,'Dashboard Items'!$A$2:$A$497,0)),"ID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Items'!$B$2:$B$497,MATCH(D178,'Dashboard Items'!$A$2:$A$497,0))="Objective","Objectives go in the next column",IF(OR(C178="",INDEX('Dashboard Items'!$B$2:$B$497,MATCH(D178,'Dashboard Items'!$A$2:$A$497,0))=C178),INDEX('Dashboard Items'!$C$2:$C$497,MATCH(D178,'Dashboard Items'!$A$2:$A$497,0)),"Level does not match ID")),"ID not found"))</f>
        <v/>
      </c>
      <c r="F178" s="7"/>
      <c r="G178" s="6" t="str">
        <f>IF(F178="","",IF(ISNUMBER(SEARCH(",",F178)),"Several items (the script lists them)",IFERROR(INDEX('Dashboard Items'!$B$2:$B$497,MATCH(F178,'Dashboard Items'!$A$2:$A$497,0))&amp;": "&amp;INDEX('Dashboard Items'!$C$2:$C$497,MATCH(F178,'Dashboard Items'!$A$2:$A$497,0)),"ID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Items'!$B$2:$B$497,MATCH(D179,'Dashboard Items'!$A$2:$A$497,0))="Objective","Objectives go in the next column",IF(OR(C179="",INDEX('Dashboard Items'!$B$2:$B$497,MATCH(D179,'Dashboard Items'!$A$2:$A$497,0))=C179),INDEX('Dashboard Items'!$C$2:$C$497,MATCH(D179,'Dashboard Items'!$A$2:$A$497,0)),"Level does not match ID")),"ID not found"))</f>
        <v/>
      </c>
      <c r="F179" s="7"/>
      <c r="G179" s="6" t="str">
        <f>IF(F179="","",IF(ISNUMBER(SEARCH(",",F179)),"Several items (the script lists them)",IFERROR(INDEX('Dashboard Items'!$B$2:$B$497,MATCH(F179,'Dashboard Items'!$A$2:$A$497,0))&amp;": "&amp;INDEX('Dashboard Items'!$C$2:$C$497,MATCH(F179,'Dashboard Items'!$A$2:$A$497,0)),"ID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Items'!$B$2:$B$497,MATCH(D180,'Dashboard Items'!$A$2:$A$497,0))="Objective","Objectives go in the next column",IF(OR(C180="",INDEX('Dashboard Items'!$B$2:$B$497,MATCH(D180,'Dashboard Items'!$A$2:$A$497,0))=C180),INDEX('Dashboard Items'!$C$2:$C$497,MATCH(D180,'Dashboard Items'!$A$2:$A$497,0)),"Level does not match ID")),"ID not found"))</f>
        <v/>
      </c>
      <c r="F180" s="7"/>
      <c r="G180" s="6" t="str">
        <f>IF(F180="","",IF(ISNUMBER(SEARCH(",",F180)),"Several items (the script lists them)",IFERROR(INDEX('Dashboard Items'!$B$2:$B$497,MATCH(F180,'Dashboard Items'!$A$2:$A$497,0))&amp;": "&amp;INDEX('Dashboard Items'!$C$2:$C$497,MATCH(F180,'Dashboard Items'!$A$2:$A$497,0)),"ID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Items'!$B$2:$B$497,MATCH(D181,'Dashboard Items'!$A$2:$A$497,0))="Objective","Objectives go in the next column",IF(OR(C181="",INDEX('Dashboard Items'!$B$2:$B$497,MATCH(D181,'Dashboard Items'!$A$2:$A$497,0))=C181),INDEX('Dashboard Items'!$C$2:$C$497,MATCH(D181,'Dashboard Items'!$A$2:$A$497,0)),"Level does not match ID")),"ID not found"))</f>
        <v/>
      </c>
      <c r="F181" s="7"/>
      <c r="G181" s="6" t="str">
        <f>IF(F181="","",IF(ISNUMBER(SEARCH(",",F181)),"Several items (the script lists them)",IFERROR(INDEX('Dashboard Items'!$B$2:$B$497,MATCH(F181,'Dashboard Items'!$A$2:$A$497,0))&amp;": "&amp;INDEX('Dashboard Items'!$C$2:$C$497,MATCH(F181,'Dashboard Items'!$A$2:$A$497,0)),"ID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Items'!$B$2:$B$497,MATCH(D182,'Dashboard Items'!$A$2:$A$497,0))="Objective","Objectives go in the next column",IF(OR(C182="",INDEX('Dashboard Items'!$B$2:$B$497,MATCH(D182,'Dashboard Items'!$A$2:$A$497,0))=C182),INDEX('Dashboard Items'!$C$2:$C$497,MATCH(D182,'Dashboard Items'!$A$2:$A$497,0)),"Level does not match ID")),"ID not found"))</f>
        <v/>
      </c>
      <c r="F182" s="7"/>
      <c r="G182" s="6" t="str">
        <f>IF(F182="","",IF(ISNUMBER(SEARCH(",",F182)),"Several items (the script lists them)",IFERROR(INDEX('Dashboard Items'!$B$2:$B$497,MATCH(F182,'Dashboard Items'!$A$2:$A$497,0))&amp;": "&amp;INDEX('Dashboard Items'!$C$2:$C$497,MATCH(F182,'Dashboard Items'!$A$2:$A$497,0)),"ID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Items'!$B$2:$B$497,MATCH(D183,'Dashboard Items'!$A$2:$A$497,0))="Objective","Objectives go in the next column",IF(OR(C183="",INDEX('Dashboard Items'!$B$2:$B$497,MATCH(D183,'Dashboard Items'!$A$2:$A$497,0))=C183),INDEX('Dashboard Items'!$C$2:$C$497,MATCH(D183,'Dashboard Items'!$A$2:$A$497,0)),"Level does not match ID")),"ID not found"))</f>
        <v/>
      </c>
      <c r="F183" s="7"/>
      <c r="G183" s="6" t="str">
        <f>IF(F183="","",IF(ISNUMBER(SEARCH(",",F183)),"Several items (the script lists them)",IFERROR(INDEX('Dashboard Items'!$B$2:$B$497,MATCH(F183,'Dashboard Items'!$A$2:$A$497,0))&amp;": "&amp;INDEX('Dashboard Items'!$C$2:$C$497,MATCH(F183,'Dashboard Items'!$A$2:$A$497,0)),"ID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Items'!$B$2:$B$497,MATCH(D184,'Dashboard Items'!$A$2:$A$497,0))="Objective","Objectives go in the next column",IF(OR(C184="",INDEX('Dashboard Items'!$B$2:$B$497,MATCH(D184,'Dashboard Items'!$A$2:$A$497,0))=C184),INDEX('Dashboard Items'!$C$2:$C$497,MATCH(D184,'Dashboard Items'!$A$2:$A$497,0)),"Level does not match ID")),"ID not found"))</f>
        <v/>
      </c>
      <c r="F184" s="7"/>
      <c r="G184" s="6" t="str">
        <f>IF(F184="","",IF(ISNUMBER(SEARCH(",",F184)),"Several items (the script lists them)",IFERROR(INDEX('Dashboard Items'!$B$2:$B$497,MATCH(F184,'Dashboard Items'!$A$2:$A$497,0))&amp;": "&amp;INDEX('Dashboard Items'!$C$2:$C$497,MATCH(F184,'Dashboard Items'!$A$2:$A$497,0)),"ID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Items'!$B$2:$B$497,MATCH(D185,'Dashboard Items'!$A$2:$A$497,0))="Objective","Objectives go in the next column",IF(OR(C185="",INDEX('Dashboard Items'!$B$2:$B$497,MATCH(D185,'Dashboard Items'!$A$2:$A$497,0))=C185),INDEX('Dashboard Items'!$C$2:$C$497,MATCH(D185,'Dashboard Items'!$A$2:$A$497,0)),"Level does not match ID")),"ID not found"))</f>
        <v/>
      </c>
      <c r="F185" s="7"/>
      <c r="G185" s="6" t="str">
        <f>IF(F185="","",IF(ISNUMBER(SEARCH(",",F185)),"Several items (the script lists them)",IFERROR(INDEX('Dashboard Items'!$B$2:$B$497,MATCH(F185,'Dashboard Items'!$A$2:$A$497,0))&amp;": "&amp;INDEX('Dashboard Items'!$C$2:$C$497,MATCH(F185,'Dashboard Items'!$A$2:$A$497,0)),"ID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Items'!$B$2:$B$497,MATCH(D186,'Dashboard Items'!$A$2:$A$497,0))="Objective","Objectives go in the next column",IF(OR(C186="",INDEX('Dashboard Items'!$B$2:$B$497,MATCH(D186,'Dashboard Items'!$A$2:$A$497,0))=C186),INDEX('Dashboard Items'!$C$2:$C$497,MATCH(D186,'Dashboard Items'!$A$2:$A$497,0)),"Level does not match ID")),"ID not found"))</f>
        <v/>
      </c>
      <c r="F186" s="7"/>
      <c r="G186" s="6" t="str">
        <f>IF(F186="","",IF(ISNUMBER(SEARCH(",",F186)),"Several items (the script lists them)",IFERROR(INDEX('Dashboard Items'!$B$2:$B$497,MATCH(F186,'Dashboard Items'!$A$2:$A$497,0))&amp;": "&amp;INDEX('Dashboard Items'!$C$2:$C$497,MATCH(F186,'Dashboard Items'!$A$2:$A$497,0)),"ID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Items'!$B$2:$B$497,MATCH(D187,'Dashboard Items'!$A$2:$A$497,0))="Objective","Objectives go in the next column",IF(OR(C187="",INDEX('Dashboard Items'!$B$2:$B$497,MATCH(D187,'Dashboard Items'!$A$2:$A$497,0))=C187),INDEX('Dashboard Items'!$C$2:$C$497,MATCH(D187,'Dashboard Items'!$A$2:$A$497,0)),"Level does not match ID")),"ID not found"))</f>
        <v/>
      </c>
      <c r="F187" s="7"/>
      <c r="G187" s="6" t="str">
        <f>IF(F187="","",IF(ISNUMBER(SEARCH(",",F187)),"Several items (the script lists them)",IFERROR(INDEX('Dashboard Items'!$B$2:$B$497,MATCH(F187,'Dashboard Items'!$A$2:$A$497,0))&amp;": "&amp;INDEX('Dashboard Items'!$C$2:$C$497,MATCH(F187,'Dashboard Items'!$A$2:$A$497,0)),"ID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Items'!$B$2:$B$497,MATCH(D188,'Dashboard Items'!$A$2:$A$497,0))="Objective","Objectives go in the next column",IF(OR(C188="",INDEX('Dashboard Items'!$B$2:$B$497,MATCH(D188,'Dashboard Items'!$A$2:$A$497,0))=C188),INDEX('Dashboard Items'!$C$2:$C$497,MATCH(D188,'Dashboard Items'!$A$2:$A$497,0)),"Level does not match ID")),"ID not found"))</f>
        <v/>
      </c>
      <c r="F188" s="7"/>
      <c r="G188" s="6" t="str">
        <f>IF(F188="","",IF(ISNUMBER(SEARCH(",",F188)),"Several items (the script lists them)",IFERROR(INDEX('Dashboard Items'!$B$2:$B$497,MATCH(F188,'Dashboard Items'!$A$2:$A$497,0))&amp;": "&amp;INDEX('Dashboard Items'!$C$2:$C$497,MATCH(F188,'Dashboard Items'!$A$2:$A$497,0)),"ID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Items'!$B$2:$B$497,MATCH(D189,'Dashboard Items'!$A$2:$A$497,0))="Objective","Objectives go in the next column",IF(OR(C189="",INDEX('Dashboard Items'!$B$2:$B$497,MATCH(D189,'Dashboard Items'!$A$2:$A$497,0))=C189),INDEX('Dashboard Items'!$C$2:$C$497,MATCH(D189,'Dashboard Items'!$A$2:$A$497,0)),"Level does not match ID")),"ID not found"))</f>
        <v/>
      </c>
      <c r="F189" s="7"/>
      <c r="G189" s="6" t="str">
        <f>IF(F189="","",IF(ISNUMBER(SEARCH(",",F189)),"Several items (the script lists them)",IFERROR(INDEX('Dashboard Items'!$B$2:$B$497,MATCH(F189,'Dashboard Items'!$A$2:$A$497,0))&amp;": "&amp;INDEX('Dashboard Items'!$C$2:$C$497,MATCH(F189,'Dashboard Items'!$A$2:$A$497,0)),"ID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Items'!$B$2:$B$497,MATCH(D190,'Dashboard Items'!$A$2:$A$497,0))="Objective","Objectives go in the next column",IF(OR(C190="",INDEX('Dashboard Items'!$B$2:$B$497,MATCH(D190,'Dashboard Items'!$A$2:$A$497,0))=C190),INDEX('Dashboard Items'!$C$2:$C$497,MATCH(D190,'Dashboard Items'!$A$2:$A$497,0)),"Level does not match ID")),"ID not found"))</f>
        <v/>
      </c>
      <c r="F190" s="7"/>
      <c r="G190" s="6" t="str">
        <f>IF(F190="","",IF(ISNUMBER(SEARCH(",",F190)),"Several items (the script lists them)",IFERROR(INDEX('Dashboard Items'!$B$2:$B$497,MATCH(F190,'Dashboard Items'!$A$2:$A$497,0))&amp;": "&amp;INDEX('Dashboard Items'!$C$2:$C$497,MATCH(F190,'Dashboard Items'!$A$2:$A$497,0)),"ID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Items'!$B$2:$B$497,MATCH(D191,'Dashboard Items'!$A$2:$A$497,0))="Objective","Objectives go in the next column",IF(OR(C191="",INDEX('Dashboard Items'!$B$2:$B$497,MATCH(D191,'Dashboard Items'!$A$2:$A$497,0))=C191),INDEX('Dashboard Items'!$C$2:$C$497,MATCH(D191,'Dashboard Items'!$A$2:$A$497,0)),"Level does not match ID")),"ID not found"))</f>
        <v/>
      </c>
      <c r="F191" s="7"/>
      <c r="G191" s="6" t="str">
        <f>IF(F191="","",IF(ISNUMBER(SEARCH(",",F191)),"Several items (the script lists them)",IFERROR(INDEX('Dashboard Items'!$B$2:$B$497,MATCH(F191,'Dashboard Items'!$A$2:$A$497,0))&amp;": "&amp;INDEX('Dashboard Items'!$C$2:$C$497,MATCH(F191,'Dashboard Items'!$A$2:$A$497,0)),"ID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Items'!$B$2:$B$497,MATCH(D192,'Dashboard Items'!$A$2:$A$497,0))="Objective","Objectives go in the next column",IF(OR(C192="",INDEX('Dashboard Items'!$B$2:$B$497,MATCH(D192,'Dashboard Items'!$A$2:$A$497,0))=C192),INDEX('Dashboard Items'!$C$2:$C$497,MATCH(D192,'Dashboard Items'!$A$2:$A$497,0)),"Level does not match ID")),"ID not found"))</f>
        <v/>
      </c>
      <c r="F192" s="7"/>
      <c r="G192" s="6" t="str">
        <f>IF(F192="","",IF(ISNUMBER(SEARCH(",",F192)),"Several items (the script lists them)",IFERROR(INDEX('Dashboard Items'!$B$2:$B$497,MATCH(F192,'Dashboard Items'!$A$2:$A$497,0))&amp;": "&amp;INDEX('Dashboard Items'!$C$2:$C$497,MATCH(F192,'Dashboard Items'!$A$2:$A$497,0)),"ID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Items'!$B$2:$B$497,MATCH(D193,'Dashboard Items'!$A$2:$A$497,0))="Objective","Objectives go in the next column",IF(OR(C193="",INDEX('Dashboard Items'!$B$2:$B$497,MATCH(D193,'Dashboard Items'!$A$2:$A$497,0))=C193),INDEX('Dashboard Items'!$C$2:$C$497,MATCH(D193,'Dashboard Items'!$A$2:$A$497,0)),"Level does not match ID")),"ID not found"))</f>
        <v/>
      </c>
      <c r="F193" s="7"/>
      <c r="G193" s="6" t="str">
        <f>IF(F193="","",IF(ISNUMBER(SEARCH(",",F193)),"Several items (the script lists them)",IFERROR(INDEX('Dashboard Items'!$B$2:$B$497,MATCH(F193,'Dashboard Items'!$A$2:$A$497,0))&amp;": "&amp;INDEX('Dashboard Items'!$C$2:$C$497,MATCH(F193,'Dashboard Items'!$A$2:$A$497,0)),"ID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Items'!$B$2:$B$497,MATCH(D194,'Dashboard Items'!$A$2:$A$497,0))="Objective","Objectives go in the next column",IF(OR(C194="",INDEX('Dashboard Items'!$B$2:$B$497,MATCH(D194,'Dashboard Items'!$A$2:$A$497,0))=C194),INDEX('Dashboard Items'!$C$2:$C$497,MATCH(D194,'Dashboard Items'!$A$2:$A$497,0)),"Level does not match ID")),"ID not found"))</f>
        <v/>
      </c>
      <c r="F194" s="7"/>
      <c r="G194" s="6" t="str">
        <f>IF(F194="","",IF(ISNUMBER(SEARCH(",",F194)),"Several items (the script lists them)",IFERROR(INDEX('Dashboard Items'!$B$2:$B$497,MATCH(F194,'Dashboard Items'!$A$2:$A$497,0))&amp;": "&amp;INDEX('Dashboard Items'!$C$2:$C$497,MATCH(F194,'Dashboard Items'!$A$2:$A$497,0)),"ID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Items'!$B$2:$B$497,MATCH(D195,'Dashboard Items'!$A$2:$A$497,0))="Objective","Objectives go in the next column",IF(OR(C195="",INDEX('Dashboard Items'!$B$2:$B$497,MATCH(D195,'Dashboard Items'!$A$2:$A$497,0))=C195),INDEX('Dashboard Items'!$C$2:$C$497,MATCH(D195,'Dashboard Items'!$A$2:$A$497,0)),"Level does not match ID")),"ID not found"))</f>
        <v/>
      </c>
      <c r="F195" s="7"/>
      <c r="G195" s="6" t="str">
        <f>IF(F195="","",IF(ISNUMBER(SEARCH(",",F195)),"Several items (the script lists them)",IFERROR(INDEX('Dashboard Items'!$B$2:$B$497,MATCH(F195,'Dashboard Items'!$A$2:$A$497,0))&amp;": "&amp;INDEX('Dashboard Items'!$C$2:$C$497,MATCH(F195,'Dashboard Items'!$A$2:$A$497,0)),"ID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Items'!$B$2:$B$497,MATCH(D196,'Dashboard Items'!$A$2:$A$497,0))="Objective","Objectives go in the next column",IF(OR(C196="",INDEX('Dashboard Items'!$B$2:$B$497,MATCH(D196,'Dashboard Items'!$A$2:$A$497,0))=C196),INDEX('Dashboard Items'!$C$2:$C$497,MATCH(D196,'Dashboard Items'!$A$2:$A$497,0)),"Level does not match ID")),"ID not found"))</f>
        <v/>
      </c>
      <c r="F196" s="7"/>
      <c r="G196" s="6" t="str">
        <f>IF(F196="","",IF(ISNUMBER(SEARCH(",",F196)),"Several items (the script lists them)",IFERROR(INDEX('Dashboard Items'!$B$2:$B$497,MATCH(F196,'Dashboard Items'!$A$2:$A$497,0))&amp;": "&amp;INDEX('Dashboard Items'!$C$2:$C$497,MATCH(F196,'Dashboard Items'!$A$2:$A$497,0)),"ID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Items'!$B$2:$B$497,MATCH(D197,'Dashboard Items'!$A$2:$A$497,0))="Objective","Objectives go in the next column",IF(OR(C197="",INDEX('Dashboard Items'!$B$2:$B$497,MATCH(D197,'Dashboard Items'!$A$2:$A$497,0))=C197),INDEX('Dashboard Items'!$C$2:$C$497,MATCH(D197,'Dashboard Items'!$A$2:$A$497,0)),"Level does not match ID")),"ID not found"))</f>
        <v/>
      </c>
      <c r="F197" s="7"/>
      <c r="G197" s="6" t="str">
        <f>IF(F197="","",IF(ISNUMBER(SEARCH(",",F197)),"Several items (the script lists them)",IFERROR(INDEX('Dashboard Items'!$B$2:$B$497,MATCH(F197,'Dashboard Items'!$A$2:$A$497,0))&amp;": "&amp;INDEX('Dashboard Items'!$C$2:$C$497,MATCH(F197,'Dashboard Items'!$A$2:$A$497,0)),"ID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Items'!$B$2:$B$497,MATCH(D198,'Dashboard Items'!$A$2:$A$497,0))="Objective","Objectives go in the next column",IF(OR(C198="",INDEX('Dashboard Items'!$B$2:$B$497,MATCH(D198,'Dashboard Items'!$A$2:$A$497,0))=C198),INDEX('Dashboard Items'!$C$2:$C$497,MATCH(D198,'Dashboard Items'!$A$2:$A$497,0)),"Level does not match ID")),"ID not found"))</f>
        <v/>
      </c>
      <c r="F198" s="7"/>
      <c r="G198" s="6" t="str">
        <f>IF(F198="","",IF(ISNUMBER(SEARCH(",",F198)),"Several items (the script lists them)",IFERROR(INDEX('Dashboard Items'!$B$2:$B$497,MATCH(F198,'Dashboard Items'!$A$2:$A$497,0))&amp;": "&amp;INDEX('Dashboard Items'!$C$2:$C$497,MATCH(F198,'Dashboard Items'!$A$2:$A$497,0)),"ID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Items'!$B$2:$B$497,MATCH(D199,'Dashboard Items'!$A$2:$A$497,0))="Objective","Objectives go in the next column",IF(OR(C199="",INDEX('Dashboard Items'!$B$2:$B$497,MATCH(D199,'Dashboard Items'!$A$2:$A$497,0))=C199),INDEX('Dashboard Items'!$C$2:$C$497,MATCH(D199,'Dashboard Items'!$A$2:$A$497,0)),"Level does not match ID")),"ID not found"))</f>
        <v/>
      </c>
      <c r="F199" s="7"/>
      <c r="G199" s="6" t="str">
        <f>IF(F199="","",IF(ISNUMBER(SEARCH(",",F199)),"Several items (the script lists them)",IFERROR(INDEX('Dashboard Items'!$B$2:$B$497,MATCH(F199,'Dashboard Items'!$A$2:$A$497,0))&amp;": "&amp;INDEX('Dashboard Items'!$C$2:$C$497,MATCH(F199,'Dashboard Items'!$A$2:$A$497,0)),"ID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Items'!$B$2:$B$497,MATCH(D200,'Dashboard Items'!$A$2:$A$497,0))="Objective","Objectives go in the next column",IF(OR(C200="",INDEX('Dashboard Items'!$B$2:$B$497,MATCH(D200,'Dashboard Items'!$A$2:$A$497,0))=C200),INDEX('Dashboard Items'!$C$2:$C$497,MATCH(D200,'Dashboard Items'!$A$2:$A$497,0)),"Level does not match ID")),"ID not found"))</f>
        <v/>
      </c>
      <c r="F200" s="7"/>
      <c r="G200" s="6" t="str">
        <f>IF(F200="","",IF(ISNUMBER(SEARCH(",",F200)),"Several items (the script lists them)",IFERROR(INDEX('Dashboard Items'!$B$2:$B$497,MATCH(F200,'Dashboard Items'!$A$2:$A$497,0))&amp;": "&amp;INDEX('Dashboard Items'!$C$2:$C$497,MATCH(F200,'Dashboard Items'!$A$2:$A$497,0)),"ID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Items'!$B$2:$B$497,MATCH(D201,'Dashboard Items'!$A$2:$A$497,0))="Objective","Objectives go in the next column",IF(OR(C201="",INDEX('Dashboard Items'!$B$2:$B$497,MATCH(D201,'Dashboard Items'!$A$2:$A$497,0))=C201),INDEX('Dashboard Items'!$C$2:$C$497,MATCH(D201,'Dashboard Items'!$A$2:$A$497,0)),"Level does not match ID")),"ID not found"))</f>
        <v/>
      </c>
      <c r="F201" s="7"/>
      <c r="G201" s="6" t="str">
        <f>IF(F201="","",IF(ISNUMBER(SEARCH(",",F201)),"Several items (the script lists them)",IFERROR(INDEX('Dashboard Items'!$B$2:$B$497,MATCH(F201,'Dashboard Items'!$A$2:$A$497,0))&amp;": "&amp;INDEX('Dashboard Items'!$C$2:$C$497,MATCH(F201,'Dashboard Items'!$A$2:$A$497,0)),"ID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Items'!$B$2:$B$497,MATCH(D202,'Dashboard Items'!$A$2:$A$497,0))="Objective","Objectives go in the next column",IF(OR(C202="",INDEX('Dashboard Items'!$B$2:$B$497,MATCH(D202,'Dashboard Items'!$A$2:$A$497,0))=C202),INDEX('Dashboard Items'!$C$2:$C$497,MATCH(D202,'Dashboard Items'!$A$2:$A$497,0)),"Level does not match ID")),"ID not found"))</f>
        <v/>
      </c>
      <c r="F202" s="7"/>
      <c r="G202" s="6" t="str">
        <f>IF(F202="","",IF(ISNUMBER(SEARCH(",",F202)),"Several items (the script lists them)",IFERROR(INDEX('Dashboard Items'!$B$2:$B$497,MATCH(F202,'Dashboard Items'!$A$2:$A$497,0))&amp;": "&amp;INDEX('Dashboard Items'!$C$2:$C$497,MATCH(F202,'Dashboard Items'!$A$2:$A$497,0)),"ID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Items'!$B$2:$B$497,MATCH(D203,'Dashboard Items'!$A$2:$A$497,0))="Objective","Objectives go in the next column",IF(OR(C203="",INDEX('Dashboard Items'!$B$2:$B$497,MATCH(D203,'Dashboard Items'!$A$2:$A$497,0))=C203),INDEX('Dashboard Items'!$C$2:$C$497,MATCH(D203,'Dashboard Items'!$A$2:$A$497,0)),"Level does not match ID")),"ID not found"))</f>
        <v/>
      </c>
      <c r="F203" s="7"/>
      <c r="G203" s="6" t="str">
        <f>IF(F203="","",IF(ISNUMBER(SEARCH(",",F203)),"Several items (the script lists them)",IFERROR(INDEX('Dashboard Items'!$B$2:$B$497,MATCH(F203,'Dashboard Items'!$A$2:$A$497,0))&amp;": "&amp;INDEX('Dashboard Items'!$C$2:$C$497,MATCH(F203,'Dashboard Items'!$A$2:$A$497,0)),"ID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Items'!$B$2:$B$497,MATCH(D204,'Dashboard Items'!$A$2:$A$497,0))="Objective","Objectives go in the next column",IF(OR(C204="",INDEX('Dashboard Items'!$B$2:$B$497,MATCH(D204,'Dashboard Items'!$A$2:$A$497,0))=C204),INDEX('Dashboard Items'!$C$2:$C$497,MATCH(D204,'Dashboard Items'!$A$2:$A$497,0)),"Level does not match ID")),"ID not found"))</f>
        <v/>
      </c>
      <c r="F204" s="7"/>
      <c r="G204" s="6" t="str">
        <f>IF(F204="","",IF(ISNUMBER(SEARCH(",",F204)),"Several items (the script lists them)",IFERROR(INDEX('Dashboard Items'!$B$2:$B$497,MATCH(F204,'Dashboard Items'!$A$2:$A$497,0))&amp;": "&amp;INDEX('Dashboard Items'!$C$2:$C$497,MATCH(F204,'Dashboard Items'!$A$2:$A$497,0)),"ID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Items'!$B$2:$B$497,MATCH(D205,'Dashboard Items'!$A$2:$A$497,0))="Objective","Objectives go in the next column",IF(OR(C205="",INDEX('Dashboard Items'!$B$2:$B$497,MATCH(D205,'Dashboard Items'!$A$2:$A$497,0))=C205),INDEX('Dashboard Items'!$C$2:$C$497,MATCH(D205,'Dashboard Items'!$A$2:$A$497,0)),"Level does not match ID")),"ID not found"))</f>
        <v/>
      </c>
      <c r="F205" s="7"/>
      <c r="G205" s="6" t="str">
        <f>IF(F205="","",IF(ISNUMBER(SEARCH(",",F205)),"Several items (the script lists them)",IFERROR(INDEX('Dashboard Items'!$B$2:$B$497,MATCH(F205,'Dashboard Items'!$A$2:$A$497,0))&amp;": "&amp;INDEX('Dashboard Items'!$C$2:$C$497,MATCH(F205,'Dashboard Items'!$A$2:$A$497,0)),"ID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Items'!$B$2:$B$497,MATCH(D206,'Dashboard Items'!$A$2:$A$497,0))="Objective","Objectives go in the next column",IF(OR(C206="",INDEX('Dashboard Items'!$B$2:$B$497,MATCH(D206,'Dashboard Items'!$A$2:$A$497,0))=C206),INDEX('Dashboard Items'!$C$2:$C$497,MATCH(D206,'Dashboard Items'!$A$2:$A$497,0)),"Level does not match ID")),"ID not found"))</f>
        <v/>
      </c>
      <c r="F206" s="7"/>
      <c r="G206" s="6" t="str">
        <f>IF(F206="","",IF(ISNUMBER(SEARCH(",",F206)),"Several items (the script lists them)",IFERROR(INDEX('Dashboard Items'!$B$2:$B$497,MATCH(F206,'Dashboard Items'!$A$2:$A$497,0))&amp;": "&amp;INDEX('Dashboard Items'!$C$2:$C$497,MATCH(F206,'Dashboard Items'!$A$2:$A$497,0)),"ID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Items'!$B$2:$B$497,MATCH(D207,'Dashboard Items'!$A$2:$A$497,0))="Objective","Objectives go in the next column",IF(OR(C207="",INDEX('Dashboard Items'!$B$2:$B$497,MATCH(D207,'Dashboard Items'!$A$2:$A$497,0))=C207),INDEX('Dashboard Items'!$C$2:$C$497,MATCH(D207,'Dashboard Items'!$A$2:$A$497,0)),"Level does not match ID")),"ID not found"))</f>
        <v/>
      </c>
      <c r="F207" s="7"/>
      <c r="G207" s="6" t="str">
        <f>IF(F207="","",IF(ISNUMBER(SEARCH(",",F207)),"Several items (the script lists them)",IFERROR(INDEX('Dashboard Items'!$B$2:$B$497,MATCH(F207,'Dashboard Items'!$A$2:$A$497,0))&amp;": "&amp;INDEX('Dashboard Items'!$C$2:$C$497,MATCH(F207,'Dashboard Items'!$A$2:$A$497,0)),"ID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Items'!$B$2:$B$497,MATCH(D208,'Dashboard Items'!$A$2:$A$497,0))="Objective","Objectives go in the next column",IF(OR(C208="",INDEX('Dashboard Items'!$B$2:$B$497,MATCH(D208,'Dashboard Items'!$A$2:$A$497,0))=C208),INDEX('Dashboard Items'!$C$2:$C$497,MATCH(D208,'Dashboard Items'!$A$2:$A$497,0)),"Level does not match ID")),"ID not found"))</f>
        <v/>
      </c>
      <c r="F208" s="7"/>
      <c r="G208" s="6" t="str">
        <f>IF(F208="","",IF(ISNUMBER(SEARCH(",",F208)),"Several items (the script lists them)",IFERROR(INDEX('Dashboard Items'!$B$2:$B$497,MATCH(F208,'Dashboard Items'!$A$2:$A$497,0))&amp;": "&amp;INDEX('Dashboard Items'!$C$2:$C$497,MATCH(F208,'Dashboard Items'!$A$2:$A$497,0)),"ID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Items'!$B$2:$B$497,MATCH(D209,'Dashboard Items'!$A$2:$A$497,0))="Objective","Objectives go in the next column",IF(OR(C209="",INDEX('Dashboard Items'!$B$2:$B$497,MATCH(D209,'Dashboard Items'!$A$2:$A$497,0))=C209),INDEX('Dashboard Items'!$C$2:$C$497,MATCH(D209,'Dashboard Items'!$A$2:$A$497,0)),"Level does not match ID")),"ID not found"))</f>
        <v/>
      </c>
      <c r="F209" s="7"/>
      <c r="G209" s="6" t="str">
        <f>IF(F209="","",IF(ISNUMBER(SEARCH(",",F209)),"Several items (the script lists them)",IFERROR(INDEX('Dashboard Items'!$B$2:$B$497,MATCH(F209,'Dashboard Items'!$A$2:$A$497,0))&amp;": "&amp;INDEX('Dashboard Items'!$C$2:$C$497,MATCH(F209,'Dashboard Items'!$A$2:$A$497,0)),"ID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Items'!$B$2:$B$497,MATCH(D210,'Dashboard Items'!$A$2:$A$497,0))="Objective","Objectives go in the next column",IF(OR(C210="",INDEX('Dashboard Items'!$B$2:$B$497,MATCH(D210,'Dashboard Items'!$A$2:$A$497,0))=C210),INDEX('Dashboard Items'!$C$2:$C$497,MATCH(D210,'Dashboard Items'!$A$2:$A$497,0)),"Level does not match ID")),"ID not found"))</f>
        <v/>
      </c>
      <c r="F210" s="7"/>
      <c r="G210" s="6" t="str">
        <f>IF(F210="","",IF(ISNUMBER(SEARCH(",",F210)),"Several items (the script lists them)",IFERROR(INDEX('Dashboard Items'!$B$2:$B$497,MATCH(F210,'Dashboard Items'!$A$2:$A$497,0))&amp;": "&amp;INDEX('Dashboard Items'!$C$2:$C$497,MATCH(F210,'Dashboard Items'!$A$2:$A$497,0)),"ID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Items'!$B$2:$B$497,MATCH(D211,'Dashboard Items'!$A$2:$A$497,0))="Objective","Objectives go in the next column",IF(OR(C211="",INDEX('Dashboard Items'!$B$2:$B$497,MATCH(D211,'Dashboard Items'!$A$2:$A$497,0))=C211),INDEX('Dashboard Items'!$C$2:$C$497,MATCH(D211,'Dashboard Items'!$A$2:$A$497,0)),"Level does not match ID")),"ID not found"))</f>
        <v/>
      </c>
      <c r="F211" s="7"/>
      <c r="G211" s="6" t="str">
        <f>IF(F211="","",IF(ISNUMBER(SEARCH(",",F211)),"Several items (the script lists them)",IFERROR(INDEX('Dashboard Items'!$B$2:$B$497,MATCH(F211,'Dashboard Items'!$A$2:$A$497,0))&amp;": "&amp;INDEX('Dashboard Items'!$C$2:$C$497,MATCH(F211,'Dashboard Items'!$A$2:$A$497,0)),"ID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Items'!$B$2:$B$497,MATCH(D212,'Dashboard Items'!$A$2:$A$497,0))="Objective","Objectives go in the next column",IF(OR(C212="",INDEX('Dashboard Items'!$B$2:$B$497,MATCH(D212,'Dashboard Items'!$A$2:$A$497,0))=C212),INDEX('Dashboard Items'!$C$2:$C$497,MATCH(D212,'Dashboard Items'!$A$2:$A$497,0)),"Level does not match ID")),"ID not found"))</f>
        <v/>
      </c>
      <c r="F212" s="7"/>
      <c r="G212" s="6" t="str">
        <f>IF(F212="","",IF(ISNUMBER(SEARCH(",",F212)),"Several items (the script lists them)",IFERROR(INDEX('Dashboard Items'!$B$2:$B$497,MATCH(F212,'Dashboard Items'!$A$2:$A$497,0))&amp;": "&amp;INDEX('Dashboard Items'!$C$2:$C$497,MATCH(F212,'Dashboard Items'!$A$2:$A$497,0)),"ID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Items'!$B$2:$B$497,MATCH(D213,'Dashboard Items'!$A$2:$A$497,0))="Objective","Objectives go in the next column",IF(OR(C213="",INDEX('Dashboard Items'!$B$2:$B$497,MATCH(D213,'Dashboard Items'!$A$2:$A$497,0))=C213),INDEX('Dashboard Items'!$C$2:$C$497,MATCH(D213,'Dashboard Items'!$A$2:$A$497,0)),"Level does not match ID")),"ID not found"))</f>
        <v/>
      </c>
      <c r="F213" s="7"/>
      <c r="G213" s="6" t="str">
        <f>IF(F213="","",IF(ISNUMBER(SEARCH(",",F213)),"Several items (the script lists them)",IFERROR(INDEX('Dashboard Items'!$B$2:$B$497,MATCH(F213,'Dashboard Items'!$A$2:$A$497,0))&amp;": "&amp;INDEX('Dashboard Items'!$C$2:$C$497,MATCH(F213,'Dashboard Items'!$A$2:$A$497,0)),"ID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Items'!$B$2:$B$497,MATCH(D214,'Dashboard Items'!$A$2:$A$497,0))="Objective","Objectives go in the next column",IF(OR(C214="",INDEX('Dashboard Items'!$B$2:$B$497,MATCH(D214,'Dashboard Items'!$A$2:$A$497,0))=C214),INDEX('Dashboard Items'!$C$2:$C$497,MATCH(D214,'Dashboard Items'!$A$2:$A$497,0)),"Level does not match ID")),"ID not found"))</f>
        <v/>
      </c>
      <c r="F214" s="7"/>
      <c r="G214" s="6" t="str">
        <f>IF(F214="","",IF(ISNUMBER(SEARCH(",",F214)),"Several items (the script lists them)",IFERROR(INDEX('Dashboard Items'!$B$2:$B$497,MATCH(F214,'Dashboard Items'!$A$2:$A$497,0))&amp;": "&amp;INDEX('Dashboard Items'!$C$2:$C$497,MATCH(F214,'Dashboard Items'!$A$2:$A$497,0)),"ID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Items'!$B$2:$B$497,MATCH(D215,'Dashboard Items'!$A$2:$A$497,0))="Objective","Objectives go in the next column",IF(OR(C215="",INDEX('Dashboard Items'!$B$2:$B$497,MATCH(D215,'Dashboard Items'!$A$2:$A$497,0))=C215),INDEX('Dashboard Items'!$C$2:$C$497,MATCH(D215,'Dashboard Items'!$A$2:$A$497,0)),"Level does not match ID")),"ID not found"))</f>
        <v/>
      </c>
      <c r="F215" s="7"/>
      <c r="G215" s="6" t="str">
        <f>IF(F215="","",IF(ISNUMBER(SEARCH(",",F215)),"Several items (the script lists them)",IFERROR(INDEX('Dashboard Items'!$B$2:$B$497,MATCH(F215,'Dashboard Items'!$A$2:$A$497,0))&amp;": "&amp;INDEX('Dashboard Items'!$C$2:$C$497,MATCH(F215,'Dashboard Items'!$A$2:$A$497,0)),"ID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Items'!$B$2:$B$497,MATCH(D216,'Dashboard Items'!$A$2:$A$497,0))="Objective","Objectives go in the next column",IF(OR(C216="",INDEX('Dashboard Items'!$B$2:$B$497,MATCH(D216,'Dashboard Items'!$A$2:$A$497,0))=C216),INDEX('Dashboard Items'!$C$2:$C$497,MATCH(D216,'Dashboard Items'!$A$2:$A$497,0)),"Level does not match ID")),"ID not found"))</f>
        <v/>
      </c>
      <c r="F216" s="7"/>
      <c r="G216" s="6" t="str">
        <f>IF(F216="","",IF(ISNUMBER(SEARCH(",",F216)),"Several items (the script lists them)",IFERROR(INDEX('Dashboard Items'!$B$2:$B$497,MATCH(F216,'Dashboard Items'!$A$2:$A$497,0))&amp;": "&amp;INDEX('Dashboard Items'!$C$2:$C$497,MATCH(F216,'Dashboard Items'!$A$2:$A$497,0)),"ID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Items'!$B$2:$B$497,MATCH(D217,'Dashboard Items'!$A$2:$A$497,0))="Objective","Objectives go in the next column",IF(OR(C217="",INDEX('Dashboard Items'!$B$2:$B$497,MATCH(D217,'Dashboard Items'!$A$2:$A$497,0))=C217),INDEX('Dashboard Items'!$C$2:$C$497,MATCH(D217,'Dashboard Items'!$A$2:$A$497,0)),"Level does not match ID")),"ID not found"))</f>
        <v/>
      </c>
      <c r="F217" s="7"/>
      <c r="G217" s="6" t="str">
        <f>IF(F217="","",IF(ISNUMBER(SEARCH(",",F217)),"Several items (the script lists them)",IFERROR(INDEX('Dashboard Items'!$B$2:$B$497,MATCH(F217,'Dashboard Items'!$A$2:$A$497,0))&amp;": "&amp;INDEX('Dashboard Items'!$C$2:$C$497,MATCH(F217,'Dashboard Items'!$A$2:$A$497,0)),"ID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Items'!$B$2:$B$497,MATCH(D218,'Dashboard Items'!$A$2:$A$497,0))="Objective","Objectives go in the next column",IF(OR(C218="",INDEX('Dashboard Items'!$B$2:$B$497,MATCH(D218,'Dashboard Items'!$A$2:$A$497,0))=C218),INDEX('Dashboard Items'!$C$2:$C$497,MATCH(D218,'Dashboard Items'!$A$2:$A$497,0)),"Level does not match ID")),"ID not found"))</f>
        <v/>
      </c>
      <c r="F218" s="7"/>
      <c r="G218" s="6" t="str">
        <f>IF(F218="","",IF(ISNUMBER(SEARCH(",",F218)),"Several items (the script lists them)",IFERROR(INDEX('Dashboard Items'!$B$2:$B$497,MATCH(F218,'Dashboard Items'!$A$2:$A$497,0))&amp;": "&amp;INDEX('Dashboard Items'!$C$2:$C$497,MATCH(F218,'Dashboard Items'!$A$2:$A$497,0)),"ID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Items'!$B$2:$B$497,MATCH(D219,'Dashboard Items'!$A$2:$A$497,0))="Objective","Objectives go in the next column",IF(OR(C219="",INDEX('Dashboard Items'!$B$2:$B$497,MATCH(D219,'Dashboard Items'!$A$2:$A$497,0))=C219),INDEX('Dashboard Items'!$C$2:$C$497,MATCH(D219,'Dashboard Items'!$A$2:$A$497,0)),"Level does not match ID")),"ID not found"))</f>
        <v/>
      </c>
      <c r="F219" s="7"/>
      <c r="G219" s="6" t="str">
        <f>IF(F219="","",IF(ISNUMBER(SEARCH(",",F219)),"Several items (the script lists them)",IFERROR(INDEX('Dashboard Items'!$B$2:$B$497,MATCH(F219,'Dashboard Items'!$A$2:$A$497,0))&amp;": "&amp;INDEX('Dashboard Items'!$C$2:$C$497,MATCH(F219,'Dashboard Items'!$A$2:$A$497,0)),"ID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Items'!$B$2:$B$497,MATCH(D220,'Dashboard Items'!$A$2:$A$497,0))="Objective","Objectives go in the next column",IF(OR(C220="",INDEX('Dashboard Items'!$B$2:$B$497,MATCH(D220,'Dashboard Items'!$A$2:$A$497,0))=C220),INDEX('Dashboard Items'!$C$2:$C$497,MATCH(D220,'Dashboard Items'!$A$2:$A$497,0)),"Level does not match ID")),"ID not found"))</f>
        <v/>
      </c>
      <c r="F220" s="7"/>
      <c r="G220" s="6" t="str">
        <f>IF(F220="","",IF(ISNUMBER(SEARCH(",",F220)),"Several items (the script lists them)",IFERROR(INDEX('Dashboard Items'!$B$2:$B$497,MATCH(F220,'Dashboard Items'!$A$2:$A$497,0))&amp;": "&amp;INDEX('Dashboard Items'!$C$2:$C$497,MATCH(F220,'Dashboard Items'!$A$2:$A$497,0)),"ID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Items'!$B$2:$B$497,MATCH(D221,'Dashboard Items'!$A$2:$A$497,0))="Objective","Objectives go in the next column",IF(OR(C221="",INDEX('Dashboard Items'!$B$2:$B$497,MATCH(D221,'Dashboard Items'!$A$2:$A$497,0))=C221),INDEX('Dashboard Items'!$C$2:$C$497,MATCH(D221,'Dashboard Items'!$A$2:$A$497,0)),"Level does not match ID")),"ID not found"))</f>
        <v/>
      </c>
      <c r="F221" s="7"/>
      <c r="G221" s="6" t="str">
        <f>IF(F221="","",IF(ISNUMBER(SEARCH(",",F221)),"Several items (the script lists them)",IFERROR(INDEX('Dashboard Items'!$B$2:$B$497,MATCH(F221,'Dashboard Items'!$A$2:$A$497,0))&amp;": "&amp;INDEX('Dashboard Items'!$C$2:$C$497,MATCH(F221,'Dashboard Items'!$A$2:$A$497,0)),"ID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Items'!$B$2:$B$497,MATCH(D222,'Dashboard Items'!$A$2:$A$497,0))="Objective","Objectives go in the next column",IF(OR(C222="",INDEX('Dashboard Items'!$B$2:$B$497,MATCH(D222,'Dashboard Items'!$A$2:$A$497,0))=C222),INDEX('Dashboard Items'!$C$2:$C$497,MATCH(D222,'Dashboard Items'!$A$2:$A$497,0)),"Level does not match ID")),"ID not found"))</f>
        <v/>
      </c>
      <c r="F222" s="7"/>
      <c r="G222" s="6" t="str">
        <f>IF(F222="","",IF(ISNUMBER(SEARCH(",",F222)),"Several items (the script lists them)",IFERROR(INDEX('Dashboard Items'!$B$2:$B$497,MATCH(F222,'Dashboard Items'!$A$2:$A$497,0))&amp;": "&amp;INDEX('Dashboard Items'!$C$2:$C$497,MATCH(F222,'Dashboard Items'!$A$2:$A$497,0)),"ID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Items'!$B$2:$B$497,MATCH(D223,'Dashboard Items'!$A$2:$A$497,0))="Objective","Objectives go in the next column",IF(OR(C223="",INDEX('Dashboard Items'!$B$2:$B$497,MATCH(D223,'Dashboard Items'!$A$2:$A$497,0))=C223),INDEX('Dashboard Items'!$C$2:$C$497,MATCH(D223,'Dashboard Items'!$A$2:$A$497,0)),"Level does not match ID")),"ID not found"))</f>
        <v/>
      </c>
      <c r="F223" s="7"/>
      <c r="G223" s="6" t="str">
        <f>IF(F223="","",IF(ISNUMBER(SEARCH(",",F223)),"Several items (the script lists them)",IFERROR(INDEX('Dashboard Items'!$B$2:$B$497,MATCH(F223,'Dashboard Items'!$A$2:$A$497,0))&amp;": "&amp;INDEX('Dashboard Items'!$C$2:$C$497,MATCH(F223,'Dashboard Items'!$A$2:$A$497,0)),"ID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Items'!$B$2:$B$497,MATCH(D224,'Dashboard Items'!$A$2:$A$497,0))="Objective","Objectives go in the next column",IF(OR(C224="",INDEX('Dashboard Items'!$B$2:$B$497,MATCH(D224,'Dashboard Items'!$A$2:$A$497,0))=C224),INDEX('Dashboard Items'!$C$2:$C$497,MATCH(D224,'Dashboard Items'!$A$2:$A$497,0)),"Level does not match ID")),"ID not found"))</f>
        <v/>
      </c>
      <c r="F224" s="7"/>
      <c r="G224" s="6" t="str">
        <f>IF(F224="","",IF(ISNUMBER(SEARCH(",",F224)),"Several items (the script lists them)",IFERROR(INDEX('Dashboard Items'!$B$2:$B$497,MATCH(F224,'Dashboard Items'!$A$2:$A$497,0))&amp;": "&amp;INDEX('Dashboard Items'!$C$2:$C$497,MATCH(F224,'Dashboard Items'!$A$2:$A$497,0)),"ID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Items'!$B$2:$B$497,MATCH(D225,'Dashboard Items'!$A$2:$A$497,0))="Objective","Objectives go in the next column",IF(OR(C225="",INDEX('Dashboard Items'!$B$2:$B$497,MATCH(D225,'Dashboard Items'!$A$2:$A$497,0))=C225),INDEX('Dashboard Items'!$C$2:$C$497,MATCH(D225,'Dashboard Items'!$A$2:$A$497,0)),"Level does not match ID")),"ID not found"))</f>
        <v/>
      </c>
      <c r="F225" s="7"/>
      <c r="G225" s="6" t="str">
        <f>IF(F225="","",IF(ISNUMBER(SEARCH(",",F225)),"Several items (the script lists them)",IFERROR(INDEX('Dashboard Items'!$B$2:$B$497,MATCH(F225,'Dashboard Items'!$A$2:$A$497,0))&amp;": "&amp;INDEX('Dashboard Items'!$C$2:$C$497,MATCH(F225,'Dashboard Items'!$A$2:$A$497,0)),"ID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Items'!$B$2:$B$497,MATCH(D226,'Dashboard Items'!$A$2:$A$497,0))="Objective","Objectives go in the next column",IF(OR(C226="",INDEX('Dashboard Items'!$B$2:$B$497,MATCH(D226,'Dashboard Items'!$A$2:$A$497,0))=C226),INDEX('Dashboard Items'!$C$2:$C$497,MATCH(D226,'Dashboard Items'!$A$2:$A$497,0)),"Level does not match ID")),"ID not found"))</f>
        <v/>
      </c>
      <c r="F226" s="7"/>
      <c r="G226" s="6" t="str">
        <f>IF(F226="","",IF(ISNUMBER(SEARCH(",",F226)),"Several items (the script lists them)",IFERROR(INDEX('Dashboard Items'!$B$2:$B$497,MATCH(F226,'Dashboard Items'!$A$2:$A$497,0))&amp;": "&amp;INDEX('Dashboard Items'!$C$2:$C$497,MATCH(F226,'Dashboard Items'!$A$2:$A$497,0)),"ID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Items'!$B$2:$B$497,MATCH(D227,'Dashboard Items'!$A$2:$A$497,0))="Objective","Objectives go in the next column",IF(OR(C227="",INDEX('Dashboard Items'!$B$2:$B$497,MATCH(D227,'Dashboard Items'!$A$2:$A$497,0))=C227),INDEX('Dashboard Items'!$C$2:$C$497,MATCH(D227,'Dashboard Items'!$A$2:$A$497,0)),"Level does not match ID")),"ID not found"))</f>
        <v/>
      </c>
      <c r="F227" s="7"/>
      <c r="G227" s="6" t="str">
        <f>IF(F227="","",IF(ISNUMBER(SEARCH(",",F227)),"Several items (the script lists them)",IFERROR(INDEX('Dashboard Items'!$B$2:$B$497,MATCH(F227,'Dashboard Items'!$A$2:$A$497,0))&amp;": "&amp;INDEX('Dashboard Items'!$C$2:$C$497,MATCH(F227,'Dashboard Items'!$A$2:$A$497,0)),"ID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Items'!$B$2:$B$497,MATCH(D228,'Dashboard Items'!$A$2:$A$497,0))="Objective","Objectives go in the next column",IF(OR(C228="",INDEX('Dashboard Items'!$B$2:$B$497,MATCH(D228,'Dashboard Items'!$A$2:$A$497,0))=C228),INDEX('Dashboard Items'!$C$2:$C$497,MATCH(D228,'Dashboard Items'!$A$2:$A$497,0)),"Level does not match ID")),"ID not found"))</f>
        <v/>
      </c>
      <c r="F228" s="7"/>
      <c r="G228" s="6" t="str">
        <f>IF(F228="","",IF(ISNUMBER(SEARCH(",",F228)),"Several items (the script lists them)",IFERROR(INDEX('Dashboard Items'!$B$2:$B$497,MATCH(F228,'Dashboard Items'!$A$2:$A$497,0))&amp;": "&amp;INDEX('Dashboard Items'!$C$2:$C$497,MATCH(F228,'Dashboard Items'!$A$2:$A$497,0)),"ID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Items'!$B$2:$B$497,MATCH(D229,'Dashboard Items'!$A$2:$A$497,0))="Objective","Objectives go in the next column",IF(OR(C229="",INDEX('Dashboard Items'!$B$2:$B$497,MATCH(D229,'Dashboard Items'!$A$2:$A$497,0))=C229),INDEX('Dashboard Items'!$C$2:$C$497,MATCH(D229,'Dashboard Items'!$A$2:$A$497,0)),"Level does not match ID")),"ID not found"))</f>
        <v/>
      </c>
      <c r="F229" s="7"/>
      <c r="G229" s="6" t="str">
        <f>IF(F229="","",IF(ISNUMBER(SEARCH(",",F229)),"Several items (the script lists them)",IFERROR(INDEX('Dashboard Items'!$B$2:$B$497,MATCH(F229,'Dashboard Items'!$A$2:$A$497,0))&amp;": "&amp;INDEX('Dashboard Items'!$C$2:$C$497,MATCH(F229,'Dashboard Items'!$A$2:$A$497,0)),"ID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Items'!$B$2:$B$497,MATCH(D230,'Dashboard Items'!$A$2:$A$497,0))="Objective","Objectives go in the next column",IF(OR(C230="",INDEX('Dashboard Items'!$B$2:$B$497,MATCH(D230,'Dashboard Items'!$A$2:$A$497,0))=C230),INDEX('Dashboard Items'!$C$2:$C$497,MATCH(D230,'Dashboard Items'!$A$2:$A$497,0)),"Level does not match ID")),"ID not found"))</f>
        <v/>
      </c>
      <c r="F230" s="7"/>
      <c r="G230" s="6" t="str">
        <f>IF(F230="","",IF(ISNUMBER(SEARCH(",",F230)),"Several items (the script lists them)",IFERROR(INDEX('Dashboard Items'!$B$2:$B$497,MATCH(F230,'Dashboard Items'!$A$2:$A$497,0))&amp;": "&amp;INDEX('Dashboard Items'!$C$2:$C$497,MATCH(F230,'Dashboard Items'!$A$2:$A$497,0)),"ID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Items'!$B$2:$B$497,MATCH(D231,'Dashboard Items'!$A$2:$A$497,0))="Objective","Objectives go in the next column",IF(OR(C231="",INDEX('Dashboard Items'!$B$2:$B$497,MATCH(D231,'Dashboard Items'!$A$2:$A$497,0))=C231),INDEX('Dashboard Items'!$C$2:$C$497,MATCH(D231,'Dashboard Items'!$A$2:$A$497,0)),"Level does not match ID")),"ID not found"))</f>
        <v/>
      </c>
      <c r="F231" s="7"/>
      <c r="G231" s="6" t="str">
        <f>IF(F231="","",IF(ISNUMBER(SEARCH(",",F231)),"Several items (the script lists them)",IFERROR(INDEX('Dashboard Items'!$B$2:$B$497,MATCH(F231,'Dashboard Items'!$A$2:$A$497,0))&amp;": "&amp;INDEX('Dashboard Items'!$C$2:$C$497,MATCH(F231,'Dashboard Items'!$A$2:$A$497,0)),"ID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Items'!$B$2:$B$497,MATCH(D232,'Dashboard Items'!$A$2:$A$497,0))="Objective","Objectives go in the next column",IF(OR(C232="",INDEX('Dashboard Items'!$B$2:$B$497,MATCH(D232,'Dashboard Items'!$A$2:$A$497,0))=C232),INDEX('Dashboard Items'!$C$2:$C$497,MATCH(D232,'Dashboard Items'!$A$2:$A$497,0)),"Level does not match ID")),"ID not found"))</f>
        <v/>
      </c>
      <c r="F232" s="7"/>
      <c r="G232" s="6" t="str">
        <f>IF(F232="","",IF(ISNUMBER(SEARCH(",",F232)),"Several items (the script lists them)",IFERROR(INDEX('Dashboard Items'!$B$2:$B$497,MATCH(F232,'Dashboard Items'!$A$2:$A$497,0))&amp;": "&amp;INDEX('Dashboard Items'!$C$2:$C$497,MATCH(F232,'Dashboard Items'!$A$2:$A$497,0)),"ID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Items'!$B$2:$B$497,MATCH(D233,'Dashboard Items'!$A$2:$A$497,0))="Objective","Objectives go in the next column",IF(OR(C233="",INDEX('Dashboard Items'!$B$2:$B$497,MATCH(D233,'Dashboard Items'!$A$2:$A$497,0))=C233),INDEX('Dashboard Items'!$C$2:$C$497,MATCH(D233,'Dashboard Items'!$A$2:$A$497,0)),"Level does not match ID")),"ID not found"))</f>
        <v/>
      </c>
      <c r="F233" s="7"/>
      <c r="G233" s="6" t="str">
        <f>IF(F233="","",IF(ISNUMBER(SEARCH(",",F233)),"Several items (the script lists them)",IFERROR(INDEX('Dashboard Items'!$B$2:$B$497,MATCH(F233,'Dashboard Items'!$A$2:$A$497,0))&amp;": "&amp;INDEX('Dashboard Items'!$C$2:$C$497,MATCH(F233,'Dashboard Items'!$A$2:$A$497,0)),"ID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Items'!$B$2:$B$497,MATCH(D234,'Dashboard Items'!$A$2:$A$497,0))="Objective","Objectives go in the next column",IF(OR(C234="",INDEX('Dashboard Items'!$B$2:$B$497,MATCH(D234,'Dashboard Items'!$A$2:$A$497,0))=C234),INDEX('Dashboard Items'!$C$2:$C$497,MATCH(D234,'Dashboard Items'!$A$2:$A$497,0)),"Level does not match ID")),"ID not found"))</f>
        <v/>
      </c>
      <c r="F234" s="7"/>
      <c r="G234" s="6" t="str">
        <f>IF(F234="","",IF(ISNUMBER(SEARCH(",",F234)),"Several items (the script lists them)",IFERROR(INDEX('Dashboard Items'!$B$2:$B$497,MATCH(F234,'Dashboard Items'!$A$2:$A$497,0))&amp;": "&amp;INDEX('Dashboard Items'!$C$2:$C$497,MATCH(F234,'Dashboard Items'!$A$2:$A$497,0)),"ID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Items'!$B$2:$B$497,MATCH(D235,'Dashboard Items'!$A$2:$A$497,0))="Objective","Objectives go in the next column",IF(OR(C235="",INDEX('Dashboard Items'!$B$2:$B$497,MATCH(D235,'Dashboard Items'!$A$2:$A$497,0))=C235),INDEX('Dashboard Items'!$C$2:$C$497,MATCH(D235,'Dashboard Items'!$A$2:$A$497,0)),"Level does not match ID")),"ID not found"))</f>
        <v/>
      </c>
      <c r="F235" s="7"/>
      <c r="G235" s="6" t="str">
        <f>IF(F235="","",IF(ISNUMBER(SEARCH(",",F235)),"Several items (the script lists them)",IFERROR(INDEX('Dashboard Items'!$B$2:$B$497,MATCH(F235,'Dashboard Items'!$A$2:$A$497,0))&amp;": "&amp;INDEX('Dashboard Items'!$C$2:$C$497,MATCH(F235,'Dashboard Items'!$A$2:$A$497,0)),"ID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Items'!$B$2:$B$497,MATCH(D236,'Dashboard Items'!$A$2:$A$497,0))="Objective","Objectives go in the next column",IF(OR(C236="",INDEX('Dashboard Items'!$B$2:$B$497,MATCH(D236,'Dashboard Items'!$A$2:$A$497,0))=C236),INDEX('Dashboard Items'!$C$2:$C$497,MATCH(D236,'Dashboard Items'!$A$2:$A$497,0)),"Level does not match ID")),"ID not found"))</f>
        <v/>
      </c>
      <c r="F236" s="7"/>
      <c r="G236" s="6" t="str">
        <f>IF(F236="","",IF(ISNUMBER(SEARCH(",",F236)),"Several items (the script lists them)",IFERROR(INDEX('Dashboard Items'!$B$2:$B$497,MATCH(F236,'Dashboard Items'!$A$2:$A$497,0))&amp;": "&amp;INDEX('Dashboard Items'!$C$2:$C$497,MATCH(F236,'Dashboard Items'!$A$2:$A$497,0)),"ID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Items'!$B$2:$B$497,MATCH(D237,'Dashboard Items'!$A$2:$A$497,0))="Objective","Objectives go in the next column",IF(OR(C237="",INDEX('Dashboard Items'!$B$2:$B$497,MATCH(D237,'Dashboard Items'!$A$2:$A$497,0))=C237),INDEX('Dashboard Items'!$C$2:$C$497,MATCH(D237,'Dashboard Items'!$A$2:$A$497,0)),"Level does not match ID")),"ID not found"))</f>
        <v/>
      </c>
      <c r="F237" s="7"/>
      <c r="G237" s="6" t="str">
        <f>IF(F237="","",IF(ISNUMBER(SEARCH(",",F237)),"Several items (the script lists them)",IFERROR(INDEX('Dashboard Items'!$B$2:$B$497,MATCH(F237,'Dashboard Items'!$A$2:$A$497,0))&amp;": "&amp;INDEX('Dashboard Items'!$C$2:$C$497,MATCH(F237,'Dashboard Items'!$A$2:$A$497,0)),"ID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Items'!$B$2:$B$497,MATCH(D238,'Dashboard Items'!$A$2:$A$497,0))="Objective","Objectives go in the next column",IF(OR(C238="",INDEX('Dashboard Items'!$B$2:$B$497,MATCH(D238,'Dashboard Items'!$A$2:$A$497,0))=C238),INDEX('Dashboard Items'!$C$2:$C$497,MATCH(D238,'Dashboard Items'!$A$2:$A$497,0)),"Level does not match ID")),"ID not found"))</f>
        <v/>
      </c>
      <c r="F238" s="7"/>
      <c r="G238" s="6" t="str">
        <f>IF(F238="","",IF(ISNUMBER(SEARCH(",",F238)),"Several items (the script lists them)",IFERROR(INDEX('Dashboard Items'!$B$2:$B$497,MATCH(F238,'Dashboard Items'!$A$2:$A$497,0))&amp;": "&amp;INDEX('Dashboard Items'!$C$2:$C$497,MATCH(F238,'Dashboard Items'!$A$2:$A$497,0)),"ID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Items'!$B$2:$B$497,MATCH(D239,'Dashboard Items'!$A$2:$A$497,0))="Objective","Objectives go in the next column",IF(OR(C239="",INDEX('Dashboard Items'!$B$2:$B$497,MATCH(D239,'Dashboard Items'!$A$2:$A$497,0))=C239),INDEX('Dashboard Items'!$C$2:$C$497,MATCH(D239,'Dashboard Items'!$A$2:$A$497,0)),"Level does not match ID")),"ID not found"))</f>
        <v/>
      </c>
      <c r="F239" s="7"/>
      <c r="G239" s="6" t="str">
        <f>IF(F239="","",IF(ISNUMBER(SEARCH(",",F239)),"Several items (the script lists them)",IFERROR(INDEX('Dashboard Items'!$B$2:$B$497,MATCH(F239,'Dashboard Items'!$A$2:$A$497,0))&amp;": "&amp;INDEX('Dashboard Items'!$C$2:$C$497,MATCH(F239,'Dashboard Items'!$A$2:$A$497,0)),"ID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Items'!$B$2:$B$497,MATCH(D240,'Dashboard Items'!$A$2:$A$497,0))="Objective","Objectives go in the next column",IF(OR(C240="",INDEX('Dashboard Items'!$B$2:$B$497,MATCH(D240,'Dashboard Items'!$A$2:$A$497,0))=C240),INDEX('Dashboard Items'!$C$2:$C$497,MATCH(D240,'Dashboard Items'!$A$2:$A$497,0)),"Level does not match ID")),"ID not found"))</f>
        <v/>
      </c>
      <c r="F240" s="7"/>
      <c r="G240" s="6" t="str">
        <f>IF(F240="","",IF(ISNUMBER(SEARCH(",",F240)),"Several items (the script lists them)",IFERROR(INDEX('Dashboard Items'!$B$2:$B$497,MATCH(F240,'Dashboard Items'!$A$2:$A$497,0))&amp;": "&amp;INDEX('Dashboard Items'!$C$2:$C$497,MATCH(F240,'Dashboard Items'!$A$2:$A$497,0)),"ID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Items'!$B$2:$B$497,MATCH(D241,'Dashboard Items'!$A$2:$A$497,0))="Objective","Objectives go in the next column",IF(OR(C241="",INDEX('Dashboard Items'!$B$2:$B$497,MATCH(D241,'Dashboard Items'!$A$2:$A$497,0))=C241),INDEX('Dashboard Items'!$C$2:$C$497,MATCH(D241,'Dashboard Items'!$A$2:$A$497,0)),"Level does not match ID")),"ID not found"))</f>
        <v/>
      </c>
      <c r="F241" s="7"/>
      <c r="G241" s="6" t="str">
        <f>IF(F241="","",IF(ISNUMBER(SEARCH(",",F241)),"Several items (the script lists them)",IFERROR(INDEX('Dashboard Items'!$B$2:$B$497,MATCH(F241,'Dashboard Items'!$A$2:$A$497,0))&amp;": "&amp;INDEX('Dashboard Items'!$C$2:$C$497,MATCH(F241,'Dashboard Items'!$A$2:$A$497,0)),"ID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Items'!$B$2:$B$497,MATCH(D242,'Dashboard Items'!$A$2:$A$497,0))="Objective","Objectives go in the next column",IF(OR(C242="",INDEX('Dashboard Items'!$B$2:$B$497,MATCH(D242,'Dashboard Items'!$A$2:$A$497,0))=C242),INDEX('Dashboard Items'!$C$2:$C$497,MATCH(D242,'Dashboard Items'!$A$2:$A$497,0)),"Level does not match ID")),"ID not found"))</f>
        <v/>
      </c>
      <c r="F242" s="7"/>
      <c r="G242" s="6" t="str">
        <f>IF(F242="","",IF(ISNUMBER(SEARCH(",",F242)),"Several items (the script lists them)",IFERROR(INDEX('Dashboard Items'!$B$2:$B$497,MATCH(F242,'Dashboard Items'!$A$2:$A$497,0))&amp;": "&amp;INDEX('Dashboard Items'!$C$2:$C$497,MATCH(F242,'Dashboard Items'!$A$2:$A$497,0)),"ID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Items'!$B$2:$B$497,MATCH(D243,'Dashboard Items'!$A$2:$A$497,0))="Objective","Objectives go in the next column",IF(OR(C243="",INDEX('Dashboard Items'!$B$2:$B$497,MATCH(D243,'Dashboard Items'!$A$2:$A$497,0))=C243),INDEX('Dashboard Items'!$C$2:$C$497,MATCH(D243,'Dashboard Items'!$A$2:$A$497,0)),"Level does not match ID")),"ID not found"))</f>
        <v/>
      </c>
      <c r="F243" s="7"/>
      <c r="G243" s="6" t="str">
        <f>IF(F243="","",IF(ISNUMBER(SEARCH(",",F243)),"Several items (the script lists them)",IFERROR(INDEX('Dashboard Items'!$B$2:$B$497,MATCH(F243,'Dashboard Items'!$A$2:$A$497,0))&amp;": "&amp;INDEX('Dashboard Items'!$C$2:$C$497,MATCH(F243,'Dashboard Items'!$A$2:$A$497,0)),"ID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Items'!$B$2:$B$497,MATCH(D244,'Dashboard Items'!$A$2:$A$497,0))="Objective","Objectives go in the next column",IF(OR(C244="",INDEX('Dashboard Items'!$B$2:$B$497,MATCH(D244,'Dashboard Items'!$A$2:$A$497,0))=C244),INDEX('Dashboard Items'!$C$2:$C$497,MATCH(D244,'Dashboard Items'!$A$2:$A$497,0)),"Level does not match ID")),"ID not found"))</f>
        <v/>
      </c>
      <c r="F244" s="7"/>
      <c r="G244" s="6" t="str">
        <f>IF(F244="","",IF(ISNUMBER(SEARCH(",",F244)),"Several items (the script lists them)",IFERROR(INDEX('Dashboard Items'!$B$2:$B$497,MATCH(F244,'Dashboard Items'!$A$2:$A$497,0))&amp;": "&amp;INDEX('Dashboard Items'!$C$2:$C$497,MATCH(F244,'Dashboard Items'!$A$2:$A$497,0)),"ID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Items'!$B$2:$B$497,MATCH(D245,'Dashboard Items'!$A$2:$A$497,0))="Objective","Objectives go in the next column",IF(OR(C245="",INDEX('Dashboard Items'!$B$2:$B$497,MATCH(D245,'Dashboard Items'!$A$2:$A$497,0))=C245),INDEX('Dashboard Items'!$C$2:$C$497,MATCH(D245,'Dashboard Items'!$A$2:$A$497,0)),"Level does not match ID")),"ID not found"))</f>
        <v/>
      </c>
      <c r="F245" s="7"/>
      <c r="G245" s="6" t="str">
        <f>IF(F245="","",IF(ISNUMBER(SEARCH(",",F245)),"Several items (the script lists them)",IFERROR(INDEX('Dashboard Items'!$B$2:$B$497,MATCH(F245,'Dashboard Items'!$A$2:$A$497,0))&amp;": "&amp;INDEX('Dashboard Items'!$C$2:$C$497,MATCH(F245,'Dashboard Items'!$A$2:$A$497,0)),"ID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Items'!$B$2:$B$497,MATCH(D246,'Dashboard Items'!$A$2:$A$497,0))="Objective","Objectives go in the next column",IF(OR(C246="",INDEX('Dashboard Items'!$B$2:$B$497,MATCH(D246,'Dashboard Items'!$A$2:$A$497,0))=C246),INDEX('Dashboard Items'!$C$2:$C$497,MATCH(D246,'Dashboard Items'!$A$2:$A$497,0)),"Level does not match ID")),"ID not found"))</f>
        <v/>
      </c>
      <c r="F246" s="7"/>
      <c r="G246" s="6" t="str">
        <f>IF(F246="","",IF(ISNUMBER(SEARCH(",",F246)),"Several items (the script lists them)",IFERROR(INDEX('Dashboard Items'!$B$2:$B$497,MATCH(F246,'Dashboard Items'!$A$2:$A$497,0))&amp;": "&amp;INDEX('Dashboard Items'!$C$2:$C$497,MATCH(F246,'Dashboard Items'!$A$2:$A$497,0)),"ID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Items'!$B$2:$B$497,MATCH(D247,'Dashboard Items'!$A$2:$A$497,0))="Objective","Objectives go in the next column",IF(OR(C247="",INDEX('Dashboard Items'!$B$2:$B$497,MATCH(D247,'Dashboard Items'!$A$2:$A$497,0))=C247),INDEX('Dashboard Items'!$C$2:$C$497,MATCH(D247,'Dashboard Items'!$A$2:$A$497,0)),"Level does not match ID")),"ID not found"))</f>
        <v/>
      </c>
      <c r="F247" s="7"/>
      <c r="G247" s="6" t="str">
        <f>IF(F247="","",IF(ISNUMBER(SEARCH(",",F247)),"Several items (the script lists them)",IFERROR(INDEX('Dashboard Items'!$B$2:$B$497,MATCH(F247,'Dashboard Items'!$A$2:$A$497,0))&amp;": "&amp;INDEX('Dashboard Items'!$C$2:$C$497,MATCH(F247,'Dashboard Items'!$A$2:$A$497,0)),"ID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Items'!$B$2:$B$497,MATCH(D248,'Dashboard Items'!$A$2:$A$497,0))="Objective","Objectives go in the next column",IF(OR(C248="",INDEX('Dashboard Items'!$B$2:$B$497,MATCH(D248,'Dashboard Items'!$A$2:$A$497,0))=C248),INDEX('Dashboard Items'!$C$2:$C$497,MATCH(D248,'Dashboard Items'!$A$2:$A$497,0)),"Level does not match ID")),"ID not found"))</f>
        <v/>
      </c>
      <c r="F248" s="7"/>
      <c r="G248" s="6" t="str">
        <f>IF(F248="","",IF(ISNUMBER(SEARCH(",",F248)),"Several items (the script lists them)",IFERROR(INDEX('Dashboard Items'!$B$2:$B$497,MATCH(F248,'Dashboard Items'!$A$2:$A$497,0))&amp;": "&amp;INDEX('Dashboard Items'!$C$2:$C$497,MATCH(F248,'Dashboard Items'!$A$2:$A$497,0)),"ID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Items'!$B$2:$B$497,MATCH(D249,'Dashboard Items'!$A$2:$A$497,0))="Objective","Objectives go in the next column",IF(OR(C249="",INDEX('Dashboard Items'!$B$2:$B$497,MATCH(D249,'Dashboard Items'!$A$2:$A$497,0))=C249),INDEX('Dashboard Items'!$C$2:$C$497,MATCH(D249,'Dashboard Items'!$A$2:$A$497,0)),"Level does not match ID")),"ID not found"))</f>
        <v/>
      </c>
      <c r="F249" s="7"/>
      <c r="G249" s="6" t="str">
        <f>IF(F249="","",IF(ISNUMBER(SEARCH(",",F249)),"Several items (the script lists them)",IFERROR(INDEX('Dashboard Items'!$B$2:$B$497,MATCH(F249,'Dashboard Items'!$A$2:$A$497,0))&amp;": "&amp;INDEX('Dashboard Items'!$C$2:$C$497,MATCH(F249,'Dashboard Items'!$A$2:$A$497,0)),"ID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Items'!$B$2:$B$497,MATCH(D250,'Dashboard Items'!$A$2:$A$497,0))="Objective","Objectives go in the next column",IF(OR(C250="",INDEX('Dashboard Items'!$B$2:$B$497,MATCH(D250,'Dashboard Items'!$A$2:$A$497,0))=C250),INDEX('Dashboard Items'!$C$2:$C$497,MATCH(D250,'Dashboard Items'!$A$2:$A$497,0)),"Level does not match ID")),"ID not found"))</f>
        <v/>
      </c>
      <c r="F250" s="7"/>
      <c r="G250" s="6" t="str">
        <f>IF(F250="","",IF(ISNUMBER(SEARCH(",",F250)),"Several items (the script lists them)",IFERROR(INDEX('Dashboard Items'!$B$2:$B$497,MATCH(F250,'Dashboard Items'!$A$2:$A$497,0))&amp;": "&amp;INDEX('Dashboard Items'!$C$2:$C$497,MATCH(F250,'Dashboard Items'!$A$2:$A$497,0)),"ID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Items'!$B$2:$B$497,MATCH(D251,'Dashboard Items'!$A$2:$A$497,0))="Objective","Objectives go in the next column",IF(OR(C251="",INDEX('Dashboard Items'!$B$2:$B$497,MATCH(D251,'Dashboard Items'!$A$2:$A$497,0))=C251),INDEX('Dashboard Items'!$C$2:$C$497,MATCH(D251,'Dashboard Items'!$A$2:$A$497,0)),"Level does not match ID")),"ID not found"))</f>
        <v/>
      </c>
      <c r="F251" s="7"/>
      <c r="G251" s="6" t="str">
        <f>IF(F251="","",IF(ISNUMBER(SEARCH(",",F251)),"Several items (the script lists them)",IFERROR(INDEX('Dashboard Items'!$B$2:$B$497,MATCH(F251,'Dashboard Items'!$A$2:$A$497,0))&amp;": "&amp;INDEX('Dashboard Items'!$C$2:$C$497,MATCH(F251,'Dashboard Items'!$A$2:$A$497,0)),"ID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Items'!$B$2:$B$497,MATCH(D252,'Dashboard Items'!$A$2:$A$497,0))="Objective","Objectives go in the next column",IF(OR(C252="",INDEX('Dashboard Items'!$B$2:$B$497,MATCH(D252,'Dashboard Items'!$A$2:$A$497,0))=C252),INDEX('Dashboard Items'!$C$2:$C$497,MATCH(D252,'Dashboard Items'!$A$2:$A$497,0)),"Level does not match ID")),"ID not found"))</f>
        <v/>
      </c>
      <c r="F252" s="7"/>
      <c r="G252" s="6" t="str">
        <f>IF(F252="","",IF(ISNUMBER(SEARCH(",",F252)),"Several items (the script lists them)",IFERROR(INDEX('Dashboard Items'!$B$2:$B$497,MATCH(F252,'Dashboard Items'!$A$2:$A$497,0))&amp;": "&amp;INDEX('Dashboard Items'!$C$2:$C$497,MATCH(F252,'Dashboard Items'!$A$2:$A$497,0)),"ID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Items'!$B$2:$B$497,MATCH(D253,'Dashboard Items'!$A$2:$A$497,0))="Objective","Objectives go in the next column",IF(OR(C253="",INDEX('Dashboard Items'!$B$2:$B$497,MATCH(D253,'Dashboard Items'!$A$2:$A$497,0))=C253),INDEX('Dashboard Items'!$C$2:$C$497,MATCH(D253,'Dashboard Items'!$A$2:$A$497,0)),"Level does not match ID")),"ID not found"))</f>
        <v/>
      </c>
      <c r="F253" s="7"/>
      <c r="G253" s="6" t="str">
        <f>IF(F253="","",IF(ISNUMBER(SEARCH(",",F253)),"Several items (the script lists them)",IFERROR(INDEX('Dashboard Items'!$B$2:$B$497,MATCH(F253,'Dashboard Items'!$A$2:$A$497,0))&amp;": "&amp;INDEX('Dashboard Items'!$C$2:$C$497,MATCH(F253,'Dashboard Items'!$A$2:$A$497,0)),"ID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Items'!$B$2:$B$497,MATCH(D254,'Dashboard Items'!$A$2:$A$497,0))="Objective","Objectives go in the next column",IF(OR(C254="",INDEX('Dashboard Items'!$B$2:$B$497,MATCH(D254,'Dashboard Items'!$A$2:$A$497,0))=C254),INDEX('Dashboard Items'!$C$2:$C$497,MATCH(D254,'Dashboard Items'!$A$2:$A$497,0)),"Level does not match ID")),"ID not found"))</f>
        <v/>
      </c>
      <c r="F254" s="7"/>
      <c r="G254" s="6" t="str">
        <f>IF(F254="","",IF(ISNUMBER(SEARCH(",",F254)),"Several items (the script lists them)",IFERROR(INDEX('Dashboard Items'!$B$2:$B$497,MATCH(F254,'Dashboard Items'!$A$2:$A$497,0))&amp;": "&amp;INDEX('Dashboard Items'!$C$2:$C$497,MATCH(F254,'Dashboard Items'!$A$2:$A$497,0)),"ID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Items'!$B$2:$B$497,MATCH(D255,'Dashboard Items'!$A$2:$A$497,0))="Objective","Objectives go in the next column",IF(OR(C255="",INDEX('Dashboard Items'!$B$2:$B$497,MATCH(D255,'Dashboard Items'!$A$2:$A$497,0))=C255),INDEX('Dashboard Items'!$C$2:$C$497,MATCH(D255,'Dashboard Items'!$A$2:$A$497,0)),"Level does not match ID")),"ID not found"))</f>
        <v/>
      </c>
      <c r="F255" s="7"/>
      <c r="G255" s="6" t="str">
        <f>IF(F255="","",IF(ISNUMBER(SEARCH(",",F255)),"Several items (the script lists them)",IFERROR(INDEX('Dashboard Items'!$B$2:$B$497,MATCH(F255,'Dashboard Items'!$A$2:$A$497,0))&amp;": "&amp;INDEX('Dashboard Items'!$C$2:$C$497,MATCH(F255,'Dashboard Items'!$A$2:$A$497,0)),"ID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Items'!$B$2:$B$497,MATCH(D256,'Dashboard Items'!$A$2:$A$497,0))="Objective","Objectives go in the next column",IF(OR(C256="",INDEX('Dashboard Items'!$B$2:$B$497,MATCH(D256,'Dashboard Items'!$A$2:$A$497,0))=C256),INDEX('Dashboard Items'!$C$2:$C$497,MATCH(D256,'Dashboard Items'!$A$2:$A$497,0)),"Level does not match ID")),"ID not found"))</f>
        <v/>
      </c>
      <c r="F256" s="7"/>
      <c r="G256" s="6" t="str">
        <f>IF(F256="","",IF(ISNUMBER(SEARCH(",",F256)),"Several items (the script lists them)",IFERROR(INDEX('Dashboard Items'!$B$2:$B$497,MATCH(F256,'Dashboard Items'!$A$2:$A$497,0))&amp;": "&amp;INDEX('Dashboard Items'!$C$2:$C$497,MATCH(F256,'Dashboard Items'!$A$2:$A$497,0)),"ID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Items'!$B$2:$B$497,MATCH(D257,'Dashboard Items'!$A$2:$A$497,0))="Objective","Objectives go in the next column",IF(OR(C257="",INDEX('Dashboard Items'!$B$2:$B$497,MATCH(D257,'Dashboard Items'!$A$2:$A$497,0))=C257),INDEX('Dashboard Items'!$C$2:$C$497,MATCH(D257,'Dashboard Items'!$A$2:$A$497,0)),"Level does not match ID")),"ID not found"))</f>
        <v/>
      </c>
      <c r="F257" s="7"/>
      <c r="G257" s="6" t="str">
        <f>IF(F257="","",IF(ISNUMBER(SEARCH(",",F257)),"Several items (the script lists them)",IFERROR(INDEX('Dashboard Items'!$B$2:$B$497,MATCH(F257,'Dashboard Items'!$A$2:$A$497,0))&amp;": "&amp;INDEX('Dashboard Items'!$C$2:$C$497,MATCH(F257,'Dashboard Items'!$A$2:$A$497,0)),"ID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Items'!$B$2:$B$497,MATCH(D258,'Dashboard Items'!$A$2:$A$497,0))="Objective","Objectives go in the next column",IF(OR(C258="",INDEX('Dashboard Items'!$B$2:$B$497,MATCH(D258,'Dashboard Items'!$A$2:$A$497,0))=C258),INDEX('Dashboard Items'!$C$2:$C$497,MATCH(D258,'Dashboard Items'!$A$2:$A$497,0)),"Level does not match ID")),"ID not found"))</f>
        <v/>
      </c>
      <c r="F258" s="7"/>
      <c r="G258" s="6" t="str">
        <f>IF(F258="","",IF(ISNUMBER(SEARCH(",",F258)),"Several items (the script lists them)",IFERROR(INDEX('Dashboard Items'!$B$2:$B$497,MATCH(F258,'Dashboard Items'!$A$2:$A$497,0))&amp;": "&amp;INDEX('Dashboard Items'!$C$2:$C$497,MATCH(F258,'Dashboard Items'!$A$2:$A$497,0)),"ID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Items'!$B$2:$B$497,MATCH(D259,'Dashboard Items'!$A$2:$A$497,0))="Objective","Objectives go in the next column",IF(OR(C259="",INDEX('Dashboard Items'!$B$2:$B$497,MATCH(D259,'Dashboard Items'!$A$2:$A$497,0))=C259),INDEX('Dashboard Items'!$C$2:$C$497,MATCH(D259,'Dashboard Items'!$A$2:$A$497,0)),"Level does not match ID")),"ID not found"))</f>
        <v/>
      </c>
      <c r="F259" s="7"/>
      <c r="G259" s="6" t="str">
        <f>IF(F259="","",IF(ISNUMBER(SEARCH(",",F259)),"Several items (the script lists them)",IFERROR(INDEX('Dashboard Items'!$B$2:$B$497,MATCH(F259,'Dashboard Items'!$A$2:$A$497,0))&amp;": "&amp;INDEX('Dashboard Items'!$C$2:$C$497,MATCH(F259,'Dashboard Items'!$A$2:$A$497,0)),"ID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Items'!$B$2:$B$497,MATCH(D260,'Dashboard Items'!$A$2:$A$497,0))="Objective","Objectives go in the next column",IF(OR(C260="",INDEX('Dashboard Items'!$B$2:$B$497,MATCH(D260,'Dashboard Items'!$A$2:$A$497,0))=C260),INDEX('Dashboard Items'!$C$2:$C$497,MATCH(D260,'Dashboard Items'!$A$2:$A$497,0)),"Level does not match ID")),"ID not found"))</f>
        <v/>
      </c>
      <c r="F260" s="7"/>
      <c r="G260" s="6" t="str">
        <f>IF(F260="","",IF(ISNUMBER(SEARCH(",",F260)),"Several items (the script lists them)",IFERROR(INDEX('Dashboard Items'!$B$2:$B$497,MATCH(F260,'Dashboard Items'!$A$2:$A$497,0))&amp;": "&amp;INDEX('Dashboard Items'!$C$2:$C$497,MATCH(F260,'Dashboard Items'!$A$2:$A$497,0)),"ID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Items'!$B$2:$B$497,MATCH(D261,'Dashboard Items'!$A$2:$A$497,0))="Objective","Objectives go in the next column",IF(OR(C261="",INDEX('Dashboard Items'!$B$2:$B$497,MATCH(D261,'Dashboard Items'!$A$2:$A$497,0))=C261),INDEX('Dashboard Items'!$C$2:$C$497,MATCH(D261,'Dashboard Items'!$A$2:$A$497,0)),"Level does not match ID")),"ID not found"))</f>
        <v/>
      </c>
      <c r="F261" s="7"/>
      <c r="G261" s="6" t="str">
        <f>IF(F261="","",IF(ISNUMBER(SEARCH(",",F261)),"Several items (the script lists them)",IFERROR(INDEX('Dashboard Items'!$B$2:$B$497,MATCH(F261,'Dashboard Items'!$A$2:$A$497,0))&amp;": "&amp;INDEX('Dashboard Items'!$C$2:$C$497,MATCH(F261,'Dashboard Items'!$A$2:$A$497,0)),"ID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Items'!$B$2:$B$497,MATCH(D262,'Dashboard Items'!$A$2:$A$497,0))="Objective","Objectives go in the next column",IF(OR(C262="",INDEX('Dashboard Items'!$B$2:$B$497,MATCH(D262,'Dashboard Items'!$A$2:$A$497,0))=C262),INDEX('Dashboard Items'!$C$2:$C$497,MATCH(D262,'Dashboard Items'!$A$2:$A$497,0)),"Level does not match ID")),"ID not found"))</f>
        <v/>
      </c>
      <c r="F262" s="7"/>
      <c r="G262" s="6" t="str">
        <f>IF(F262="","",IF(ISNUMBER(SEARCH(",",F262)),"Several items (the script lists them)",IFERROR(INDEX('Dashboard Items'!$B$2:$B$497,MATCH(F262,'Dashboard Items'!$A$2:$A$497,0))&amp;": "&amp;INDEX('Dashboard Items'!$C$2:$C$497,MATCH(F262,'Dashboard Items'!$A$2:$A$497,0)),"ID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Items'!$B$2:$B$497,MATCH(D263,'Dashboard Items'!$A$2:$A$497,0))="Objective","Objectives go in the next column",IF(OR(C263="",INDEX('Dashboard Items'!$B$2:$B$497,MATCH(D263,'Dashboard Items'!$A$2:$A$497,0))=C263),INDEX('Dashboard Items'!$C$2:$C$497,MATCH(D263,'Dashboard Items'!$A$2:$A$497,0)),"Level does not match ID")),"ID not found"))</f>
        <v/>
      </c>
      <c r="F263" s="7"/>
      <c r="G263" s="6" t="str">
        <f>IF(F263="","",IF(ISNUMBER(SEARCH(",",F263)),"Several items (the script lists them)",IFERROR(INDEX('Dashboard Items'!$B$2:$B$497,MATCH(F263,'Dashboard Items'!$A$2:$A$497,0))&amp;": "&amp;INDEX('Dashboard Items'!$C$2:$C$497,MATCH(F263,'Dashboard Items'!$A$2:$A$497,0)),"ID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Items'!$B$2:$B$497,MATCH(D264,'Dashboard Items'!$A$2:$A$497,0))="Objective","Objectives go in the next column",IF(OR(C264="",INDEX('Dashboard Items'!$B$2:$B$497,MATCH(D264,'Dashboard Items'!$A$2:$A$497,0))=C264),INDEX('Dashboard Items'!$C$2:$C$497,MATCH(D264,'Dashboard Items'!$A$2:$A$497,0)),"Level does not match ID")),"ID not found"))</f>
        <v/>
      </c>
      <c r="F264" s="7"/>
      <c r="G264" s="6" t="str">
        <f>IF(F264="","",IF(ISNUMBER(SEARCH(",",F264)),"Several items (the script lists them)",IFERROR(INDEX('Dashboard Items'!$B$2:$B$497,MATCH(F264,'Dashboard Items'!$A$2:$A$497,0))&amp;": "&amp;INDEX('Dashboard Items'!$C$2:$C$497,MATCH(F264,'Dashboard Items'!$A$2:$A$497,0)),"ID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Items'!$B$2:$B$497,MATCH(D265,'Dashboard Items'!$A$2:$A$497,0))="Objective","Objectives go in the next column",IF(OR(C265="",INDEX('Dashboard Items'!$B$2:$B$497,MATCH(D265,'Dashboard Items'!$A$2:$A$497,0))=C265),INDEX('Dashboard Items'!$C$2:$C$497,MATCH(D265,'Dashboard Items'!$A$2:$A$497,0)),"Level does not match ID")),"ID not found"))</f>
        <v/>
      </c>
      <c r="F265" s="7"/>
      <c r="G265" s="6" t="str">
        <f>IF(F265="","",IF(ISNUMBER(SEARCH(",",F265)),"Several items (the script lists them)",IFERROR(INDEX('Dashboard Items'!$B$2:$B$497,MATCH(F265,'Dashboard Items'!$A$2:$A$497,0))&amp;": "&amp;INDEX('Dashboard Items'!$C$2:$C$497,MATCH(F265,'Dashboard Items'!$A$2:$A$497,0)),"ID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Items'!$B$2:$B$497,MATCH(D266,'Dashboard Items'!$A$2:$A$497,0))="Objective","Objectives go in the next column",IF(OR(C266="",INDEX('Dashboard Items'!$B$2:$B$497,MATCH(D266,'Dashboard Items'!$A$2:$A$497,0))=C266),INDEX('Dashboard Items'!$C$2:$C$497,MATCH(D266,'Dashboard Items'!$A$2:$A$497,0)),"Level does not match ID")),"ID not found"))</f>
        <v/>
      </c>
      <c r="F266" s="7"/>
      <c r="G266" s="6" t="str">
        <f>IF(F266="","",IF(ISNUMBER(SEARCH(",",F266)),"Several items (the script lists them)",IFERROR(INDEX('Dashboard Items'!$B$2:$B$497,MATCH(F266,'Dashboard Items'!$A$2:$A$497,0))&amp;": "&amp;INDEX('Dashboard Items'!$C$2:$C$497,MATCH(F266,'Dashboard Items'!$A$2:$A$497,0)),"ID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Items'!$B$2:$B$497,MATCH(D267,'Dashboard Items'!$A$2:$A$497,0))="Objective","Objectives go in the next column",IF(OR(C267="",INDEX('Dashboard Items'!$B$2:$B$497,MATCH(D267,'Dashboard Items'!$A$2:$A$497,0))=C267),INDEX('Dashboard Items'!$C$2:$C$497,MATCH(D267,'Dashboard Items'!$A$2:$A$497,0)),"Level does not match ID")),"ID not found"))</f>
        <v/>
      </c>
      <c r="F267" s="7"/>
      <c r="G267" s="6" t="str">
        <f>IF(F267="","",IF(ISNUMBER(SEARCH(",",F267)),"Several items (the script lists them)",IFERROR(INDEX('Dashboard Items'!$B$2:$B$497,MATCH(F267,'Dashboard Items'!$A$2:$A$497,0))&amp;": "&amp;INDEX('Dashboard Items'!$C$2:$C$497,MATCH(F267,'Dashboard Items'!$A$2:$A$497,0)),"ID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Items'!$B$2:$B$497,MATCH(D268,'Dashboard Items'!$A$2:$A$497,0))="Objective","Objectives go in the next column",IF(OR(C268="",INDEX('Dashboard Items'!$B$2:$B$497,MATCH(D268,'Dashboard Items'!$A$2:$A$497,0))=C268),INDEX('Dashboard Items'!$C$2:$C$497,MATCH(D268,'Dashboard Items'!$A$2:$A$497,0)),"Level does not match ID")),"ID not found"))</f>
        <v/>
      </c>
      <c r="F268" s="7"/>
      <c r="G268" s="6" t="str">
        <f>IF(F268="","",IF(ISNUMBER(SEARCH(",",F268)),"Several items (the script lists them)",IFERROR(INDEX('Dashboard Items'!$B$2:$B$497,MATCH(F268,'Dashboard Items'!$A$2:$A$497,0))&amp;": "&amp;INDEX('Dashboard Items'!$C$2:$C$497,MATCH(F268,'Dashboard Items'!$A$2:$A$497,0)),"ID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Items'!$B$2:$B$497,MATCH(D269,'Dashboard Items'!$A$2:$A$497,0))="Objective","Objectives go in the next column",IF(OR(C269="",INDEX('Dashboard Items'!$B$2:$B$497,MATCH(D269,'Dashboard Items'!$A$2:$A$497,0))=C269),INDEX('Dashboard Items'!$C$2:$C$497,MATCH(D269,'Dashboard Items'!$A$2:$A$497,0)),"Level does not match ID")),"ID not found"))</f>
        <v/>
      </c>
      <c r="F269" s="7"/>
      <c r="G269" s="6" t="str">
        <f>IF(F269="","",IF(ISNUMBER(SEARCH(",",F269)),"Several items (the script lists them)",IFERROR(INDEX('Dashboard Items'!$B$2:$B$497,MATCH(F269,'Dashboard Items'!$A$2:$A$497,0))&amp;": "&amp;INDEX('Dashboard Items'!$C$2:$C$497,MATCH(F269,'Dashboard Items'!$A$2:$A$497,0)),"ID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Items'!$B$2:$B$497,MATCH(D270,'Dashboard Items'!$A$2:$A$497,0))="Objective","Objectives go in the next column",IF(OR(C270="",INDEX('Dashboard Items'!$B$2:$B$497,MATCH(D270,'Dashboard Items'!$A$2:$A$497,0))=C270),INDEX('Dashboard Items'!$C$2:$C$497,MATCH(D270,'Dashboard Items'!$A$2:$A$497,0)),"Level does not match ID")),"ID not found"))</f>
        <v/>
      </c>
      <c r="F270" s="7"/>
      <c r="G270" s="6" t="str">
        <f>IF(F270="","",IF(ISNUMBER(SEARCH(",",F270)),"Several items (the script lists them)",IFERROR(INDEX('Dashboard Items'!$B$2:$B$497,MATCH(F270,'Dashboard Items'!$A$2:$A$497,0))&amp;": "&amp;INDEX('Dashboard Items'!$C$2:$C$497,MATCH(F270,'Dashboard Items'!$A$2:$A$497,0)),"ID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Items'!$B$2:$B$497,MATCH(D271,'Dashboard Items'!$A$2:$A$497,0))="Objective","Objectives go in the next column",IF(OR(C271="",INDEX('Dashboard Items'!$B$2:$B$497,MATCH(D271,'Dashboard Items'!$A$2:$A$497,0))=C271),INDEX('Dashboard Items'!$C$2:$C$497,MATCH(D271,'Dashboard Items'!$A$2:$A$497,0)),"Level does not match ID")),"ID not found"))</f>
        <v/>
      </c>
      <c r="F271" s="7"/>
      <c r="G271" s="6" t="str">
        <f>IF(F271="","",IF(ISNUMBER(SEARCH(",",F271)),"Several items (the script lists them)",IFERROR(INDEX('Dashboard Items'!$B$2:$B$497,MATCH(F271,'Dashboard Items'!$A$2:$A$497,0))&amp;": "&amp;INDEX('Dashboard Items'!$C$2:$C$497,MATCH(F271,'Dashboard Items'!$A$2:$A$497,0)),"ID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Items'!$B$2:$B$497,MATCH(D272,'Dashboard Items'!$A$2:$A$497,0))="Objective","Objectives go in the next column",IF(OR(C272="",INDEX('Dashboard Items'!$B$2:$B$497,MATCH(D272,'Dashboard Items'!$A$2:$A$497,0))=C272),INDEX('Dashboard Items'!$C$2:$C$497,MATCH(D272,'Dashboard Items'!$A$2:$A$497,0)),"Level does not match ID")),"ID not found"))</f>
        <v/>
      </c>
      <c r="F272" s="7"/>
      <c r="G272" s="6" t="str">
        <f>IF(F272="","",IF(ISNUMBER(SEARCH(",",F272)),"Several items (the script lists them)",IFERROR(INDEX('Dashboard Items'!$B$2:$B$497,MATCH(F272,'Dashboard Items'!$A$2:$A$497,0))&amp;": "&amp;INDEX('Dashboard Items'!$C$2:$C$497,MATCH(F272,'Dashboard Items'!$A$2:$A$497,0)),"ID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Items'!$B$2:$B$497,MATCH(D273,'Dashboard Items'!$A$2:$A$497,0))="Objective","Objectives go in the next column",IF(OR(C273="",INDEX('Dashboard Items'!$B$2:$B$497,MATCH(D273,'Dashboard Items'!$A$2:$A$497,0))=C273),INDEX('Dashboard Items'!$C$2:$C$497,MATCH(D273,'Dashboard Items'!$A$2:$A$497,0)),"Level does not match ID")),"ID not found"))</f>
        <v/>
      </c>
      <c r="F273" s="7"/>
      <c r="G273" s="6" t="str">
        <f>IF(F273="","",IF(ISNUMBER(SEARCH(",",F273)),"Several items (the script lists them)",IFERROR(INDEX('Dashboard Items'!$B$2:$B$497,MATCH(F273,'Dashboard Items'!$A$2:$A$497,0))&amp;": "&amp;INDEX('Dashboard Items'!$C$2:$C$497,MATCH(F273,'Dashboard Items'!$A$2:$A$497,0)),"ID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Items'!$B$2:$B$497,MATCH(D274,'Dashboard Items'!$A$2:$A$497,0))="Objective","Objectives go in the next column",IF(OR(C274="",INDEX('Dashboard Items'!$B$2:$B$497,MATCH(D274,'Dashboard Items'!$A$2:$A$497,0))=C274),INDEX('Dashboard Items'!$C$2:$C$497,MATCH(D274,'Dashboard Items'!$A$2:$A$497,0)),"Level does not match ID")),"ID not found"))</f>
        <v/>
      </c>
      <c r="F274" s="7"/>
      <c r="G274" s="6" t="str">
        <f>IF(F274="","",IF(ISNUMBER(SEARCH(",",F274)),"Several items (the script lists them)",IFERROR(INDEX('Dashboard Items'!$B$2:$B$497,MATCH(F274,'Dashboard Items'!$A$2:$A$497,0))&amp;": "&amp;INDEX('Dashboard Items'!$C$2:$C$497,MATCH(F274,'Dashboard Items'!$A$2:$A$497,0)),"ID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Items'!$B$2:$B$497,MATCH(D275,'Dashboard Items'!$A$2:$A$497,0))="Objective","Objectives go in the next column",IF(OR(C275="",INDEX('Dashboard Items'!$B$2:$B$497,MATCH(D275,'Dashboard Items'!$A$2:$A$497,0))=C275),INDEX('Dashboard Items'!$C$2:$C$497,MATCH(D275,'Dashboard Items'!$A$2:$A$497,0)),"Level does not match ID")),"ID not found"))</f>
        <v/>
      </c>
      <c r="F275" s="7"/>
      <c r="G275" s="6" t="str">
        <f>IF(F275="","",IF(ISNUMBER(SEARCH(",",F275)),"Several items (the script lists them)",IFERROR(INDEX('Dashboard Items'!$B$2:$B$497,MATCH(F275,'Dashboard Items'!$A$2:$A$497,0))&amp;": "&amp;INDEX('Dashboard Items'!$C$2:$C$497,MATCH(F275,'Dashboard Items'!$A$2:$A$497,0)),"ID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Items'!$B$2:$B$497,MATCH(D276,'Dashboard Items'!$A$2:$A$497,0))="Objective","Objectives go in the next column",IF(OR(C276="",INDEX('Dashboard Items'!$B$2:$B$497,MATCH(D276,'Dashboard Items'!$A$2:$A$497,0))=C276),INDEX('Dashboard Items'!$C$2:$C$497,MATCH(D276,'Dashboard Items'!$A$2:$A$497,0)),"Level does not match ID")),"ID not found"))</f>
        <v/>
      </c>
      <c r="F276" s="7"/>
      <c r="G276" s="6" t="str">
        <f>IF(F276="","",IF(ISNUMBER(SEARCH(",",F276)),"Several items (the script lists them)",IFERROR(INDEX('Dashboard Items'!$B$2:$B$497,MATCH(F276,'Dashboard Items'!$A$2:$A$497,0))&amp;": "&amp;INDEX('Dashboard Items'!$C$2:$C$497,MATCH(F276,'Dashboard Items'!$A$2:$A$497,0)),"ID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Items'!$B$2:$B$497,MATCH(D277,'Dashboard Items'!$A$2:$A$497,0))="Objective","Objectives go in the next column",IF(OR(C277="",INDEX('Dashboard Items'!$B$2:$B$497,MATCH(D277,'Dashboard Items'!$A$2:$A$497,0))=C277),INDEX('Dashboard Items'!$C$2:$C$497,MATCH(D277,'Dashboard Items'!$A$2:$A$497,0)),"Level does not match ID")),"ID not found"))</f>
        <v/>
      </c>
      <c r="F277" s="7"/>
      <c r="G277" s="6" t="str">
        <f>IF(F277="","",IF(ISNUMBER(SEARCH(",",F277)),"Several items (the script lists them)",IFERROR(INDEX('Dashboard Items'!$B$2:$B$497,MATCH(F277,'Dashboard Items'!$A$2:$A$497,0))&amp;": "&amp;INDEX('Dashboard Items'!$C$2:$C$497,MATCH(F277,'Dashboard Items'!$A$2:$A$497,0)),"ID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Items'!$B$2:$B$497,MATCH(D278,'Dashboard Items'!$A$2:$A$497,0))="Objective","Objectives go in the next column",IF(OR(C278="",INDEX('Dashboard Items'!$B$2:$B$497,MATCH(D278,'Dashboard Items'!$A$2:$A$497,0))=C278),INDEX('Dashboard Items'!$C$2:$C$497,MATCH(D278,'Dashboard Items'!$A$2:$A$497,0)),"Level does not match ID")),"ID not found"))</f>
        <v/>
      </c>
      <c r="F278" s="7"/>
      <c r="G278" s="6" t="str">
        <f>IF(F278="","",IF(ISNUMBER(SEARCH(",",F278)),"Several items (the script lists them)",IFERROR(INDEX('Dashboard Items'!$B$2:$B$497,MATCH(F278,'Dashboard Items'!$A$2:$A$497,0))&amp;": "&amp;INDEX('Dashboard Items'!$C$2:$C$497,MATCH(F278,'Dashboard Items'!$A$2:$A$497,0)),"ID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Items'!$B$2:$B$497,MATCH(D279,'Dashboard Items'!$A$2:$A$497,0))="Objective","Objectives go in the next column",IF(OR(C279="",INDEX('Dashboard Items'!$B$2:$B$497,MATCH(D279,'Dashboard Items'!$A$2:$A$497,0))=C279),INDEX('Dashboard Items'!$C$2:$C$497,MATCH(D279,'Dashboard Items'!$A$2:$A$497,0)),"Level does not match ID")),"ID not found"))</f>
        <v/>
      </c>
      <c r="F279" s="7"/>
      <c r="G279" s="6" t="str">
        <f>IF(F279="","",IF(ISNUMBER(SEARCH(",",F279)),"Several items (the script lists them)",IFERROR(INDEX('Dashboard Items'!$B$2:$B$497,MATCH(F279,'Dashboard Items'!$A$2:$A$497,0))&amp;": "&amp;INDEX('Dashboard Items'!$C$2:$C$497,MATCH(F279,'Dashboard Items'!$A$2:$A$497,0)),"ID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Items'!$B$2:$B$497,MATCH(D280,'Dashboard Items'!$A$2:$A$497,0))="Objective","Objectives go in the next column",IF(OR(C280="",INDEX('Dashboard Items'!$B$2:$B$497,MATCH(D280,'Dashboard Items'!$A$2:$A$497,0))=C280),INDEX('Dashboard Items'!$C$2:$C$497,MATCH(D280,'Dashboard Items'!$A$2:$A$497,0)),"Level does not match ID")),"ID not found"))</f>
        <v/>
      </c>
      <c r="F280" s="7"/>
      <c r="G280" s="6" t="str">
        <f>IF(F280="","",IF(ISNUMBER(SEARCH(",",F280)),"Several items (the script lists them)",IFERROR(INDEX('Dashboard Items'!$B$2:$B$497,MATCH(F280,'Dashboard Items'!$A$2:$A$497,0))&amp;": "&amp;INDEX('Dashboard Items'!$C$2:$C$497,MATCH(F280,'Dashboard Items'!$A$2:$A$497,0)),"ID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Items'!$B$2:$B$497,MATCH(D281,'Dashboard Items'!$A$2:$A$497,0))="Objective","Objectives go in the next column",IF(OR(C281="",INDEX('Dashboard Items'!$B$2:$B$497,MATCH(D281,'Dashboard Items'!$A$2:$A$497,0))=C281),INDEX('Dashboard Items'!$C$2:$C$497,MATCH(D281,'Dashboard Items'!$A$2:$A$497,0)),"Level does not match ID")),"ID not found"))</f>
        <v/>
      </c>
      <c r="F281" s="7"/>
      <c r="G281" s="6" t="str">
        <f>IF(F281="","",IF(ISNUMBER(SEARCH(",",F281)),"Several items (the script lists them)",IFERROR(INDEX('Dashboard Items'!$B$2:$B$497,MATCH(F281,'Dashboard Items'!$A$2:$A$497,0))&amp;": "&amp;INDEX('Dashboard Items'!$C$2:$C$497,MATCH(F281,'Dashboard Items'!$A$2:$A$497,0)),"ID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Items'!$B$2:$B$497,MATCH(D282,'Dashboard Items'!$A$2:$A$497,0))="Objective","Objectives go in the next column",IF(OR(C282="",INDEX('Dashboard Items'!$B$2:$B$497,MATCH(D282,'Dashboard Items'!$A$2:$A$497,0))=C282),INDEX('Dashboard Items'!$C$2:$C$497,MATCH(D282,'Dashboard Items'!$A$2:$A$497,0)),"Level does not match ID")),"ID not found"))</f>
        <v/>
      </c>
      <c r="F282" s="7"/>
      <c r="G282" s="6" t="str">
        <f>IF(F282="","",IF(ISNUMBER(SEARCH(",",F282)),"Several items (the script lists them)",IFERROR(INDEX('Dashboard Items'!$B$2:$B$497,MATCH(F282,'Dashboard Items'!$A$2:$A$497,0))&amp;": "&amp;INDEX('Dashboard Items'!$C$2:$C$497,MATCH(F282,'Dashboard Items'!$A$2:$A$497,0)),"ID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Items'!$B$2:$B$497,MATCH(D283,'Dashboard Items'!$A$2:$A$497,0))="Objective","Objectives go in the next column",IF(OR(C283="",INDEX('Dashboard Items'!$B$2:$B$497,MATCH(D283,'Dashboard Items'!$A$2:$A$497,0))=C283),INDEX('Dashboard Items'!$C$2:$C$497,MATCH(D283,'Dashboard Items'!$A$2:$A$497,0)),"Level does not match ID")),"ID not found"))</f>
        <v/>
      </c>
      <c r="F283" s="7"/>
      <c r="G283" s="6" t="str">
        <f>IF(F283="","",IF(ISNUMBER(SEARCH(",",F283)),"Several items (the script lists them)",IFERROR(INDEX('Dashboard Items'!$B$2:$B$497,MATCH(F283,'Dashboard Items'!$A$2:$A$497,0))&amp;": "&amp;INDEX('Dashboard Items'!$C$2:$C$497,MATCH(F283,'Dashboard Items'!$A$2:$A$497,0)),"ID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Items'!$B$2:$B$497,MATCH(D284,'Dashboard Items'!$A$2:$A$497,0))="Objective","Objectives go in the next column",IF(OR(C284="",INDEX('Dashboard Items'!$B$2:$B$497,MATCH(D284,'Dashboard Items'!$A$2:$A$497,0))=C284),INDEX('Dashboard Items'!$C$2:$C$497,MATCH(D284,'Dashboard Items'!$A$2:$A$497,0)),"Level does not match ID")),"ID not found"))</f>
        <v/>
      </c>
      <c r="F284" s="7"/>
      <c r="G284" s="6" t="str">
        <f>IF(F284="","",IF(ISNUMBER(SEARCH(",",F284)),"Several items (the script lists them)",IFERROR(INDEX('Dashboard Items'!$B$2:$B$497,MATCH(F284,'Dashboard Items'!$A$2:$A$497,0))&amp;": "&amp;INDEX('Dashboard Items'!$C$2:$C$497,MATCH(F284,'Dashboard Items'!$A$2:$A$497,0)),"ID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Items'!$B$2:$B$497,MATCH(D285,'Dashboard Items'!$A$2:$A$497,0))="Objective","Objectives go in the next column",IF(OR(C285="",INDEX('Dashboard Items'!$B$2:$B$497,MATCH(D285,'Dashboard Items'!$A$2:$A$497,0))=C285),INDEX('Dashboard Items'!$C$2:$C$497,MATCH(D285,'Dashboard Items'!$A$2:$A$497,0)),"Level does not match ID")),"ID not found"))</f>
        <v/>
      </c>
      <c r="F285" s="7"/>
      <c r="G285" s="6" t="str">
        <f>IF(F285="","",IF(ISNUMBER(SEARCH(",",F285)),"Several items (the script lists them)",IFERROR(INDEX('Dashboard Items'!$B$2:$B$497,MATCH(F285,'Dashboard Items'!$A$2:$A$497,0))&amp;": "&amp;INDEX('Dashboard Items'!$C$2:$C$497,MATCH(F285,'Dashboard Items'!$A$2:$A$497,0)),"ID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Items'!$B$2:$B$497,MATCH(D286,'Dashboard Items'!$A$2:$A$497,0))="Objective","Objectives go in the next column",IF(OR(C286="",INDEX('Dashboard Items'!$B$2:$B$497,MATCH(D286,'Dashboard Items'!$A$2:$A$497,0))=C286),INDEX('Dashboard Items'!$C$2:$C$497,MATCH(D286,'Dashboard Items'!$A$2:$A$497,0)),"Level does not match ID")),"ID not found"))</f>
        <v/>
      </c>
      <c r="F286" s="7"/>
      <c r="G286" s="6" t="str">
        <f>IF(F286="","",IF(ISNUMBER(SEARCH(",",F286)),"Several items (the script lists them)",IFERROR(INDEX('Dashboard Items'!$B$2:$B$497,MATCH(F286,'Dashboard Items'!$A$2:$A$497,0))&amp;": "&amp;INDEX('Dashboard Items'!$C$2:$C$497,MATCH(F286,'Dashboard Items'!$A$2:$A$497,0)),"ID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Items'!$B$2:$B$497,MATCH(D287,'Dashboard Items'!$A$2:$A$497,0))="Objective","Objectives go in the next column",IF(OR(C287="",INDEX('Dashboard Items'!$B$2:$B$497,MATCH(D287,'Dashboard Items'!$A$2:$A$497,0))=C287),INDEX('Dashboard Items'!$C$2:$C$497,MATCH(D287,'Dashboard Items'!$A$2:$A$497,0)),"Level does not match ID")),"ID not found"))</f>
        <v/>
      </c>
      <c r="F287" s="7"/>
      <c r="G287" s="6" t="str">
        <f>IF(F287="","",IF(ISNUMBER(SEARCH(",",F287)),"Several items (the script lists them)",IFERROR(INDEX('Dashboard Items'!$B$2:$B$497,MATCH(F287,'Dashboard Items'!$A$2:$A$497,0))&amp;": "&amp;INDEX('Dashboard Items'!$C$2:$C$497,MATCH(F287,'Dashboard Items'!$A$2:$A$497,0)),"ID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Items'!$B$2:$B$497,MATCH(D288,'Dashboard Items'!$A$2:$A$497,0))="Objective","Objectives go in the next column",IF(OR(C288="",INDEX('Dashboard Items'!$B$2:$B$497,MATCH(D288,'Dashboard Items'!$A$2:$A$497,0))=C288),INDEX('Dashboard Items'!$C$2:$C$497,MATCH(D288,'Dashboard Items'!$A$2:$A$497,0)),"Level does not match ID")),"ID not found"))</f>
        <v/>
      </c>
      <c r="F288" s="7"/>
      <c r="G288" s="6" t="str">
        <f>IF(F288="","",IF(ISNUMBER(SEARCH(",",F288)),"Several items (the script lists them)",IFERROR(INDEX('Dashboard Items'!$B$2:$B$497,MATCH(F288,'Dashboard Items'!$A$2:$A$497,0))&amp;": "&amp;INDEX('Dashboard Items'!$C$2:$C$497,MATCH(F288,'Dashboard Items'!$A$2:$A$497,0)),"ID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Items'!$B$2:$B$497,MATCH(D289,'Dashboard Items'!$A$2:$A$497,0))="Objective","Objectives go in the next column",IF(OR(C289="",INDEX('Dashboard Items'!$B$2:$B$497,MATCH(D289,'Dashboard Items'!$A$2:$A$497,0))=C289),INDEX('Dashboard Items'!$C$2:$C$497,MATCH(D289,'Dashboard Items'!$A$2:$A$497,0)),"Level does not match ID")),"ID not found"))</f>
        <v/>
      </c>
      <c r="F289" s="7"/>
      <c r="G289" s="6" t="str">
        <f>IF(F289="","",IF(ISNUMBER(SEARCH(",",F289)),"Several items (the script lists them)",IFERROR(INDEX('Dashboard Items'!$B$2:$B$497,MATCH(F289,'Dashboard Items'!$A$2:$A$497,0))&amp;": "&amp;INDEX('Dashboard Items'!$C$2:$C$497,MATCH(F289,'Dashboard Items'!$A$2:$A$497,0)),"ID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Items'!$B$2:$B$497,MATCH(D290,'Dashboard Items'!$A$2:$A$497,0))="Objective","Objectives go in the next column",IF(OR(C290="",INDEX('Dashboard Items'!$B$2:$B$497,MATCH(D290,'Dashboard Items'!$A$2:$A$497,0))=C290),INDEX('Dashboard Items'!$C$2:$C$497,MATCH(D290,'Dashboard Items'!$A$2:$A$497,0)),"Level does not match ID")),"ID not found"))</f>
        <v/>
      </c>
      <c r="F290" s="7"/>
      <c r="G290" s="6" t="str">
        <f>IF(F290="","",IF(ISNUMBER(SEARCH(",",F290)),"Several items (the script lists them)",IFERROR(INDEX('Dashboard Items'!$B$2:$B$497,MATCH(F290,'Dashboard Items'!$A$2:$A$497,0))&amp;": "&amp;INDEX('Dashboard Items'!$C$2:$C$497,MATCH(F290,'Dashboard Items'!$A$2:$A$497,0)),"ID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Items'!$B$2:$B$497,MATCH(D291,'Dashboard Items'!$A$2:$A$497,0))="Objective","Objectives go in the next column",IF(OR(C291="",INDEX('Dashboard Items'!$B$2:$B$497,MATCH(D291,'Dashboard Items'!$A$2:$A$497,0))=C291),INDEX('Dashboard Items'!$C$2:$C$497,MATCH(D291,'Dashboard Items'!$A$2:$A$497,0)),"Level does not match ID")),"ID not found"))</f>
        <v/>
      </c>
      <c r="F291" s="7"/>
      <c r="G291" s="6" t="str">
        <f>IF(F291="","",IF(ISNUMBER(SEARCH(",",F291)),"Several items (the script lists them)",IFERROR(INDEX('Dashboard Items'!$B$2:$B$497,MATCH(F291,'Dashboard Items'!$A$2:$A$497,0))&amp;": "&amp;INDEX('Dashboard Items'!$C$2:$C$497,MATCH(F291,'Dashboard Items'!$A$2:$A$497,0)),"ID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Items'!$B$2:$B$497,MATCH(D292,'Dashboard Items'!$A$2:$A$497,0))="Objective","Objectives go in the next column",IF(OR(C292="",INDEX('Dashboard Items'!$B$2:$B$497,MATCH(D292,'Dashboard Items'!$A$2:$A$497,0))=C292),INDEX('Dashboard Items'!$C$2:$C$497,MATCH(D292,'Dashboard Items'!$A$2:$A$497,0)),"Level does not match ID")),"ID not found"))</f>
        <v/>
      </c>
      <c r="F292" s="7"/>
      <c r="G292" s="6" t="str">
        <f>IF(F292="","",IF(ISNUMBER(SEARCH(",",F292)),"Several items (the script lists them)",IFERROR(INDEX('Dashboard Items'!$B$2:$B$497,MATCH(F292,'Dashboard Items'!$A$2:$A$497,0))&amp;": "&amp;INDEX('Dashboard Items'!$C$2:$C$497,MATCH(F292,'Dashboard Items'!$A$2:$A$497,0)),"ID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Items'!$B$2:$B$497,MATCH(D293,'Dashboard Items'!$A$2:$A$497,0))="Objective","Objectives go in the next column",IF(OR(C293="",INDEX('Dashboard Items'!$B$2:$B$497,MATCH(D293,'Dashboard Items'!$A$2:$A$497,0))=C293),INDEX('Dashboard Items'!$C$2:$C$497,MATCH(D293,'Dashboard Items'!$A$2:$A$497,0)),"Level does not match ID")),"ID not found"))</f>
        <v/>
      </c>
      <c r="F293" s="7"/>
      <c r="G293" s="6" t="str">
        <f>IF(F293="","",IF(ISNUMBER(SEARCH(",",F293)),"Several items (the script lists them)",IFERROR(INDEX('Dashboard Items'!$B$2:$B$497,MATCH(F293,'Dashboard Items'!$A$2:$A$497,0))&amp;": "&amp;INDEX('Dashboard Items'!$C$2:$C$497,MATCH(F293,'Dashboard Items'!$A$2:$A$497,0)),"ID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Items'!$B$2:$B$497,MATCH(D294,'Dashboard Items'!$A$2:$A$497,0))="Objective","Objectives go in the next column",IF(OR(C294="",INDEX('Dashboard Items'!$B$2:$B$497,MATCH(D294,'Dashboard Items'!$A$2:$A$497,0))=C294),INDEX('Dashboard Items'!$C$2:$C$497,MATCH(D294,'Dashboard Items'!$A$2:$A$497,0)),"Level does not match ID")),"ID not found"))</f>
        <v/>
      </c>
      <c r="F294" s="7"/>
      <c r="G294" s="6" t="str">
        <f>IF(F294="","",IF(ISNUMBER(SEARCH(",",F294)),"Several items (the script lists them)",IFERROR(INDEX('Dashboard Items'!$B$2:$B$497,MATCH(F294,'Dashboard Items'!$A$2:$A$497,0))&amp;": "&amp;INDEX('Dashboard Items'!$C$2:$C$497,MATCH(F294,'Dashboard Items'!$A$2:$A$497,0)),"ID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Items'!$B$2:$B$497,MATCH(D295,'Dashboard Items'!$A$2:$A$497,0))="Objective","Objectives go in the next column",IF(OR(C295="",INDEX('Dashboard Items'!$B$2:$B$497,MATCH(D295,'Dashboard Items'!$A$2:$A$497,0))=C295),INDEX('Dashboard Items'!$C$2:$C$497,MATCH(D295,'Dashboard Items'!$A$2:$A$497,0)),"Level does not match ID")),"ID not found"))</f>
        <v/>
      </c>
      <c r="F295" s="7"/>
      <c r="G295" s="6" t="str">
        <f>IF(F295="","",IF(ISNUMBER(SEARCH(",",F295)),"Several items (the script lists them)",IFERROR(INDEX('Dashboard Items'!$B$2:$B$497,MATCH(F295,'Dashboard Items'!$A$2:$A$497,0))&amp;": "&amp;INDEX('Dashboard Items'!$C$2:$C$497,MATCH(F295,'Dashboard Items'!$A$2:$A$497,0)),"ID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Items'!$B$2:$B$497,MATCH(D296,'Dashboard Items'!$A$2:$A$497,0))="Objective","Objectives go in the next column",IF(OR(C296="",INDEX('Dashboard Items'!$B$2:$B$497,MATCH(D296,'Dashboard Items'!$A$2:$A$497,0))=C296),INDEX('Dashboard Items'!$C$2:$C$497,MATCH(D296,'Dashboard Items'!$A$2:$A$497,0)),"Level does not match ID")),"ID not found"))</f>
        <v/>
      </c>
      <c r="F296" s="7"/>
      <c r="G296" s="6" t="str">
        <f>IF(F296="","",IF(ISNUMBER(SEARCH(",",F296)),"Several items (the script lists them)",IFERROR(INDEX('Dashboard Items'!$B$2:$B$497,MATCH(F296,'Dashboard Items'!$A$2:$A$497,0))&amp;": "&amp;INDEX('Dashboard Items'!$C$2:$C$497,MATCH(F296,'Dashboard Items'!$A$2:$A$497,0)),"ID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Items'!$B$2:$B$497,MATCH(D297,'Dashboard Items'!$A$2:$A$497,0))="Objective","Objectives go in the next column",IF(OR(C297="",INDEX('Dashboard Items'!$B$2:$B$497,MATCH(D297,'Dashboard Items'!$A$2:$A$497,0))=C297),INDEX('Dashboard Items'!$C$2:$C$497,MATCH(D297,'Dashboard Items'!$A$2:$A$497,0)),"Level does not match ID")),"ID not found"))</f>
        <v/>
      </c>
      <c r="F297" s="7"/>
      <c r="G297" s="6" t="str">
        <f>IF(F297="","",IF(ISNUMBER(SEARCH(",",F297)),"Several items (the script lists them)",IFERROR(INDEX('Dashboard Items'!$B$2:$B$497,MATCH(F297,'Dashboard Items'!$A$2:$A$497,0))&amp;": "&amp;INDEX('Dashboard Items'!$C$2:$C$497,MATCH(F297,'Dashboard Items'!$A$2:$A$497,0)),"ID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Items'!$B$2:$B$497,MATCH(D298,'Dashboard Items'!$A$2:$A$497,0))="Objective","Objectives go in the next column",IF(OR(C298="",INDEX('Dashboard Items'!$B$2:$B$497,MATCH(D298,'Dashboard Items'!$A$2:$A$497,0))=C298),INDEX('Dashboard Items'!$C$2:$C$497,MATCH(D298,'Dashboard Items'!$A$2:$A$497,0)),"Level does not match ID")),"ID not found"))</f>
        <v/>
      </c>
      <c r="F298" s="7"/>
      <c r="G298" s="6" t="str">
        <f>IF(F298="","",IF(ISNUMBER(SEARCH(",",F298)),"Several items (the script lists them)",IFERROR(INDEX('Dashboard Items'!$B$2:$B$497,MATCH(F298,'Dashboard Items'!$A$2:$A$497,0))&amp;": "&amp;INDEX('Dashboard Items'!$C$2:$C$497,MATCH(F298,'Dashboard Items'!$A$2:$A$497,0)),"ID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Items'!$B$2:$B$497,MATCH(D299,'Dashboard Items'!$A$2:$A$497,0))="Objective","Objectives go in the next column",IF(OR(C299="",INDEX('Dashboard Items'!$B$2:$B$497,MATCH(D299,'Dashboard Items'!$A$2:$A$497,0))=C299),INDEX('Dashboard Items'!$C$2:$C$497,MATCH(D299,'Dashboard Items'!$A$2:$A$497,0)),"Level does not match ID")),"ID not found"))</f>
        <v/>
      </c>
      <c r="F299" s="7"/>
      <c r="G299" s="6" t="str">
        <f>IF(F299="","",IF(ISNUMBER(SEARCH(",",F299)),"Several items (the script lists them)",IFERROR(INDEX('Dashboard Items'!$B$2:$B$497,MATCH(F299,'Dashboard Items'!$A$2:$A$497,0))&amp;": "&amp;INDEX('Dashboard Items'!$C$2:$C$497,MATCH(F299,'Dashboard Items'!$A$2:$A$497,0)),"ID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Items'!$B$2:$B$497,MATCH(D300,'Dashboard Items'!$A$2:$A$497,0))="Objective","Objectives go in the next column",IF(OR(C300="",INDEX('Dashboard Items'!$B$2:$B$497,MATCH(D300,'Dashboard Items'!$A$2:$A$497,0))=C300),INDEX('Dashboard Items'!$C$2:$C$497,MATCH(D300,'Dashboard Items'!$A$2:$A$497,0)),"Level does not match ID")),"ID not found"))</f>
        <v/>
      </c>
      <c r="F300" s="7"/>
      <c r="G300" s="6" t="str">
        <f>IF(F300="","",IF(ISNUMBER(SEARCH(",",F300)),"Several items (the script lists them)",IFERROR(INDEX('Dashboard Items'!$B$2:$B$497,MATCH(F300,'Dashboard Items'!$A$2:$A$497,0))&amp;": "&amp;INDEX('Dashboard Items'!$C$2:$C$497,MATCH(F300,'Dashboard Items'!$A$2:$A$497,0)),"ID not found")))</f>
        <v/>
      </c>
      <c r="H300" s="2"/>
      <c r="I300" s="2"/>
      <c r="J300" s="2"/>
      <c r="K300" s="2"/>
      <c r="L300" s="2"/>
      <c r="M300" s="2"/>
      <c r="N300" s="2"/>
      <c r="O300" s="2"/>
      <c r="P300" s="2"/>
      <c r="Q300" s="2"/>
      <c r="R300" s="2"/>
      <c r="S300" s="2"/>
    </row>
    <row r="301" spans="1:19" x14ac:dyDescent="0.2">
      <c r="A301" s="2"/>
      <c r="B301" s="2"/>
      <c r="C301" s="2"/>
      <c r="D301" s="2"/>
      <c r="E301" s="6" t="str">
        <f>IF(D301="","",IFERROR(IF(INDEX('Dashboard Items'!$B$2:$B$497,MATCH(D301,'Dashboard Items'!$A$2:$A$497,0))="Objective","Objectives go in the next column",IF(OR(C301="",INDEX('Dashboard Items'!$B$2:$B$497,MATCH(D301,'Dashboard Items'!$A$2:$A$497,0))=C301),INDEX('Dashboard Items'!$C$2:$C$497,MATCH(D301,'Dashboard Items'!$A$2:$A$497,0)),"Level does not match ID")),"ID not found"))</f>
        <v/>
      </c>
      <c r="F301" s="7"/>
      <c r="G301" s="6" t="str">
        <f>IF(F301="","",IF(ISNUMBER(SEARCH(",",F301)),"Several items (the script lists them)",IFERROR(INDEX('Dashboard Items'!$B$2:$B$497,MATCH(F301,'Dashboard Items'!$A$2:$A$497,0))&amp;": "&amp;INDEX('Dashboard Items'!$C$2:$C$497,MATCH(F301,'Dashboard Items'!$A$2:$A$497,0)),"ID not found")))</f>
        <v/>
      </c>
      <c r="H301" s="2"/>
      <c r="I301" s="2"/>
      <c r="J301" s="2"/>
      <c r="K301" s="2"/>
      <c r="L301" s="2"/>
      <c r="M301" s="2"/>
      <c r="N301" s="2"/>
      <c r="O301" s="2"/>
      <c r="P301" s="2"/>
      <c r="Q301" s="2"/>
      <c r="R301" s="2"/>
      <c r="S301" s="2"/>
    </row>
    <row r="302" spans="1:19" x14ac:dyDescent="0.2">
      <c r="A302" s="2"/>
      <c r="B302" s="2"/>
      <c r="C302" s="2"/>
      <c r="D302" s="2"/>
      <c r="E302" s="6" t="str">
        <f>IF(D302="","",IFERROR(IF(INDEX('Dashboard Items'!$B$2:$B$497,MATCH(D302,'Dashboard Items'!$A$2:$A$497,0))="Objective","Objectives go in the next column",IF(OR(C302="",INDEX('Dashboard Items'!$B$2:$B$497,MATCH(D302,'Dashboard Items'!$A$2:$A$497,0))=C302),INDEX('Dashboard Items'!$C$2:$C$497,MATCH(D302,'Dashboard Items'!$A$2:$A$497,0)),"Level does not match ID")),"ID not found"))</f>
        <v/>
      </c>
      <c r="F302" s="7"/>
      <c r="G302" s="6" t="str">
        <f>IF(F302="","",IF(ISNUMBER(SEARCH(",",F302)),"Several items (the script lists them)",IFERROR(INDEX('Dashboard Items'!$B$2:$B$497,MATCH(F302,'Dashboard Items'!$A$2:$A$497,0))&amp;": "&amp;INDEX('Dashboard Items'!$C$2:$C$497,MATCH(F302,'Dashboard Items'!$A$2:$A$497,0)),"ID not found")))</f>
        <v/>
      </c>
      <c r="H302" s="2"/>
      <c r="I302" s="2"/>
      <c r="J302" s="2"/>
      <c r="K302" s="2"/>
      <c r="L302" s="2"/>
      <c r="M302" s="2"/>
      <c r="N302" s="2"/>
      <c r="O302" s="2"/>
      <c r="P302" s="2"/>
      <c r="Q302" s="2"/>
      <c r="R302" s="2"/>
      <c r="S302" s="2"/>
    </row>
    <row r="303" spans="1:19" x14ac:dyDescent="0.2">
      <c r="A303" s="2"/>
      <c r="B303" s="2"/>
      <c r="C303" s="2"/>
      <c r="D303" s="2"/>
      <c r="E303" s="6" t="str">
        <f>IF(D303="","",IFERROR(IF(INDEX('Dashboard Items'!$B$2:$B$497,MATCH(D303,'Dashboard Items'!$A$2:$A$497,0))="Objective","Objectives go in the next column",IF(OR(C303="",INDEX('Dashboard Items'!$B$2:$B$497,MATCH(D303,'Dashboard Items'!$A$2:$A$497,0))=C303),INDEX('Dashboard Items'!$C$2:$C$497,MATCH(D303,'Dashboard Items'!$A$2:$A$497,0)),"Level does not match ID")),"ID not found"))</f>
        <v/>
      </c>
      <c r="F303" s="7"/>
      <c r="G303" s="6" t="str">
        <f>IF(F303="","",IF(ISNUMBER(SEARCH(",",F303)),"Several items (the script lists them)",IFERROR(INDEX('Dashboard Items'!$B$2:$B$497,MATCH(F303,'Dashboard Items'!$A$2:$A$497,0))&amp;": "&amp;INDEX('Dashboard Items'!$C$2:$C$497,MATCH(F303,'Dashboard Items'!$A$2:$A$497,0)),"ID not found")))</f>
        <v/>
      </c>
      <c r="H303" s="2"/>
      <c r="I303" s="2"/>
      <c r="J303" s="2"/>
      <c r="K303" s="2"/>
      <c r="L303" s="2"/>
      <c r="M303" s="2"/>
      <c r="N303" s="2"/>
      <c r="O303" s="2"/>
      <c r="P303" s="2"/>
      <c r="Q303" s="2"/>
      <c r="R303" s="2"/>
      <c r="S303" s="2"/>
    </row>
    <row r="304" spans="1:19" x14ac:dyDescent="0.2">
      <c r="A304" s="2"/>
      <c r="B304" s="2"/>
      <c r="C304" s="2"/>
      <c r="D304" s="2"/>
      <c r="E304" s="6" t="str">
        <f>IF(D304="","",IFERROR(IF(INDEX('Dashboard Items'!$B$2:$B$497,MATCH(D304,'Dashboard Items'!$A$2:$A$497,0))="Objective","Objectives go in the next column",IF(OR(C304="",INDEX('Dashboard Items'!$B$2:$B$497,MATCH(D304,'Dashboard Items'!$A$2:$A$497,0))=C304),INDEX('Dashboard Items'!$C$2:$C$497,MATCH(D304,'Dashboard Items'!$A$2:$A$497,0)),"Level does not match ID")),"ID not found"))</f>
        <v/>
      </c>
      <c r="F304" s="7"/>
      <c r="G304" s="6" t="str">
        <f>IF(F304="","",IF(ISNUMBER(SEARCH(",",F304)),"Several items (the script lists them)",IFERROR(INDEX('Dashboard Items'!$B$2:$B$497,MATCH(F304,'Dashboard Items'!$A$2:$A$497,0))&amp;": "&amp;INDEX('Dashboard Items'!$C$2:$C$497,MATCH(F304,'Dashboard Items'!$A$2:$A$497,0)),"ID not found")))</f>
        <v/>
      </c>
      <c r="H304" s="2"/>
      <c r="I304" s="2"/>
      <c r="J304" s="2"/>
      <c r="K304" s="2"/>
      <c r="L304" s="2"/>
      <c r="M304" s="2"/>
      <c r="N304" s="2"/>
      <c r="O304" s="2"/>
      <c r="P304" s="2"/>
      <c r="Q304" s="2"/>
      <c r="R304" s="2"/>
      <c r="S304" s="2"/>
    </row>
    <row r="305" spans="1:19" x14ac:dyDescent="0.2">
      <c r="A305" s="2"/>
      <c r="B305" s="2"/>
      <c r="C305" s="2"/>
      <c r="D305" s="2"/>
      <c r="E305" s="6" t="str">
        <f>IF(D305="","",IFERROR(IF(INDEX('Dashboard Items'!$B$2:$B$497,MATCH(D305,'Dashboard Items'!$A$2:$A$497,0))="Objective","Objectives go in the next column",IF(OR(C305="",INDEX('Dashboard Items'!$B$2:$B$497,MATCH(D305,'Dashboard Items'!$A$2:$A$497,0))=C305),INDEX('Dashboard Items'!$C$2:$C$497,MATCH(D305,'Dashboard Items'!$A$2:$A$497,0)),"Level does not match ID")),"ID not found"))</f>
        <v/>
      </c>
      <c r="F305" s="7"/>
      <c r="G305" s="6" t="str">
        <f>IF(F305="","",IF(ISNUMBER(SEARCH(",",F305)),"Several items (the script lists them)",IFERROR(INDEX('Dashboard Items'!$B$2:$B$497,MATCH(F305,'Dashboard Items'!$A$2:$A$497,0))&amp;": "&amp;INDEX('Dashboard Items'!$C$2:$C$497,MATCH(F305,'Dashboard Items'!$A$2:$A$497,0)),"ID not found")))</f>
        <v/>
      </c>
      <c r="H305" s="2"/>
      <c r="I305" s="2"/>
      <c r="J305" s="2"/>
      <c r="K305" s="2"/>
      <c r="L305" s="2"/>
      <c r="M305" s="2"/>
      <c r="N305" s="2"/>
      <c r="O305" s="2"/>
      <c r="P305" s="2"/>
      <c r="Q305" s="2"/>
      <c r="R305" s="2"/>
      <c r="S305" s="2"/>
    </row>
    <row r="306" spans="1:19" x14ac:dyDescent="0.2">
      <c r="A306" s="2"/>
      <c r="B306" s="2"/>
      <c r="C306" s="2"/>
      <c r="D306" s="2"/>
      <c r="E306" s="6" t="str">
        <f>IF(D306="","",IFERROR(IF(INDEX('Dashboard Items'!$B$2:$B$497,MATCH(D306,'Dashboard Items'!$A$2:$A$497,0))="Objective","Objectives go in the next column",IF(OR(C306="",INDEX('Dashboard Items'!$B$2:$B$497,MATCH(D306,'Dashboard Items'!$A$2:$A$497,0))=C306),INDEX('Dashboard Items'!$C$2:$C$497,MATCH(D306,'Dashboard Items'!$A$2:$A$497,0)),"Level does not match ID")),"ID not found"))</f>
        <v/>
      </c>
      <c r="F306" s="7"/>
      <c r="G306" s="6" t="str">
        <f>IF(F306="","",IF(ISNUMBER(SEARCH(",",F306)),"Several items (the script lists them)",IFERROR(INDEX('Dashboard Items'!$B$2:$B$497,MATCH(F306,'Dashboard Items'!$A$2:$A$497,0))&amp;": "&amp;INDEX('Dashboard Items'!$C$2:$C$497,MATCH(F306,'Dashboard Items'!$A$2:$A$497,0)),"ID not found")))</f>
        <v/>
      </c>
      <c r="H306" s="2"/>
      <c r="I306" s="2"/>
      <c r="J306" s="2"/>
      <c r="K306" s="2"/>
      <c r="L306" s="2"/>
      <c r="M306" s="2"/>
      <c r="N306" s="2"/>
      <c r="O306" s="2"/>
      <c r="P306" s="2"/>
      <c r="Q306" s="2"/>
      <c r="R306" s="2"/>
      <c r="S306" s="2"/>
    </row>
    <row r="307" spans="1:19" x14ac:dyDescent="0.2">
      <c r="A307" s="2"/>
      <c r="B307" s="2"/>
      <c r="C307" s="2"/>
      <c r="D307" s="2"/>
      <c r="E307" s="6" t="str">
        <f>IF(D307="","",IFERROR(IF(INDEX('Dashboard Items'!$B$2:$B$497,MATCH(D307,'Dashboard Items'!$A$2:$A$497,0))="Objective","Objectives go in the next column",IF(OR(C307="",INDEX('Dashboard Items'!$B$2:$B$497,MATCH(D307,'Dashboard Items'!$A$2:$A$497,0))=C307),INDEX('Dashboard Items'!$C$2:$C$497,MATCH(D307,'Dashboard Items'!$A$2:$A$497,0)),"Level does not match ID")),"ID not found"))</f>
        <v/>
      </c>
      <c r="F307" s="7"/>
      <c r="G307" s="6" t="str">
        <f>IF(F307="","",IF(ISNUMBER(SEARCH(",",F307)),"Several items (the script lists them)",IFERROR(INDEX('Dashboard Items'!$B$2:$B$497,MATCH(F307,'Dashboard Items'!$A$2:$A$497,0))&amp;": "&amp;INDEX('Dashboard Items'!$C$2:$C$497,MATCH(F307,'Dashboard Items'!$A$2:$A$497,0)),"ID not found")))</f>
        <v/>
      </c>
      <c r="H307" s="2"/>
      <c r="I307" s="2"/>
      <c r="J307" s="2"/>
      <c r="K307" s="2"/>
      <c r="L307" s="2"/>
      <c r="M307" s="2"/>
      <c r="N307" s="2"/>
      <c r="O307" s="2"/>
      <c r="P307" s="2"/>
      <c r="Q307" s="2"/>
      <c r="R307" s="2"/>
      <c r="S307" s="2"/>
    </row>
    <row r="308" spans="1:19" x14ac:dyDescent="0.2">
      <c r="A308" s="2"/>
      <c r="B308" s="2"/>
      <c r="C308" s="2"/>
      <c r="D308" s="2"/>
      <c r="E308" s="6" t="str">
        <f>IF(D308="","",IFERROR(IF(INDEX('Dashboard Items'!$B$2:$B$497,MATCH(D308,'Dashboard Items'!$A$2:$A$497,0))="Objective","Objectives go in the next column",IF(OR(C308="",INDEX('Dashboard Items'!$B$2:$B$497,MATCH(D308,'Dashboard Items'!$A$2:$A$497,0))=C308),INDEX('Dashboard Items'!$C$2:$C$497,MATCH(D308,'Dashboard Items'!$A$2:$A$497,0)),"Level does not match ID")),"ID not found"))</f>
        <v/>
      </c>
      <c r="F308" s="7"/>
      <c r="G308" s="6" t="str">
        <f>IF(F308="","",IF(ISNUMBER(SEARCH(",",F308)),"Several items (the script lists them)",IFERROR(INDEX('Dashboard Items'!$B$2:$B$497,MATCH(F308,'Dashboard Items'!$A$2:$A$497,0))&amp;": "&amp;INDEX('Dashboard Items'!$C$2:$C$497,MATCH(F308,'Dashboard Items'!$A$2:$A$497,0)),"ID not found")))</f>
        <v/>
      </c>
      <c r="H308" s="2"/>
      <c r="I308" s="2"/>
      <c r="J308" s="2"/>
      <c r="K308" s="2"/>
      <c r="L308" s="2"/>
      <c r="M308" s="2"/>
      <c r="N308" s="2"/>
      <c r="O308" s="2"/>
      <c r="P308" s="2"/>
      <c r="Q308" s="2"/>
      <c r="R308" s="2"/>
      <c r="S308" s="2"/>
    </row>
  </sheetData>
  <dataValidations count="3">
    <dataValidation type="list" allowBlank="1" errorTitle="Level" error="Choose Work System, Key Service or Program." sqref="C22:C308 C2:C20 C21:D21" xr:uid="{00000000-0002-0000-0100-000001000000}">
      <formula1>"Work System,Key Service,Program"</formula1>
      <formula2>0</formula2>
    </dataValidation>
    <dataValidation type="list" allowBlank="1" sqref="J2:J308 N2:N308" xr:uid="{00000000-0002-0000-0100-000000000000}">
      <formula1>"Yes,No"</formula1>
      <formula2>0</formula2>
    </dataValidation>
    <dataValidation type="list" allowBlank="1" errorTitle="Status Based On" error="Choose Target or Benchmark." sqref="K2:K308"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2"/>
  <sheetViews>
    <sheetView tabSelected="1" zoomScaleNormal="100" workbookViewId="0">
      <pane ySplit="1" topLeftCell="A2" activePane="bottomLeft" state="frozen"/>
      <selection pane="bottomLeft" activeCell="C99" sqref="C99"/>
    </sheetView>
  </sheetViews>
  <sheetFormatPr baseColWidth="10" defaultColWidth="8.6640625" defaultRowHeight="15" x14ac:dyDescent="0.2"/>
  <cols>
    <col min="1" max="1" width="26" customWidth="1"/>
    <col min="2" max="2" width="12" customWidth="1"/>
    <col min="3" max="3" width="16" customWidth="1"/>
    <col min="4" max="5" width="10" customWidth="1"/>
    <col min="6" max="6" width="11" customWidth="1"/>
    <col min="7" max="7" width="44" customWidth="1"/>
  </cols>
  <sheetData>
    <row r="1" spans="1:7" x14ac:dyDescent="0.2">
      <c r="A1" s="5" t="s">
        <v>21</v>
      </c>
      <c r="B1" s="5" t="s">
        <v>23</v>
      </c>
      <c r="C1" s="5" t="s">
        <v>25</v>
      </c>
      <c r="D1" s="5" t="s">
        <v>27</v>
      </c>
      <c r="E1" s="5" t="s">
        <v>29</v>
      </c>
      <c r="F1" s="5" t="s">
        <v>31</v>
      </c>
      <c r="G1" s="5" t="s">
        <v>33</v>
      </c>
    </row>
    <row r="2" spans="1:7" x14ac:dyDescent="0.2">
      <c r="A2" s="12" t="s">
        <v>430</v>
      </c>
      <c r="B2" s="9" t="s">
        <v>77</v>
      </c>
      <c r="C2" s="8"/>
      <c r="D2" s="8">
        <v>69</v>
      </c>
      <c r="E2" s="8"/>
      <c r="F2" s="8">
        <v>76.599999999999994</v>
      </c>
      <c r="G2" s="2" t="s">
        <v>78</v>
      </c>
    </row>
    <row r="3" spans="1:7" x14ac:dyDescent="0.2">
      <c r="A3" s="12" t="s">
        <v>430</v>
      </c>
      <c r="B3" s="9" t="s">
        <v>79</v>
      </c>
      <c r="C3" s="8"/>
      <c r="D3" s="8">
        <v>81.3</v>
      </c>
      <c r="E3" s="8"/>
      <c r="F3" s="8">
        <v>75.099999999999994</v>
      </c>
      <c r="G3" s="2" t="s">
        <v>78</v>
      </c>
    </row>
    <row r="4" spans="1:7" x14ac:dyDescent="0.2">
      <c r="A4" s="12" t="s">
        <v>430</v>
      </c>
      <c r="B4" s="9" t="s">
        <v>80</v>
      </c>
      <c r="C4" s="8"/>
      <c r="D4" s="8">
        <v>79.3</v>
      </c>
      <c r="E4" s="8"/>
      <c r="F4" s="8">
        <v>76.599999999999994</v>
      </c>
      <c r="G4" s="2"/>
    </row>
    <row r="5" spans="1:7" x14ac:dyDescent="0.2">
      <c r="A5" s="12" t="s">
        <v>430</v>
      </c>
      <c r="B5" s="9" t="s">
        <v>80</v>
      </c>
      <c r="C5" s="8" t="s">
        <v>81</v>
      </c>
      <c r="D5" s="8">
        <v>79.900000000000006</v>
      </c>
      <c r="E5" s="8"/>
      <c r="F5" s="8"/>
      <c r="G5" s="2"/>
    </row>
    <row r="6" spans="1:7" x14ac:dyDescent="0.2">
      <c r="A6" s="12" t="s">
        <v>430</v>
      </c>
      <c r="B6" s="9" t="s">
        <v>80</v>
      </c>
      <c r="C6" s="8" t="s">
        <v>82</v>
      </c>
      <c r="D6" s="8">
        <v>78.2</v>
      </c>
      <c r="E6" s="8"/>
      <c r="F6" s="8"/>
      <c r="G6" s="2"/>
    </row>
    <row r="7" spans="1:7" x14ac:dyDescent="0.2">
      <c r="A7" s="8" t="s">
        <v>71</v>
      </c>
      <c r="B7" s="9" t="s">
        <v>83</v>
      </c>
      <c r="C7" s="8"/>
      <c r="D7" s="8">
        <v>99.89</v>
      </c>
      <c r="E7" s="8">
        <v>99.99</v>
      </c>
      <c r="F7" s="8">
        <v>99.998999999999995</v>
      </c>
      <c r="G7" s="2"/>
    </row>
    <row r="8" spans="1:7" x14ac:dyDescent="0.2">
      <c r="A8" s="8" t="s">
        <v>71</v>
      </c>
      <c r="B8" s="9" t="s">
        <v>84</v>
      </c>
      <c r="C8" s="8"/>
      <c r="D8" s="8">
        <v>99.98</v>
      </c>
      <c r="E8" s="8">
        <v>99.99</v>
      </c>
      <c r="F8" s="8">
        <v>99.998999999999995</v>
      </c>
      <c r="G8" s="2"/>
    </row>
    <row r="9" spans="1:7" x14ac:dyDescent="0.2">
      <c r="A9" s="8" t="s">
        <v>71</v>
      </c>
      <c r="B9" s="9" t="s">
        <v>77</v>
      </c>
      <c r="C9" s="8"/>
      <c r="D9" s="8">
        <v>99.92</v>
      </c>
      <c r="E9" s="8">
        <v>99.99</v>
      </c>
      <c r="F9" s="8">
        <v>99.998999999999995</v>
      </c>
      <c r="G9" s="2"/>
    </row>
    <row r="10" spans="1:7" x14ac:dyDescent="0.2">
      <c r="A10" s="12" t="s">
        <v>71</v>
      </c>
      <c r="B10" s="9" t="s">
        <v>85</v>
      </c>
      <c r="C10" s="8"/>
      <c r="D10" s="8">
        <v>99.91</v>
      </c>
      <c r="E10" s="8">
        <v>99.99</v>
      </c>
      <c r="F10" s="8">
        <v>99.998999999999995</v>
      </c>
      <c r="G10" s="2"/>
    </row>
    <row r="11" spans="1:7" x14ac:dyDescent="0.2">
      <c r="A11" s="12" t="s">
        <v>71</v>
      </c>
      <c r="B11" s="9" t="s">
        <v>79</v>
      </c>
      <c r="C11" s="8"/>
      <c r="D11" s="8">
        <v>99.79</v>
      </c>
      <c r="E11" s="8">
        <v>99.99</v>
      </c>
      <c r="F11" s="8">
        <v>99.998999999999995</v>
      </c>
      <c r="G11" s="2"/>
    </row>
    <row r="12" spans="1:7" x14ac:dyDescent="0.2">
      <c r="A12" s="12" t="s">
        <v>71</v>
      </c>
      <c r="B12" s="9" t="s">
        <v>86</v>
      </c>
      <c r="C12" s="8"/>
      <c r="D12" s="8">
        <v>99.85</v>
      </c>
      <c r="E12" s="8">
        <v>99.99</v>
      </c>
      <c r="F12" s="8">
        <v>99.998999999999995</v>
      </c>
      <c r="G12" s="2"/>
    </row>
    <row r="13" spans="1:7" x14ac:dyDescent="0.2">
      <c r="A13" s="12" t="s">
        <v>449</v>
      </c>
      <c r="B13" s="13" t="s">
        <v>77</v>
      </c>
      <c r="C13" s="8"/>
      <c r="D13" s="8">
        <v>80</v>
      </c>
      <c r="E13" s="8">
        <v>85</v>
      </c>
      <c r="F13" s="8"/>
      <c r="G13" s="2"/>
    </row>
    <row r="14" spans="1:7" x14ac:dyDescent="0.2">
      <c r="A14" s="12" t="s">
        <v>449</v>
      </c>
      <c r="B14" s="13" t="s">
        <v>85</v>
      </c>
      <c r="C14" s="8"/>
      <c r="D14" s="8">
        <v>89.86</v>
      </c>
      <c r="E14" s="8">
        <v>85</v>
      </c>
      <c r="F14" s="8"/>
      <c r="G14" s="2"/>
    </row>
    <row r="15" spans="1:7" x14ac:dyDescent="0.2">
      <c r="A15" s="12" t="s">
        <v>449</v>
      </c>
      <c r="B15" s="13" t="s">
        <v>79</v>
      </c>
      <c r="C15" s="8"/>
      <c r="D15" s="8">
        <v>85.71</v>
      </c>
      <c r="E15" s="8">
        <v>85</v>
      </c>
      <c r="F15" s="8"/>
      <c r="G15" s="2"/>
    </row>
    <row r="16" spans="1:7" x14ac:dyDescent="0.2">
      <c r="A16" s="12" t="s">
        <v>449</v>
      </c>
      <c r="B16" s="13" t="s">
        <v>86</v>
      </c>
      <c r="C16" s="8"/>
      <c r="D16" s="8">
        <v>89.97</v>
      </c>
      <c r="E16" s="8">
        <v>85</v>
      </c>
      <c r="F16" s="8"/>
      <c r="G16" s="2"/>
    </row>
    <row r="17" spans="1:7" x14ac:dyDescent="0.2">
      <c r="A17" s="12" t="s">
        <v>450</v>
      </c>
      <c r="B17" s="13" t="s">
        <v>77</v>
      </c>
      <c r="C17" s="14" t="s">
        <v>396</v>
      </c>
      <c r="D17" s="8"/>
      <c r="E17" s="8">
        <v>95</v>
      </c>
      <c r="F17" s="8">
        <v>100</v>
      </c>
      <c r="G17" s="2"/>
    </row>
    <row r="18" spans="1:7" x14ac:dyDescent="0.2">
      <c r="A18" s="12" t="s">
        <v>450</v>
      </c>
      <c r="B18" s="13" t="s">
        <v>77</v>
      </c>
      <c r="C18" s="14" t="s">
        <v>399</v>
      </c>
      <c r="D18" s="8"/>
      <c r="E18" s="8">
        <v>95</v>
      </c>
      <c r="F18" s="8">
        <v>100</v>
      </c>
      <c r="G18" s="2"/>
    </row>
    <row r="19" spans="1:7" x14ac:dyDescent="0.2">
      <c r="A19" s="12" t="s">
        <v>450</v>
      </c>
      <c r="B19" s="13" t="s">
        <v>77</v>
      </c>
      <c r="C19" s="14" t="s">
        <v>397</v>
      </c>
      <c r="D19" s="8"/>
      <c r="E19" s="8">
        <v>95</v>
      </c>
      <c r="F19" s="8">
        <v>100</v>
      </c>
      <c r="G19" s="2"/>
    </row>
    <row r="20" spans="1:7" x14ac:dyDescent="0.2">
      <c r="A20" s="12" t="s">
        <v>450</v>
      </c>
      <c r="B20" s="13" t="s">
        <v>77</v>
      </c>
      <c r="C20" s="14" t="s">
        <v>398</v>
      </c>
      <c r="D20" s="8"/>
      <c r="E20" s="8">
        <v>95</v>
      </c>
      <c r="F20" s="8">
        <v>100</v>
      </c>
      <c r="G20" s="2"/>
    </row>
    <row r="21" spans="1:7" x14ac:dyDescent="0.2">
      <c r="A21" s="12" t="s">
        <v>450</v>
      </c>
      <c r="B21" s="13" t="s">
        <v>85</v>
      </c>
      <c r="C21" s="14" t="s">
        <v>396</v>
      </c>
      <c r="D21" s="8"/>
      <c r="E21" s="8">
        <v>95</v>
      </c>
      <c r="F21" s="8">
        <v>100</v>
      </c>
      <c r="G21" s="2"/>
    </row>
    <row r="22" spans="1:7" x14ac:dyDescent="0.2">
      <c r="A22" s="12" t="s">
        <v>450</v>
      </c>
      <c r="B22" s="13" t="s">
        <v>85</v>
      </c>
      <c r="C22" s="14" t="s">
        <v>399</v>
      </c>
      <c r="D22" s="8"/>
      <c r="E22" s="8">
        <v>95</v>
      </c>
      <c r="F22" s="8">
        <v>100</v>
      </c>
      <c r="G22" s="2"/>
    </row>
    <row r="23" spans="1:7" x14ac:dyDescent="0.2">
      <c r="A23" s="12" t="s">
        <v>450</v>
      </c>
      <c r="B23" s="13" t="s">
        <v>85</v>
      </c>
      <c r="C23" s="14" t="s">
        <v>397</v>
      </c>
      <c r="D23" s="8"/>
      <c r="E23" s="8">
        <v>95</v>
      </c>
      <c r="F23" s="8">
        <v>100</v>
      </c>
      <c r="G23" s="2"/>
    </row>
    <row r="24" spans="1:7" x14ac:dyDescent="0.2">
      <c r="A24" s="12" t="s">
        <v>450</v>
      </c>
      <c r="B24" s="13" t="s">
        <v>85</v>
      </c>
      <c r="C24" s="14" t="s">
        <v>398</v>
      </c>
      <c r="D24" s="8"/>
      <c r="E24" s="8">
        <v>95</v>
      </c>
      <c r="F24" s="8">
        <v>100</v>
      </c>
      <c r="G24" s="2"/>
    </row>
    <row r="25" spans="1:7" x14ac:dyDescent="0.2">
      <c r="A25" s="12" t="s">
        <v>450</v>
      </c>
      <c r="B25" s="13" t="s">
        <v>79</v>
      </c>
      <c r="C25" s="14" t="s">
        <v>396</v>
      </c>
      <c r="D25" s="8"/>
      <c r="E25" s="8">
        <v>95</v>
      </c>
      <c r="F25" s="8">
        <v>100</v>
      </c>
      <c r="G25" s="2"/>
    </row>
    <row r="26" spans="1:7" x14ac:dyDescent="0.2">
      <c r="A26" s="12" t="s">
        <v>450</v>
      </c>
      <c r="B26" s="13" t="s">
        <v>79</v>
      </c>
      <c r="C26" s="14" t="s">
        <v>399</v>
      </c>
      <c r="D26" s="8"/>
      <c r="E26" s="8">
        <v>95</v>
      </c>
      <c r="F26" s="8">
        <v>100</v>
      </c>
      <c r="G26" s="2"/>
    </row>
    <row r="27" spans="1:7" x14ac:dyDescent="0.2">
      <c r="A27" s="12" t="s">
        <v>450</v>
      </c>
      <c r="B27" s="13" t="s">
        <v>79</v>
      </c>
      <c r="C27" s="14" t="s">
        <v>397</v>
      </c>
      <c r="D27" s="8"/>
      <c r="E27" s="8">
        <v>95</v>
      </c>
      <c r="F27" s="8">
        <v>100</v>
      </c>
      <c r="G27" s="2"/>
    </row>
    <row r="28" spans="1:7" x14ac:dyDescent="0.2">
      <c r="A28" s="12" t="s">
        <v>450</v>
      </c>
      <c r="B28" s="13" t="s">
        <v>79</v>
      </c>
      <c r="C28" s="14" t="s">
        <v>398</v>
      </c>
      <c r="D28" s="8"/>
      <c r="E28" s="8">
        <v>95</v>
      </c>
      <c r="F28" s="8">
        <v>100</v>
      </c>
      <c r="G28" s="2"/>
    </row>
    <row r="29" spans="1:7" x14ac:dyDescent="0.2">
      <c r="A29" s="12" t="s">
        <v>450</v>
      </c>
      <c r="B29" s="13" t="s">
        <v>86</v>
      </c>
      <c r="C29" s="14" t="s">
        <v>396</v>
      </c>
      <c r="D29" s="8"/>
      <c r="E29" s="8">
        <v>95</v>
      </c>
      <c r="F29" s="8">
        <v>100</v>
      </c>
      <c r="G29" s="2"/>
    </row>
    <row r="30" spans="1:7" x14ac:dyDescent="0.2">
      <c r="A30" s="12" t="s">
        <v>450</v>
      </c>
      <c r="B30" s="13" t="s">
        <v>86</v>
      </c>
      <c r="C30" s="14" t="s">
        <v>399</v>
      </c>
      <c r="D30" s="8"/>
      <c r="E30" s="8">
        <v>95</v>
      </c>
      <c r="F30" s="8">
        <v>100</v>
      </c>
      <c r="G30" s="2"/>
    </row>
    <row r="31" spans="1:7" x14ac:dyDescent="0.2">
      <c r="A31" s="12" t="s">
        <v>450</v>
      </c>
      <c r="B31" s="13" t="s">
        <v>86</v>
      </c>
      <c r="C31" s="14" t="s">
        <v>397</v>
      </c>
      <c r="D31" s="8"/>
      <c r="E31" s="8">
        <v>95</v>
      </c>
      <c r="F31" s="8">
        <v>100</v>
      </c>
      <c r="G31" s="2"/>
    </row>
    <row r="32" spans="1:7" x14ac:dyDescent="0.2">
      <c r="A32" s="12" t="s">
        <v>450</v>
      </c>
      <c r="B32" s="13" t="s">
        <v>86</v>
      </c>
      <c r="C32" s="14" t="s">
        <v>398</v>
      </c>
      <c r="D32" s="8"/>
      <c r="E32" s="8">
        <v>95</v>
      </c>
      <c r="F32" s="8">
        <v>100</v>
      </c>
      <c r="G32" s="2"/>
    </row>
    <row r="33" spans="1:7" x14ac:dyDescent="0.2">
      <c r="A33" s="12" t="s">
        <v>451</v>
      </c>
      <c r="B33" s="13" t="s">
        <v>403</v>
      </c>
      <c r="D33" s="8">
        <v>8.9</v>
      </c>
      <c r="E33" s="8">
        <v>3.9</v>
      </c>
      <c r="F33" s="8">
        <v>3.9</v>
      </c>
      <c r="G33" s="2"/>
    </row>
    <row r="34" spans="1:7" x14ac:dyDescent="0.2">
      <c r="A34" s="12" t="s">
        <v>451</v>
      </c>
      <c r="B34" s="13" t="s">
        <v>404</v>
      </c>
      <c r="D34" s="8">
        <v>2.4</v>
      </c>
      <c r="E34" s="8">
        <v>3.9</v>
      </c>
      <c r="F34" s="8">
        <v>3.9</v>
      </c>
      <c r="G34" s="2"/>
    </row>
    <row r="35" spans="1:7" x14ac:dyDescent="0.2">
      <c r="A35" s="12" t="s">
        <v>451</v>
      </c>
      <c r="B35" s="13" t="s">
        <v>405</v>
      </c>
      <c r="D35" s="8">
        <v>1.05</v>
      </c>
      <c r="E35" s="8">
        <v>3.9</v>
      </c>
      <c r="F35" s="8">
        <v>3.9</v>
      </c>
      <c r="G35" s="2"/>
    </row>
    <row r="36" spans="1:7" x14ac:dyDescent="0.2">
      <c r="A36" s="12" t="s">
        <v>451</v>
      </c>
      <c r="B36" s="13" t="s">
        <v>406</v>
      </c>
      <c r="D36" s="8">
        <v>0.9</v>
      </c>
      <c r="E36" s="8">
        <v>3.9</v>
      </c>
      <c r="F36" s="8">
        <v>3.9</v>
      </c>
      <c r="G36" s="2"/>
    </row>
    <row r="37" spans="1:7" x14ac:dyDescent="0.2">
      <c r="A37" s="12" t="s">
        <v>451</v>
      </c>
      <c r="B37" s="13" t="s">
        <v>407</v>
      </c>
      <c r="D37" s="8">
        <v>0.63333333333333297</v>
      </c>
      <c r="E37" s="8">
        <v>3.9</v>
      </c>
      <c r="F37" s="8">
        <v>3.9</v>
      </c>
      <c r="G37" s="2"/>
    </row>
    <row r="38" spans="1:7" x14ac:dyDescent="0.2">
      <c r="A38" s="12" t="s">
        <v>451</v>
      </c>
      <c r="B38" s="13" t="s">
        <v>408</v>
      </c>
      <c r="D38" s="8">
        <v>0.7</v>
      </c>
      <c r="E38" s="8">
        <v>3.9</v>
      </c>
      <c r="F38" s="8">
        <v>3.9</v>
      </c>
      <c r="G38" s="2"/>
    </row>
    <row r="39" spans="1:7" x14ac:dyDescent="0.2">
      <c r="A39" s="12" t="s">
        <v>451</v>
      </c>
      <c r="B39" s="13" t="s">
        <v>409</v>
      </c>
      <c r="D39" s="8">
        <v>1.13333333333333</v>
      </c>
      <c r="E39" s="8">
        <v>3.9</v>
      </c>
      <c r="F39" s="8">
        <v>3.9</v>
      </c>
      <c r="G39" s="2"/>
    </row>
    <row r="40" spans="1:7" x14ac:dyDescent="0.2">
      <c r="A40" s="12" t="s">
        <v>451</v>
      </c>
      <c r="B40" s="13" t="s">
        <v>410</v>
      </c>
      <c r="D40" s="8">
        <v>0.56666666666666698</v>
      </c>
      <c r="E40" s="8">
        <v>3.9</v>
      </c>
      <c r="F40" s="8">
        <v>3.9</v>
      </c>
      <c r="G40" s="2"/>
    </row>
    <row r="41" spans="1:7" x14ac:dyDescent="0.2">
      <c r="A41" s="12" t="s">
        <v>451</v>
      </c>
      <c r="B41" s="13" t="s">
        <v>411</v>
      </c>
      <c r="D41" s="8">
        <v>0.83333333333333304</v>
      </c>
      <c r="E41" s="8">
        <v>3.9</v>
      </c>
      <c r="F41" s="8">
        <v>3.9</v>
      </c>
      <c r="G41" s="2"/>
    </row>
    <row r="42" spans="1:7" x14ac:dyDescent="0.2">
      <c r="A42" s="12" t="s">
        <v>451</v>
      </c>
      <c r="B42" s="13" t="s">
        <v>412</v>
      </c>
      <c r="D42" s="8">
        <v>1.5333333333333301</v>
      </c>
      <c r="E42" s="8">
        <v>3.9</v>
      </c>
      <c r="F42" s="8">
        <v>3.9</v>
      </c>
      <c r="G42" s="2"/>
    </row>
    <row r="43" spans="1:7" x14ac:dyDescent="0.2">
      <c r="A43" s="12" t="s">
        <v>451</v>
      </c>
      <c r="B43" s="13" t="s">
        <v>413</v>
      </c>
      <c r="D43" s="8">
        <v>1.1000000000000001</v>
      </c>
      <c r="E43" s="8">
        <v>3.9</v>
      </c>
      <c r="F43" s="8">
        <v>3.9</v>
      </c>
      <c r="G43" s="2"/>
    </row>
    <row r="44" spans="1:7" x14ac:dyDescent="0.2">
      <c r="A44" s="12" t="s">
        <v>451</v>
      </c>
      <c r="B44" s="13" t="s">
        <v>414</v>
      </c>
      <c r="D44" s="8">
        <v>0.66666666666666696</v>
      </c>
      <c r="E44" s="8">
        <v>3.9</v>
      </c>
      <c r="F44" s="8">
        <v>3.9</v>
      </c>
      <c r="G44" s="2"/>
    </row>
    <row r="45" spans="1:7" x14ac:dyDescent="0.2">
      <c r="A45" s="12" t="s">
        <v>451</v>
      </c>
      <c r="B45" s="13" t="s">
        <v>415</v>
      </c>
      <c r="D45" s="8">
        <v>0.73333333333333295</v>
      </c>
      <c r="E45" s="8">
        <v>3.9</v>
      </c>
      <c r="F45" s="8">
        <v>3.9</v>
      </c>
      <c r="G45" s="2"/>
    </row>
    <row r="46" spans="1:7" x14ac:dyDescent="0.2">
      <c r="A46" s="12" t="s">
        <v>451</v>
      </c>
      <c r="B46" s="13" t="s">
        <v>416</v>
      </c>
      <c r="D46" s="8">
        <v>0.75</v>
      </c>
      <c r="E46" s="8">
        <v>3.9</v>
      </c>
      <c r="F46" s="8">
        <v>3.9</v>
      </c>
      <c r="G46" s="2"/>
    </row>
    <row r="47" spans="1:7" x14ac:dyDescent="0.2">
      <c r="A47" s="12" t="s">
        <v>451</v>
      </c>
      <c r="B47" s="13" t="s">
        <v>417</v>
      </c>
      <c r="D47" s="8">
        <v>8.3666666666666707</v>
      </c>
      <c r="E47" s="8">
        <v>3.9</v>
      </c>
      <c r="F47" s="8">
        <v>3.9</v>
      </c>
      <c r="G47" s="2"/>
    </row>
    <row r="48" spans="1:7" x14ac:dyDescent="0.2">
      <c r="A48" s="12" t="s">
        <v>451</v>
      </c>
      <c r="B48" s="13" t="s">
        <v>418</v>
      </c>
      <c r="D48" s="8">
        <v>9.6999999999999993</v>
      </c>
      <c r="E48" s="8">
        <v>3.9</v>
      </c>
      <c r="F48" s="8">
        <v>3.9</v>
      </c>
      <c r="G48" s="2"/>
    </row>
    <row r="49" spans="1:7" x14ac:dyDescent="0.2">
      <c r="A49" s="12" t="s">
        <v>451</v>
      </c>
      <c r="B49" s="13" t="s">
        <v>419</v>
      </c>
      <c r="D49" s="8">
        <v>10.5666666666667</v>
      </c>
      <c r="E49" s="8">
        <v>3.9</v>
      </c>
      <c r="F49" s="8">
        <v>3.9</v>
      </c>
      <c r="G49" s="2"/>
    </row>
    <row r="50" spans="1:7" x14ac:dyDescent="0.2">
      <c r="A50" s="12" t="s">
        <v>451</v>
      </c>
      <c r="B50" s="13" t="s">
        <v>420</v>
      </c>
      <c r="D50" s="8">
        <v>1.7</v>
      </c>
      <c r="E50" s="8">
        <v>3.9</v>
      </c>
      <c r="F50" s="8">
        <v>3.9</v>
      </c>
      <c r="G50" s="2"/>
    </row>
    <row r="51" spans="1:7" x14ac:dyDescent="0.2">
      <c r="A51" s="12" t="s">
        <v>451</v>
      </c>
      <c r="B51" s="13" t="s">
        <v>421</v>
      </c>
      <c r="D51" s="8">
        <v>0.73333333333333295</v>
      </c>
      <c r="E51" s="8">
        <v>3.9</v>
      </c>
      <c r="F51" s="8">
        <v>3.9</v>
      </c>
      <c r="G51" s="2"/>
    </row>
    <row r="52" spans="1:7" x14ac:dyDescent="0.2">
      <c r="A52" s="12" t="s">
        <v>451</v>
      </c>
      <c r="B52" s="13" t="s">
        <v>422</v>
      </c>
      <c r="D52" s="8">
        <v>0.76666666666666705</v>
      </c>
      <c r="E52" s="8">
        <v>3.9</v>
      </c>
      <c r="F52" s="8">
        <v>3.9</v>
      </c>
      <c r="G52" s="2"/>
    </row>
    <row r="53" spans="1:7" x14ac:dyDescent="0.2">
      <c r="A53" s="12" t="s">
        <v>434</v>
      </c>
      <c r="B53" s="13" t="s">
        <v>489</v>
      </c>
      <c r="C53" s="8"/>
      <c r="D53" s="8"/>
      <c r="E53" s="8"/>
      <c r="F53" s="8"/>
      <c r="G53" s="2"/>
    </row>
    <row r="54" spans="1:7" x14ac:dyDescent="0.2">
      <c r="A54" s="12" t="s">
        <v>435</v>
      </c>
      <c r="B54" s="13" t="s">
        <v>489</v>
      </c>
      <c r="C54" s="8"/>
      <c r="D54" s="8"/>
      <c r="E54" s="8">
        <v>1</v>
      </c>
      <c r="F54" s="8"/>
      <c r="G54" s="2"/>
    </row>
    <row r="55" spans="1:7" x14ac:dyDescent="0.2">
      <c r="A55" s="12" t="s">
        <v>439</v>
      </c>
      <c r="B55" s="13" t="s">
        <v>489</v>
      </c>
      <c r="C55" s="8"/>
      <c r="D55" s="8"/>
      <c r="E55" s="8">
        <v>2</v>
      </c>
      <c r="F55" s="8"/>
      <c r="G55" s="2"/>
    </row>
    <row r="56" spans="1:7" x14ac:dyDescent="0.2">
      <c r="A56" s="12" t="s">
        <v>440</v>
      </c>
      <c r="B56" s="13" t="s">
        <v>489</v>
      </c>
      <c r="C56" s="8"/>
      <c r="D56" s="8"/>
      <c r="E56" s="8">
        <v>90</v>
      </c>
      <c r="F56" s="8"/>
      <c r="G56" s="2"/>
    </row>
    <row r="57" spans="1:7" x14ac:dyDescent="0.2">
      <c r="A57" s="12" t="s">
        <v>462</v>
      </c>
      <c r="B57" s="13" t="s">
        <v>489</v>
      </c>
      <c r="C57" s="8"/>
      <c r="D57" s="8"/>
      <c r="E57" s="8"/>
      <c r="F57" s="8"/>
      <c r="G57" s="2"/>
    </row>
    <row r="58" spans="1:7" x14ac:dyDescent="0.2">
      <c r="A58" s="12" t="s">
        <v>466</v>
      </c>
      <c r="B58" s="13" t="s">
        <v>489</v>
      </c>
      <c r="C58" s="8"/>
      <c r="D58" s="8"/>
      <c r="E58" s="8"/>
      <c r="F58" s="8"/>
      <c r="G58" s="2"/>
    </row>
    <row r="59" spans="1:7" x14ac:dyDescent="0.2">
      <c r="A59" s="12" t="s">
        <v>463</v>
      </c>
      <c r="B59" s="13" t="s">
        <v>489</v>
      </c>
      <c r="C59" s="8"/>
      <c r="D59" s="8"/>
      <c r="E59" s="8"/>
      <c r="F59" s="8"/>
      <c r="G59" s="2"/>
    </row>
    <row r="60" spans="1:7" x14ac:dyDescent="0.2">
      <c r="A60" s="12" t="s">
        <v>464</v>
      </c>
      <c r="B60" s="13" t="s">
        <v>489</v>
      </c>
      <c r="C60" s="8"/>
      <c r="D60" s="8"/>
      <c r="E60" s="8"/>
      <c r="F60" s="8"/>
      <c r="G60" s="2"/>
    </row>
    <row r="61" spans="1:7" x14ac:dyDescent="0.2">
      <c r="A61" s="12" t="s">
        <v>467</v>
      </c>
      <c r="B61" s="13" t="s">
        <v>489</v>
      </c>
      <c r="C61" s="8"/>
      <c r="D61" s="8"/>
      <c r="E61" s="8"/>
      <c r="F61" s="8"/>
      <c r="G61" s="2"/>
    </row>
    <row r="62" spans="1:7" x14ac:dyDescent="0.2">
      <c r="A62" s="12" t="s">
        <v>468</v>
      </c>
      <c r="B62" s="13" t="s">
        <v>489</v>
      </c>
      <c r="C62" s="8"/>
      <c r="D62" s="8"/>
      <c r="E62" s="8"/>
      <c r="F62" s="8"/>
      <c r="G62" s="2"/>
    </row>
    <row r="63" spans="1:7" x14ac:dyDescent="0.2">
      <c r="A63" s="12" t="s">
        <v>469</v>
      </c>
      <c r="B63" s="13" t="s">
        <v>489</v>
      </c>
      <c r="C63" s="8"/>
      <c r="D63" s="8"/>
      <c r="E63" s="8"/>
      <c r="F63" s="8"/>
      <c r="G63" s="2"/>
    </row>
    <row r="64" spans="1:7" x14ac:dyDescent="0.2">
      <c r="A64" s="12" t="s">
        <v>470</v>
      </c>
      <c r="B64" s="13" t="s">
        <v>489</v>
      </c>
      <c r="C64" s="8"/>
      <c r="D64" s="8"/>
      <c r="E64" s="8"/>
      <c r="F64" s="8"/>
      <c r="G64" s="2"/>
    </row>
    <row r="65" spans="1:7" x14ac:dyDescent="0.2">
      <c r="A65" s="12" t="s">
        <v>491</v>
      </c>
      <c r="B65" s="13" t="s">
        <v>84</v>
      </c>
      <c r="C65" s="14" t="s">
        <v>494</v>
      </c>
      <c r="D65" s="8">
        <v>4.1100000000000003</v>
      </c>
      <c r="E65" s="8">
        <v>5.9</v>
      </c>
      <c r="F65" s="8">
        <v>2.6</v>
      </c>
      <c r="G65" s="2"/>
    </row>
    <row r="66" spans="1:7" x14ac:dyDescent="0.2">
      <c r="A66" s="12" t="s">
        <v>491</v>
      </c>
      <c r="B66" s="13" t="s">
        <v>77</v>
      </c>
      <c r="C66" s="14" t="s">
        <v>494</v>
      </c>
      <c r="D66" s="8">
        <v>4.2</v>
      </c>
      <c r="E66" s="8">
        <v>5.9</v>
      </c>
      <c r="F66" s="8">
        <v>2.6</v>
      </c>
      <c r="G66" s="2"/>
    </row>
    <row r="67" spans="1:7" x14ac:dyDescent="0.2">
      <c r="A67" s="12" t="s">
        <v>491</v>
      </c>
      <c r="B67" s="13" t="s">
        <v>85</v>
      </c>
      <c r="C67" s="14" t="s">
        <v>494</v>
      </c>
      <c r="D67" s="8">
        <v>5.0999999999999996</v>
      </c>
      <c r="E67" s="8">
        <v>5.9</v>
      </c>
      <c r="F67" s="8">
        <v>2.6</v>
      </c>
      <c r="G67" s="2"/>
    </row>
    <row r="68" spans="1:7" x14ac:dyDescent="0.2">
      <c r="A68" s="12" t="s">
        <v>491</v>
      </c>
      <c r="B68" s="13" t="s">
        <v>79</v>
      </c>
      <c r="C68" s="14" t="s">
        <v>494</v>
      </c>
      <c r="D68" s="8">
        <v>5.7</v>
      </c>
      <c r="E68" s="8">
        <v>5.9</v>
      </c>
      <c r="F68" s="8">
        <v>2.6</v>
      </c>
      <c r="G68" s="2"/>
    </row>
    <row r="69" spans="1:7" x14ac:dyDescent="0.2">
      <c r="A69" s="12" t="s">
        <v>491</v>
      </c>
      <c r="B69" s="13" t="s">
        <v>86</v>
      </c>
      <c r="C69" s="14" t="s">
        <v>494</v>
      </c>
      <c r="D69" s="8">
        <v>3.5</v>
      </c>
      <c r="E69" s="8">
        <v>3.5</v>
      </c>
      <c r="F69" s="8">
        <v>3.5</v>
      </c>
      <c r="G69" s="2"/>
    </row>
    <row r="70" spans="1:7" x14ac:dyDescent="0.2">
      <c r="A70" s="12" t="s">
        <v>491</v>
      </c>
      <c r="B70" s="13" t="s">
        <v>84</v>
      </c>
      <c r="C70" s="14" t="s">
        <v>495</v>
      </c>
      <c r="D70" s="8">
        <v>8.4</v>
      </c>
      <c r="E70" s="8">
        <v>6.5</v>
      </c>
      <c r="F70" s="8">
        <v>2.5</v>
      </c>
      <c r="G70" s="2"/>
    </row>
    <row r="71" spans="1:7" x14ac:dyDescent="0.2">
      <c r="A71" s="12" t="s">
        <v>491</v>
      </c>
      <c r="B71" s="13" t="s">
        <v>77</v>
      </c>
      <c r="C71" s="14" t="s">
        <v>495</v>
      </c>
      <c r="D71" s="8">
        <v>6.9</v>
      </c>
      <c r="E71" s="8">
        <v>6.5</v>
      </c>
      <c r="F71" s="8">
        <v>2.5</v>
      </c>
      <c r="G71" s="2"/>
    </row>
    <row r="72" spans="1:7" x14ac:dyDescent="0.2">
      <c r="A72" s="12" t="s">
        <v>491</v>
      </c>
      <c r="B72" s="13" t="s">
        <v>85</v>
      </c>
      <c r="C72" s="14" t="s">
        <v>495</v>
      </c>
      <c r="D72" s="8">
        <v>7.7</v>
      </c>
      <c r="E72" s="8">
        <v>6.5</v>
      </c>
      <c r="F72" s="8">
        <v>2.5</v>
      </c>
      <c r="G72" s="2"/>
    </row>
    <row r="73" spans="1:7" x14ac:dyDescent="0.2">
      <c r="A73" s="12" t="s">
        <v>491</v>
      </c>
      <c r="B73" s="13" t="s">
        <v>79</v>
      </c>
      <c r="C73" s="14" t="s">
        <v>495</v>
      </c>
      <c r="D73" s="8">
        <v>6.3</v>
      </c>
      <c r="E73" s="8">
        <v>6.5</v>
      </c>
      <c r="F73" s="8">
        <v>2.5</v>
      </c>
      <c r="G73" s="2"/>
    </row>
    <row r="74" spans="1:7" x14ac:dyDescent="0.2">
      <c r="A74" s="12" t="s">
        <v>491</v>
      </c>
      <c r="B74" s="13" t="s">
        <v>86</v>
      </c>
      <c r="C74" s="14" t="s">
        <v>495</v>
      </c>
      <c r="D74" s="8">
        <v>7.9</v>
      </c>
      <c r="E74" s="8">
        <v>6.5</v>
      </c>
      <c r="F74" s="8">
        <v>3.2</v>
      </c>
      <c r="G74" s="2"/>
    </row>
    <row r="75" spans="1:7" x14ac:dyDescent="0.2">
      <c r="A75" s="12" t="s">
        <v>491</v>
      </c>
      <c r="B75" s="13" t="s">
        <v>77</v>
      </c>
      <c r="C75" s="14" t="s">
        <v>496</v>
      </c>
      <c r="D75" s="8">
        <v>8</v>
      </c>
      <c r="E75" s="8">
        <v>21.2</v>
      </c>
      <c r="F75" s="8">
        <v>2.7</v>
      </c>
      <c r="G75" s="2"/>
    </row>
    <row r="76" spans="1:7" x14ac:dyDescent="0.2">
      <c r="A76" s="12" t="s">
        <v>491</v>
      </c>
      <c r="B76" s="13" t="s">
        <v>85</v>
      </c>
      <c r="C76" s="14" t="s">
        <v>496</v>
      </c>
      <c r="D76" s="8">
        <v>16.8</v>
      </c>
      <c r="E76" s="8">
        <v>21.2</v>
      </c>
      <c r="F76" s="8">
        <v>2.7</v>
      </c>
      <c r="G76" s="2"/>
    </row>
    <row r="77" spans="1:7" x14ac:dyDescent="0.2">
      <c r="A77" s="12" t="s">
        <v>491</v>
      </c>
      <c r="B77" s="13" t="s">
        <v>79</v>
      </c>
      <c r="C77" s="14" t="s">
        <v>496</v>
      </c>
      <c r="D77" s="8">
        <v>20.6</v>
      </c>
      <c r="E77" s="8">
        <v>21.2</v>
      </c>
      <c r="F77" s="8">
        <v>2.7</v>
      </c>
      <c r="G77" s="2"/>
    </row>
    <row r="78" spans="1:7" x14ac:dyDescent="0.2">
      <c r="A78" s="12" t="s">
        <v>491</v>
      </c>
      <c r="B78" s="13" t="s">
        <v>86</v>
      </c>
      <c r="C78" s="14" t="s">
        <v>496</v>
      </c>
      <c r="D78" s="8">
        <v>14.34</v>
      </c>
      <c r="E78" s="8">
        <v>21.2</v>
      </c>
      <c r="F78" s="8">
        <v>3.1</v>
      </c>
      <c r="G78" s="2"/>
    </row>
    <row r="79" spans="1:7" x14ac:dyDescent="0.2">
      <c r="A79" s="12" t="s">
        <v>491</v>
      </c>
      <c r="B79" s="13" t="s">
        <v>85</v>
      </c>
      <c r="C79" s="14" t="s">
        <v>497</v>
      </c>
      <c r="D79" s="8">
        <v>3.7</v>
      </c>
      <c r="E79" s="8">
        <v>4.7</v>
      </c>
      <c r="F79" s="8">
        <v>1.6</v>
      </c>
      <c r="G79" s="2"/>
    </row>
    <row r="80" spans="1:7" x14ac:dyDescent="0.2">
      <c r="A80" s="12" t="s">
        <v>491</v>
      </c>
      <c r="B80" s="13" t="s">
        <v>79</v>
      </c>
      <c r="C80" s="14" t="s">
        <v>497</v>
      </c>
      <c r="D80" s="8">
        <v>4.5999999999999996</v>
      </c>
      <c r="E80" s="8">
        <v>4.7</v>
      </c>
      <c r="F80" s="8">
        <v>1.6</v>
      </c>
      <c r="G80" s="2"/>
    </row>
    <row r="81" spans="1:7" x14ac:dyDescent="0.2">
      <c r="A81" s="12" t="s">
        <v>491</v>
      </c>
      <c r="B81" s="13" t="s">
        <v>86</v>
      </c>
      <c r="C81" s="14" t="s">
        <v>497</v>
      </c>
      <c r="D81" s="8">
        <v>5.4</v>
      </c>
      <c r="E81" s="8">
        <v>4.7</v>
      </c>
      <c r="F81" s="8">
        <v>1.6</v>
      </c>
      <c r="G81" s="2"/>
    </row>
    <row r="82" spans="1:7" x14ac:dyDescent="0.2">
      <c r="A82" s="28" t="s">
        <v>509</v>
      </c>
      <c r="B82" s="50" t="s">
        <v>84</v>
      </c>
      <c r="C82" s="49"/>
      <c r="D82" s="49">
        <v>100</v>
      </c>
      <c r="E82" s="49">
        <v>100</v>
      </c>
      <c r="F82" s="49">
        <v>100</v>
      </c>
      <c r="G82" s="30"/>
    </row>
    <row r="83" spans="1:7" x14ac:dyDescent="0.2">
      <c r="A83" s="28" t="s">
        <v>509</v>
      </c>
      <c r="B83" s="50" t="s">
        <v>77</v>
      </c>
      <c r="C83" s="49"/>
      <c r="D83" s="49">
        <v>100</v>
      </c>
      <c r="E83" s="49">
        <v>100</v>
      </c>
      <c r="F83" s="49">
        <v>100</v>
      </c>
      <c r="G83" s="30"/>
    </row>
    <row r="84" spans="1:7" x14ac:dyDescent="0.2">
      <c r="A84" s="28" t="s">
        <v>509</v>
      </c>
      <c r="B84" s="50" t="s">
        <v>85</v>
      </c>
      <c r="C84" s="49"/>
      <c r="D84" s="49">
        <v>100</v>
      </c>
      <c r="E84" s="49">
        <v>100</v>
      </c>
      <c r="F84" s="49">
        <v>100</v>
      </c>
      <c r="G84" s="30"/>
    </row>
    <row r="85" spans="1:7" x14ac:dyDescent="0.2">
      <c r="A85" s="28" t="s">
        <v>509</v>
      </c>
      <c r="B85" s="50" t="s">
        <v>79</v>
      </c>
      <c r="C85" s="49"/>
      <c r="D85" s="49">
        <v>100</v>
      </c>
      <c r="E85" s="49">
        <v>100</v>
      </c>
      <c r="F85" s="49">
        <v>100</v>
      </c>
      <c r="G85" s="30"/>
    </row>
    <row r="86" spans="1:7" x14ac:dyDescent="0.2">
      <c r="A86" s="28" t="s">
        <v>509</v>
      </c>
      <c r="B86" s="50" t="s">
        <v>86</v>
      </c>
      <c r="C86" s="49"/>
      <c r="D86" s="49">
        <v>100</v>
      </c>
      <c r="E86" s="49">
        <v>100</v>
      </c>
      <c r="F86" s="49">
        <v>100</v>
      </c>
      <c r="G86" s="30"/>
    </row>
    <row r="87" spans="1:7" x14ac:dyDescent="0.2">
      <c r="A87" s="28" t="s">
        <v>509</v>
      </c>
      <c r="B87" s="50" t="s">
        <v>84</v>
      </c>
      <c r="C87" s="51" t="s">
        <v>507</v>
      </c>
      <c r="D87" s="49">
        <v>50</v>
      </c>
      <c r="E87" s="49">
        <v>50</v>
      </c>
      <c r="F87" s="49">
        <v>50</v>
      </c>
      <c r="G87" s="30"/>
    </row>
    <row r="88" spans="1:7" x14ac:dyDescent="0.2">
      <c r="A88" s="28" t="s">
        <v>509</v>
      </c>
      <c r="B88" s="50" t="s">
        <v>77</v>
      </c>
      <c r="C88" s="51" t="s">
        <v>507</v>
      </c>
      <c r="D88" s="49">
        <v>50</v>
      </c>
      <c r="E88" s="49">
        <v>50</v>
      </c>
      <c r="F88" s="49">
        <v>50</v>
      </c>
      <c r="G88" s="30"/>
    </row>
    <row r="89" spans="1:7" x14ac:dyDescent="0.2">
      <c r="A89" s="28" t="s">
        <v>509</v>
      </c>
      <c r="B89" s="50" t="s">
        <v>85</v>
      </c>
      <c r="C89" s="51" t="s">
        <v>507</v>
      </c>
      <c r="D89" s="49">
        <v>50</v>
      </c>
      <c r="E89" s="49">
        <v>50</v>
      </c>
      <c r="F89" s="49">
        <v>50</v>
      </c>
      <c r="G89" s="30"/>
    </row>
    <row r="90" spans="1:7" x14ac:dyDescent="0.2">
      <c r="A90" s="28" t="s">
        <v>509</v>
      </c>
      <c r="B90" s="50" t="s">
        <v>79</v>
      </c>
      <c r="C90" s="51" t="s">
        <v>507</v>
      </c>
      <c r="D90" s="49">
        <v>50</v>
      </c>
      <c r="E90" s="49">
        <v>50</v>
      </c>
      <c r="F90" s="49">
        <v>50</v>
      </c>
      <c r="G90" s="30"/>
    </row>
    <row r="91" spans="1:7" x14ac:dyDescent="0.2">
      <c r="A91" s="28" t="s">
        <v>509</v>
      </c>
      <c r="B91" s="50" t="s">
        <v>86</v>
      </c>
      <c r="C91" s="51" t="s">
        <v>507</v>
      </c>
      <c r="D91" s="49">
        <v>50</v>
      </c>
      <c r="E91" s="49">
        <v>50</v>
      </c>
      <c r="F91" s="49">
        <v>50</v>
      </c>
      <c r="G91" s="30"/>
    </row>
    <row r="92" spans="1:7" x14ac:dyDescent="0.2">
      <c r="A92" s="28" t="s">
        <v>509</v>
      </c>
      <c r="B92" s="50" t="s">
        <v>84</v>
      </c>
      <c r="C92" s="51" t="s">
        <v>508</v>
      </c>
      <c r="D92" s="49">
        <v>50</v>
      </c>
      <c r="E92" s="49">
        <v>50</v>
      </c>
      <c r="F92" s="49">
        <v>50</v>
      </c>
      <c r="G92" s="30"/>
    </row>
    <row r="93" spans="1:7" x14ac:dyDescent="0.2">
      <c r="A93" s="28" t="s">
        <v>509</v>
      </c>
      <c r="B93" s="50" t="s">
        <v>77</v>
      </c>
      <c r="C93" s="51" t="s">
        <v>508</v>
      </c>
      <c r="D93" s="49">
        <v>50</v>
      </c>
      <c r="E93" s="49">
        <v>50</v>
      </c>
      <c r="F93" s="49">
        <v>50</v>
      </c>
      <c r="G93" s="30"/>
    </row>
    <row r="94" spans="1:7" x14ac:dyDescent="0.2">
      <c r="A94" s="28" t="s">
        <v>509</v>
      </c>
      <c r="B94" s="50" t="s">
        <v>85</v>
      </c>
      <c r="C94" s="51" t="s">
        <v>508</v>
      </c>
      <c r="D94" s="49">
        <v>50</v>
      </c>
      <c r="E94" s="49">
        <v>50</v>
      </c>
      <c r="F94" s="49">
        <v>50</v>
      </c>
      <c r="G94" s="30"/>
    </row>
    <row r="95" spans="1:7" x14ac:dyDescent="0.2">
      <c r="A95" s="28" t="s">
        <v>509</v>
      </c>
      <c r="B95" s="50" t="s">
        <v>79</v>
      </c>
      <c r="C95" s="51" t="s">
        <v>508</v>
      </c>
      <c r="D95" s="49">
        <v>50</v>
      </c>
      <c r="E95" s="49">
        <v>50</v>
      </c>
      <c r="F95" s="49">
        <v>50</v>
      </c>
      <c r="G95" s="30"/>
    </row>
    <row r="96" spans="1:7" x14ac:dyDescent="0.2">
      <c r="A96" s="28" t="s">
        <v>509</v>
      </c>
      <c r="B96" s="50" t="s">
        <v>86</v>
      </c>
      <c r="C96" s="51" t="s">
        <v>508</v>
      </c>
      <c r="D96" s="49">
        <v>50</v>
      </c>
      <c r="E96" s="49">
        <v>50</v>
      </c>
      <c r="F96" s="49">
        <v>50</v>
      </c>
      <c r="G96" s="30"/>
    </row>
    <row r="97" spans="1:7" x14ac:dyDescent="0.2">
      <c r="A97" s="28" t="s">
        <v>453</v>
      </c>
      <c r="B97" s="49" t="s">
        <v>489</v>
      </c>
      <c r="C97" s="49"/>
      <c r="D97" s="49"/>
      <c r="E97" s="49"/>
      <c r="F97" s="49"/>
      <c r="G97" s="30"/>
    </row>
    <row r="98" spans="1:7" x14ac:dyDescent="0.2">
      <c r="A98" s="28" t="s">
        <v>506</v>
      </c>
      <c r="B98" s="49" t="s">
        <v>489</v>
      </c>
      <c r="C98" s="49"/>
      <c r="D98" s="49"/>
      <c r="E98" s="49"/>
      <c r="F98" s="49"/>
      <c r="G98" s="30"/>
    </row>
    <row r="99" spans="1:7" x14ac:dyDescent="0.2">
      <c r="A99" s="28" t="s">
        <v>454</v>
      </c>
      <c r="B99" s="49" t="s">
        <v>489</v>
      </c>
      <c r="C99" s="49"/>
      <c r="D99" s="49"/>
      <c r="E99" s="49"/>
      <c r="F99" s="49"/>
      <c r="G99" s="30"/>
    </row>
    <row r="100" spans="1:7" x14ac:dyDescent="0.2">
      <c r="A100" s="28" t="s">
        <v>455</v>
      </c>
      <c r="B100" s="49" t="s">
        <v>489</v>
      </c>
      <c r="C100" s="49"/>
      <c r="D100" s="49"/>
      <c r="E100" s="49"/>
      <c r="F100" s="49"/>
      <c r="G100" s="30"/>
    </row>
    <row r="101" spans="1:7" x14ac:dyDescent="0.2">
      <c r="A101" s="28" t="s">
        <v>456</v>
      </c>
      <c r="B101" s="49" t="s">
        <v>489</v>
      </c>
      <c r="C101" s="49"/>
      <c r="D101" s="49"/>
      <c r="E101" s="49"/>
      <c r="F101" s="49"/>
      <c r="G101" s="30"/>
    </row>
    <row r="102" spans="1:7" x14ac:dyDescent="0.2">
      <c r="A102" s="28" t="s">
        <v>457</v>
      </c>
      <c r="B102" s="49" t="s">
        <v>489</v>
      </c>
      <c r="C102" s="49"/>
      <c r="D102" s="49"/>
      <c r="E102" s="49"/>
      <c r="F102" s="49"/>
      <c r="G102" s="30"/>
    </row>
    <row r="103" spans="1:7" x14ac:dyDescent="0.2">
      <c r="A103" s="28" t="s">
        <v>458</v>
      </c>
      <c r="B103" s="49" t="s">
        <v>489</v>
      </c>
      <c r="C103" s="49"/>
      <c r="D103" s="49"/>
      <c r="E103" s="49"/>
      <c r="F103" s="49"/>
      <c r="G103" s="30"/>
    </row>
    <row r="104" spans="1:7" x14ac:dyDescent="0.2">
      <c r="A104" s="28" t="s">
        <v>452</v>
      </c>
      <c r="B104" s="49" t="s">
        <v>83</v>
      </c>
      <c r="C104" s="33"/>
      <c r="D104" s="49">
        <v>65014</v>
      </c>
      <c r="E104" s="49">
        <v>71834</v>
      </c>
      <c r="F104" s="49">
        <v>62464</v>
      </c>
      <c r="G104" s="30"/>
    </row>
    <row r="105" spans="1:7" x14ac:dyDescent="0.2">
      <c r="A105" s="28" t="s">
        <v>452</v>
      </c>
      <c r="B105" s="50" t="s">
        <v>84</v>
      </c>
      <c r="C105" s="33"/>
      <c r="D105" s="49">
        <v>103774</v>
      </c>
      <c r="E105" s="49">
        <v>102033</v>
      </c>
      <c r="F105" s="49">
        <v>88724</v>
      </c>
      <c r="G105" s="30"/>
    </row>
    <row r="106" spans="1:7" x14ac:dyDescent="0.2">
      <c r="A106" s="28" t="s">
        <v>452</v>
      </c>
      <c r="B106" s="50" t="s">
        <v>77</v>
      </c>
      <c r="C106" s="49"/>
      <c r="D106" s="49">
        <v>211580</v>
      </c>
      <c r="E106" s="49">
        <v>150513</v>
      </c>
      <c r="F106" s="49">
        <v>130881</v>
      </c>
      <c r="G106" s="30"/>
    </row>
    <row r="107" spans="1:7" x14ac:dyDescent="0.2">
      <c r="A107" s="28" t="s">
        <v>452</v>
      </c>
      <c r="B107" s="50" t="s">
        <v>85</v>
      </c>
      <c r="C107" s="49"/>
      <c r="D107" s="49">
        <v>280116</v>
      </c>
      <c r="E107" s="49">
        <v>173234</v>
      </c>
      <c r="F107" s="49">
        <v>150638</v>
      </c>
      <c r="G107" s="30"/>
    </row>
    <row r="108" spans="1:7" x14ac:dyDescent="0.2">
      <c r="A108" s="28" t="s">
        <v>452</v>
      </c>
      <c r="B108" s="50" t="s">
        <v>79</v>
      </c>
      <c r="C108" s="49"/>
      <c r="D108" s="49">
        <v>287958</v>
      </c>
      <c r="E108" s="49">
        <v>197111</v>
      </c>
      <c r="F108" s="33">
        <v>171401</v>
      </c>
      <c r="G108" s="30"/>
    </row>
    <row r="109" spans="1:7" x14ac:dyDescent="0.2">
      <c r="A109" s="28" t="s">
        <v>452</v>
      </c>
      <c r="B109" s="50" t="s">
        <v>86</v>
      </c>
      <c r="C109" s="49"/>
      <c r="D109" s="49">
        <v>293189</v>
      </c>
      <c r="E109" s="49">
        <v>201250</v>
      </c>
      <c r="F109" s="49">
        <v>175000</v>
      </c>
      <c r="G109" s="30"/>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row r="1001" spans="1:7" x14ac:dyDescent="0.2">
      <c r="A1001" s="8"/>
      <c r="B1001" s="9"/>
      <c r="C1001" s="8"/>
      <c r="D1001" s="8"/>
      <c r="E1001" s="8"/>
      <c r="F1001" s="8"/>
      <c r="G1001" s="2"/>
    </row>
    <row r="1002" spans="1:7" x14ac:dyDescent="0.2">
      <c r="A1002" s="8"/>
      <c r="B1002" s="9"/>
      <c r="C1002" s="8"/>
      <c r="D1002" s="8"/>
      <c r="E1002" s="8"/>
      <c r="F1002" s="8"/>
      <c r="G100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6"/>
  <sheetViews>
    <sheetView zoomScaleNormal="100" workbookViewId="0">
      <pane ySplit="1" topLeftCell="A91" activePane="bottomLeft" state="frozen"/>
      <selection pane="bottomLeft" activeCell="C117" sqref="C117"/>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87</v>
      </c>
      <c r="B1" s="5" t="s">
        <v>10</v>
      </c>
      <c r="C1" s="5" t="s">
        <v>88</v>
      </c>
      <c r="D1" s="5" t="s">
        <v>89</v>
      </c>
      <c r="E1" s="5" t="s">
        <v>90</v>
      </c>
      <c r="F1" s="5" t="s">
        <v>91</v>
      </c>
    </row>
    <row r="2" spans="1:6" x14ac:dyDescent="0.2">
      <c r="A2" s="10" t="s">
        <v>92</v>
      </c>
      <c r="B2" s="10" t="s">
        <v>90</v>
      </c>
      <c r="C2" s="10" t="s">
        <v>93</v>
      </c>
      <c r="D2" s="10"/>
      <c r="E2" s="10"/>
      <c r="F2" s="10"/>
    </row>
    <row r="3" spans="1:6" x14ac:dyDescent="0.2">
      <c r="A3" s="10" t="s">
        <v>94</v>
      </c>
      <c r="B3" s="10" t="s">
        <v>90</v>
      </c>
      <c r="C3" s="10" t="s">
        <v>95</v>
      </c>
      <c r="D3" s="10"/>
      <c r="E3" s="10"/>
      <c r="F3" s="10"/>
    </row>
    <row r="4" spans="1:6" x14ac:dyDescent="0.2">
      <c r="A4" s="10" t="s">
        <v>96</v>
      </c>
      <c r="B4" s="10" t="s">
        <v>90</v>
      </c>
      <c r="C4" s="10" t="s">
        <v>97</v>
      </c>
      <c r="D4" s="10"/>
      <c r="E4" s="10"/>
      <c r="F4" s="10"/>
    </row>
    <row r="5" spans="1:6" x14ac:dyDescent="0.2">
      <c r="A5" s="10" t="s">
        <v>98</v>
      </c>
      <c r="B5" s="10" t="s">
        <v>90</v>
      </c>
      <c r="C5" s="10" t="s">
        <v>99</v>
      </c>
      <c r="D5" s="10"/>
      <c r="E5" s="10"/>
      <c r="F5" s="10"/>
    </row>
    <row r="6" spans="1:6" x14ac:dyDescent="0.2">
      <c r="A6" s="10" t="s">
        <v>100</v>
      </c>
      <c r="B6" s="10" t="s">
        <v>90</v>
      </c>
      <c r="C6" s="10" t="s">
        <v>101</v>
      </c>
      <c r="D6" s="10"/>
      <c r="E6" s="10"/>
      <c r="F6" s="10"/>
    </row>
    <row r="7" spans="1:6" x14ac:dyDescent="0.2">
      <c r="A7" s="10" t="s">
        <v>102</v>
      </c>
      <c r="B7" s="10" t="s">
        <v>90</v>
      </c>
      <c r="C7" s="10" t="s">
        <v>103</v>
      </c>
      <c r="D7" s="10"/>
      <c r="E7" s="10"/>
      <c r="F7" s="10"/>
    </row>
    <row r="8" spans="1:6" x14ac:dyDescent="0.2">
      <c r="A8" s="10" t="s">
        <v>104</v>
      </c>
      <c r="B8" s="10" t="s">
        <v>63</v>
      </c>
      <c r="C8" s="10" t="s">
        <v>105</v>
      </c>
      <c r="D8" s="10"/>
      <c r="E8" s="10" t="s">
        <v>93</v>
      </c>
      <c r="F8" s="10"/>
    </row>
    <row r="9" spans="1:6" x14ac:dyDescent="0.2">
      <c r="A9" s="10" t="s">
        <v>106</v>
      </c>
      <c r="B9" s="10" t="s">
        <v>63</v>
      </c>
      <c r="C9" s="10" t="s">
        <v>107</v>
      </c>
      <c r="D9" s="10"/>
      <c r="E9" s="10" t="s">
        <v>93</v>
      </c>
      <c r="F9" s="10"/>
    </row>
    <row r="10" spans="1:6" x14ac:dyDescent="0.2">
      <c r="A10" s="10" t="s">
        <v>108</v>
      </c>
      <c r="B10" s="10" t="s">
        <v>63</v>
      </c>
      <c r="C10" s="10" t="s">
        <v>109</v>
      </c>
      <c r="D10" s="10"/>
      <c r="E10" s="10" t="s">
        <v>93</v>
      </c>
      <c r="F10" s="10"/>
    </row>
    <row r="11" spans="1:6" x14ac:dyDescent="0.2">
      <c r="A11" s="10" t="s">
        <v>110</v>
      </c>
      <c r="B11" s="10" t="s">
        <v>63</v>
      </c>
      <c r="C11" s="10" t="s">
        <v>111</v>
      </c>
      <c r="D11" s="10"/>
      <c r="E11" s="10" t="s">
        <v>95</v>
      </c>
      <c r="F11" s="10"/>
    </row>
    <row r="12" spans="1:6" x14ac:dyDescent="0.2">
      <c r="A12" s="10" t="s">
        <v>64</v>
      </c>
      <c r="B12" s="10" t="s">
        <v>63</v>
      </c>
      <c r="C12" s="10" t="s">
        <v>112</v>
      </c>
      <c r="D12" s="10"/>
      <c r="E12" s="10" t="s">
        <v>95</v>
      </c>
      <c r="F12" s="10"/>
    </row>
    <row r="13" spans="1:6" x14ac:dyDescent="0.2">
      <c r="A13" s="10" t="s">
        <v>113</v>
      </c>
      <c r="B13" s="10" t="s">
        <v>63</v>
      </c>
      <c r="C13" s="10" t="s">
        <v>114</v>
      </c>
      <c r="D13" s="10"/>
      <c r="E13" s="10" t="s">
        <v>95</v>
      </c>
      <c r="F13" s="10"/>
    </row>
    <row r="14" spans="1:6" x14ac:dyDescent="0.2">
      <c r="A14" s="10" t="s">
        <v>115</v>
      </c>
      <c r="B14" s="10" t="s">
        <v>63</v>
      </c>
      <c r="C14" s="10" t="s">
        <v>116</v>
      </c>
      <c r="D14" s="10"/>
      <c r="E14" s="10" t="s">
        <v>95</v>
      </c>
      <c r="F14" s="10"/>
    </row>
    <row r="15" spans="1:6" x14ac:dyDescent="0.2">
      <c r="A15" s="10" t="s">
        <v>117</v>
      </c>
      <c r="B15" s="10" t="s">
        <v>63</v>
      </c>
      <c r="C15" s="10" t="s">
        <v>118</v>
      </c>
      <c r="D15" s="10"/>
      <c r="E15" s="10" t="s">
        <v>97</v>
      </c>
      <c r="F15" s="10"/>
    </row>
    <row r="16" spans="1:6" x14ac:dyDescent="0.2">
      <c r="A16" s="10" t="s">
        <v>119</v>
      </c>
      <c r="B16" s="10" t="s">
        <v>63</v>
      </c>
      <c r="C16" s="10" t="s">
        <v>120</v>
      </c>
      <c r="D16" s="10"/>
      <c r="E16" s="10" t="s">
        <v>97</v>
      </c>
      <c r="F16" s="10"/>
    </row>
    <row r="17" spans="1:6" x14ac:dyDescent="0.2">
      <c r="A17" s="10" t="s">
        <v>121</v>
      </c>
      <c r="B17" s="10" t="s">
        <v>63</v>
      </c>
      <c r="C17" s="10" t="s">
        <v>122</v>
      </c>
      <c r="D17" s="10"/>
      <c r="E17" s="10" t="s">
        <v>97</v>
      </c>
      <c r="F17" s="10"/>
    </row>
    <row r="18" spans="1:6" x14ac:dyDescent="0.2">
      <c r="A18" s="10" t="s">
        <v>123</v>
      </c>
      <c r="B18" s="10" t="s">
        <v>63</v>
      </c>
      <c r="C18" s="10" t="s">
        <v>124</v>
      </c>
      <c r="D18" s="10"/>
      <c r="E18" s="10" t="s">
        <v>99</v>
      </c>
      <c r="F18" s="10"/>
    </row>
    <row r="19" spans="1:6" x14ac:dyDescent="0.2">
      <c r="A19" s="10" t="s">
        <v>125</v>
      </c>
      <c r="B19" s="10" t="s">
        <v>63</v>
      </c>
      <c r="C19" s="10" t="s">
        <v>126</v>
      </c>
      <c r="D19" s="10"/>
      <c r="E19" s="10" t="s">
        <v>99</v>
      </c>
      <c r="F19" s="10"/>
    </row>
    <row r="20" spans="1:6" x14ac:dyDescent="0.2">
      <c r="A20" s="10" t="s">
        <v>127</v>
      </c>
      <c r="B20" s="10" t="s">
        <v>63</v>
      </c>
      <c r="C20" s="10" t="s">
        <v>128</v>
      </c>
      <c r="D20" s="10"/>
      <c r="E20" s="10" t="s">
        <v>101</v>
      </c>
      <c r="F20" s="10"/>
    </row>
    <row r="21" spans="1:6" x14ac:dyDescent="0.2">
      <c r="A21" s="10" t="s">
        <v>129</v>
      </c>
      <c r="B21" s="10" t="s">
        <v>63</v>
      </c>
      <c r="C21" s="10" t="s">
        <v>130</v>
      </c>
      <c r="D21" s="10"/>
      <c r="E21" s="10" t="s">
        <v>101</v>
      </c>
      <c r="F21" s="10"/>
    </row>
    <row r="22" spans="1:6" x14ac:dyDescent="0.2">
      <c r="A22" s="10" t="s">
        <v>131</v>
      </c>
      <c r="B22" s="10" t="s">
        <v>63</v>
      </c>
      <c r="C22" s="10" t="s">
        <v>132</v>
      </c>
      <c r="D22" s="10"/>
      <c r="E22" s="10" t="s">
        <v>101</v>
      </c>
      <c r="F22" s="10"/>
    </row>
    <row r="23" spans="1:6" x14ac:dyDescent="0.2">
      <c r="A23" s="10" t="s">
        <v>133</v>
      </c>
      <c r="B23" s="10" t="s">
        <v>63</v>
      </c>
      <c r="C23" s="10" t="s">
        <v>134</v>
      </c>
      <c r="D23" s="10"/>
      <c r="E23" s="10" t="s">
        <v>101</v>
      </c>
      <c r="F23" s="10"/>
    </row>
    <row r="24" spans="1:6" x14ac:dyDescent="0.2">
      <c r="A24" s="10" t="s">
        <v>135</v>
      </c>
      <c r="B24" s="10" t="s">
        <v>63</v>
      </c>
      <c r="C24" s="10" t="s">
        <v>136</v>
      </c>
      <c r="D24" s="10"/>
      <c r="E24" s="10" t="s">
        <v>103</v>
      </c>
      <c r="F24" s="10"/>
    </row>
    <row r="25" spans="1:6" x14ac:dyDescent="0.2">
      <c r="A25" s="10" t="s">
        <v>137</v>
      </c>
      <c r="B25" s="10" t="s">
        <v>63</v>
      </c>
      <c r="C25" s="10" t="s">
        <v>138</v>
      </c>
      <c r="D25" s="10"/>
      <c r="E25" s="10" t="s">
        <v>103</v>
      </c>
      <c r="F25" s="10"/>
    </row>
    <row r="26" spans="1:6" x14ac:dyDescent="0.2">
      <c r="A26" s="10" t="s">
        <v>139</v>
      </c>
      <c r="B26" s="10" t="s">
        <v>63</v>
      </c>
      <c r="C26" s="10" t="s">
        <v>140</v>
      </c>
      <c r="D26" s="10"/>
      <c r="E26" s="10" t="s">
        <v>103</v>
      </c>
      <c r="F26" s="10"/>
    </row>
    <row r="27" spans="1:6" x14ac:dyDescent="0.2">
      <c r="A27" s="10" t="s">
        <v>141</v>
      </c>
      <c r="B27" s="10" t="s">
        <v>73</v>
      </c>
      <c r="C27" s="10" t="s">
        <v>142</v>
      </c>
      <c r="D27" s="10" t="s">
        <v>105</v>
      </c>
      <c r="E27" s="10" t="s">
        <v>93</v>
      </c>
      <c r="F27" s="10"/>
    </row>
    <row r="28" spans="1:6" x14ac:dyDescent="0.2">
      <c r="A28" s="10" t="s">
        <v>143</v>
      </c>
      <c r="B28" s="10" t="s">
        <v>73</v>
      </c>
      <c r="C28" s="10" t="s">
        <v>144</v>
      </c>
      <c r="D28" s="10" t="s">
        <v>105</v>
      </c>
      <c r="E28" s="10" t="s">
        <v>93</v>
      </c>
      <c r="F28" s="10"/>
    </row>
    <row r="29" spans="1:6" x14ac:dyDescent="0.2">
      <c r="A29" s="10" t="s">
        <v>145</v>
      </c>
      <c r="B29" s="10" t="s">
        <v>73</v>
      </c>
      <c r="C29" s="10" t="s">
        <v>146</v>
      </c>
      <c r="D29" s="10" t="s">
        <v>105</v>
      </c>
      <c r="E29" s="10" t="s">
        <v>93</v>
      </c>
      <c r="F29" s="10"/>
    </row>
    <row r="30" spans="1:6" x14ac:dyDescent="0.2">
      <c r="A30" s="10" t="s">
        <v>147</v>
      </c>
      <c r="B30" s="10" t="s">
        <v>73</v>
      </c>
      <c r="C30" s="10" t="s">
        <v>148</v>
      </c>
      <c r="D30" s="10" t="s">
        <v>105</v>
      </c>
      <c r="E30" s="10" t="s">
        <v>93</v>
      </c>
      <c r="F30" s="10"/>
    </row>
    <row r="31" spans="1:6" x14ac:dyDescent="0.2">
      <c r="A31" s="10" t="s">
        <v>149</v>
      </c>
      <c r="B31" s="10" t="s">
        <v>73</v>
      </c>
      <c r="C31" s="10" t="s">
        <v>150</v>
      </c>
      <c r="D31" s="10" t="s">
        <v>105</v>
      </c>
      <c r="E31" s="10" t="s">
        <v>93</v>
      </c>
      <c r="F31" s="10"/>
    </row>
    <row r="32" spans="1:6" x14ac:dyDescent="0.2">
      <c r="A32" s="10" t="s">
        <v>151</v>
      </c>
      <c r="B32" s="10" t="s">
        <v>73</v>
      </c>
      <c r="C32" s="10" t="s">
        <v>152</v>
      </c>
      <c r="D32" s="10" t="s">
        <v>107</v>
      </c>
      <c r="E32" s="10" t="s">
        <v>93</v>
      </c>
      <c r="F32" s="10"/>
    </row>
    <row r="33" spans="1:6" x14ac:dyDescent="0.2">
      <c r="A33" s="10" t="s">
        <v>153</v>
      </c>
      <c r="B33" s="10" t="s">
        <v>73</v>
      </c>
      <c r="C33" s="10" t="s">
        <v>154</v>
      </c>
      <c r="D33" s="10" t="s">
        <v>107</v>
      </c>
      <c r="E33" s="10" t="s">
        <v>93</v>
      </c>
      <c r="F33" s="10"/>
    </row>
    <row r="34" spans="1:6" x14ac:dyDescent="0.2">
      <c r="A34" s="10" t="s">
        <v>155</v>
      </c>
      <c r="B34" s="10" t="s">
        <v>73</v>
      </c>
      <c r="C34" s="10" t="s">
        <v>156</v>
      </c>
      <c r="D34" s="10" t="s">
        <v>107</v>
      </c>
      <c r="E34" s="10" t="s">
        <v>93</v>
      </c>
      <c r="F34" s="10"/>
    </row>
    <row r="35" spans="1:6" x14ac:dyDescent="0.2">
      <c r="A35" s="10" t="s">
        <v>157</v>
      </c>
      <c r="B35" s="10" t="s">
        <v>73</v>
      </c>
      <c r="C35" s="10" t="s">
        <v>158</v>
      </c>
      <c r="D35" s="10" t="s">
        <v>107</v>
      </c>
      <c r="E35" s="10" t="s">
        <v>93</v>
      </c>
      <c r="F35" s="10"/>
    </row>
    <row r="36" spans="1:6" x14ac:dyDescent="0.2">
      <c r="A36" s="10" t="s">
        <v>159</v>
      </c>
      <c r="B36" s="10" t="s">
        <v>73</v>
      </c>
      <c r="C36" s="10" t="s">
        <v>160</v>
      </c>
      <c r="D36" s="10" t="s">
        <v>109</v>
      </c>
      <c r="E36" s="10" t="s">
        <v>93</v>
      </c>
      <c r="F36" s="10"/>
    </row>
    <row r="37" spans="1:6" x14ac:dyDescent="0.2">
      <c r="A37" s="10" t="s">
        <v>161</v>
      </c>
      <c r="B37" s="10" t="s">
        <v>73</v>
      </c>
      <c r="C37" s="10" t="s">
        <v>162</v>
      </c>
      <c r="D37" s="10" t="s">
        <v>109</v>
      </c>
      <c r="E37" s="10" t="s">
        <v>93</v>
      </c>
      <c r="F37" s="10"/>
    </row>
    <row r="38" spans="1:6" x14ac:dyDescent="0.2">
      <c r="A38" s="10" t="s">
        <v>163</v>
      </c>
      <c r="B38" s="10" t="s">
        <v>73</v>
      </c>
      <c r="C38" s="10" t="s">
        <v>164</v>
      </c>
      <c r="D38" s="10" t="s">
        <v>109</v>
      </c>
      <c r="E38" s="10" t="s">
        <v>93</v>
      </c>
      <c r="F38" s="10"/>
    </row>
    <row r="39" spans="1:6" x14ac:dyDescent="0.2">
      <c r="A39" s="10" t="s">
        <v>165</v>
      </c>
      <c r="B39" s="10" t="s">
        <v>73</v>
      </c>
      <c r="C39" s="10" t="s">
        <v>166</v>
      </c>
      <c r="D39" s="10" t="s">
        <v>111</v>
      </c>
      <c r="E39" s="10" t="s">
        <v>95</v>
      </c>
      <c r="F39" s="10"/>
    </row>
    <row r="40" spans="1:6" x14ac:dyDescent="0.2">
      <c r="A40" s="10" t="s">
        <v>167</v>
      </c>
      <c r="B40" s="10" t="s">
        <v>73</v>
      </c>
      <c r="C40" s="10" t="s">
        <v>168</v>
      </c>
      <c r="D40" s="10" t="s">
        <v>111</v>
      </c>
      <c r="E40" s="10" t="s">
        <v>95</v>
      </c>
      <c r="F40" s="10"/>
    </row>
    <row r="41" spans="1:6" x14ac:dyDescent="0.2">
      <c r="A41" s="10" t="s">
        <v>169</v>
      </c>
      <c r="B41" s="10" t="s">
        <v>73</v>
      </c>
      <c r="C41" s="10" t="s">
        <v>170</v>
      </c>
      <c r="D41" s="10" t="s">
        <v>111</v>
      </c>
      <c r="E41" s="10" t="s">
        <v>95</v>
      </c>
      <c r="F41" s="10"/>
    </row>
    <row r="42" spans="1:6" x14ac:dyDescent="0.2">
      <c r="A42" s="10" t="s">
        <v>171</v>
      </c>
      <c r="B42" s="10" t="s">
        <v>73</v>
      </c>
      <c r="C42" s="10" t="s">
        <v>172</v>
      </c>
      <c r="D42" s="10" t="s">
        <v>111</v>
      </c>
      <c r="E42" s="10" t="s">
        <v>95</v>
      </c>
      <c r="F42" s="10"/>
    </row>
    <row r="43" spans="1:6" x14ac:dyDescent="0.2">
      <c r="A43" s="10" t="s">
        <v>173</v>
      </c>
      <c r="B43" s="10" t="s">
        <v>73</v>
      </c>
      <c r="C43" s="10" t="s">
        <v>174</v>
      </c>
      <c r="D43" s="10" t="s">
        <v>111</v>
      </c>
      <c r="E43" s="10" t="s">
        <v>95</v>
      </c>
      <c r="F43" s="10"/>
    </row>
    <row r="44" spans="1:6" x14ac:dyDescent="0.2">
      <c r="A44" s="10" t="s">
        <v>175</v>
      </c>
      <c r="B44" s="10" t="s">
        <v>73</v>
      </c>
      <c r="C44" s="10" t="s">
        <v>176</v>
      </c>
      <c r="D44" s="10" t="s">
        <v>111</v>
      </c>
      <c r="E44" s="10" t="s">
        <v>95</v>
      </c>
      <c r="F44" s="10"/>
    </row>
    <row r="45" spans="1:6" x14ac:dyDescent="0.2">
      <c r="A45" s="10" t="s">
        <v>177</v>
      </c>
      <c r="B45" s="10" t="s">
        <v>73</v>
      </c>
      <c r="C45" s="10" t="s">
        <v>178</v>
      </c>
      <c r="D45" s="10" t="s">
        <v>111</v>
      </c>
      <c r="E45" s="10" t="s">
        <v>95</v>
      </c>
      <c r="F45" s="10"/>
    </row>
    <row r="46" spans="1:6" x14ac:dyDescent="0.2">
      <c r="A46" s="10" t="s">
        <v>179</v>
      </c>
      <c r="B46" s="10" t="s">
        <v>73</v>
      </c>
      <c r="C46" s="10" t="s">
        <v>180</v>
      </c>
      <c r="D46" s="10" t="s">
        <v>111</v>
      </c>
      <c r="E46" s="10" t="s">
        <v>95</v>
      </c>
      <c r="F46" s="10"/>
    </row>
    <row r="47" spans="1:6" x14ac:dyDescent="0.2">
      <c r="A47" s="10" t="s">
        <v>181</v>
      </c>
      <c r="B47" s="10" t="s">
        <v>73</v>
      </c>
      <c r="C47" s="10" t="s">
        <v>182</v>
      </c>
      <c r="D47" s="10" t="s">
        <v>112</v>
      </c>
      <c r="E47" s="10" t="s">
        <v>95</v>
      </c>
      <c r="F47" s="10"/>
    </row>
    <row r="48" spans="1:6" x14ac:dyDescent="0.2">
      <c r="A48" s="10" t="s">
        <v>183</v>
      </c>
      <c r="B48" s="10" t="s">
        <v>73</v>
      </c>
      <c r="C48" s="10" t="s">
        <v>184</v>
      </c>
      <c r="D48" s="10" t="s">
        <v>112</v>
      </c>
      <c r="E48" s="10" t="s">
        <v>95</v>
      </c>
      <c r="F48" s="10"/>
    </row>
    <row r="49" spans="1:6" x14ac:dyDescent="0.2">
      <c r="A49" s="10" t="s">
        <v>185</v>
      </c>
      <c r="B49" s="10" t="s">
        <v>73</v>
      </c>
      <c r="C49" s="10" t="s">
        <v>186</v>
      </c>
      <c r="D49" s="10" t="s">
        <v>112</v>
      </c>
      <c r="E49" s="10" t="s">
        <v>95</v>
      </c>
      <c r="F49" s="10"/>
    </row>
    <row r="50" spans="1:6" x14ac:dyDescent="0.2">
      <c r="A50" s="10" t="s">
        <v>187</v>
      </c>
      <c r="B50" s="10" t="s">
        <v>73</v>
      </c>
      <c r="C50" s="10" t="s">
        <v>188</v>
      </c>
      <c r="D50" s="10" t="s">
        <v>114</v>
      </c>
      <c r="E50" s="10" t="s">
        <v>95</v>
      </c>
      <c r="F50" s="10"/>
    </row>
    <row r="51" spans="1:6" x14ac:dyDescent="0.2">
      <c r="A51" s="10" t="s">
        <v>189</v>
      </c>
      <c r="B51" s="10" t="s">
        <v>73</v>
      </c>
      <c r="C51" s="10" t="s">
        <v>190</v>
      </c>
      <c r="D51" s="10" t="s">
        <v>114</v>
      </c>
      <c r="E51" s="10" t="s">
        <v>95</v>
      </c>
      <c r="F51" s="10"/>
    </row>
    <row r="52" spans="1:6" x14ac:dyDescent="0.2">
      <c r="A52" s="10" t="s">
        <v>191</v>
      </c>
      <c r="B52" s="10" t="s">
        <v>73</v>
      </c>
      <c r="C52" s="10" t="s">
        <v>192</v>
      </c>
      <c r="D52" s="10" t="s">
        <v>114</v>
      </c>
      <c r="E52" s="10" t="s">
        <v>95</v>
      </c>
      <c r="F52" s="10"/>
    </row>
    <row r="53" spans="1:6" x14ac:dyDescent="0.2">
      <c r="A53" s="10" t="s">
        <v>74</v>
      </c>
      <c r="B53" s="10" t="s">
        <v>73</v>
      </c>
      <c r="C53" s="10" t="s">
        <v>193</v>
      </c>
      <c r="D53" s="10" t="s">
        <v>116</v>
      </c>
      <c r="E53" s="10" t="s">
        <v>95</v>
      </c>
      <c r="F53" s="10"/>
    </row>
    <row r="54" spans="1:6" x14ac:dyDescent="0.2">
      <c r="A54" s="10" t="s">
        <v>194</v>
      </c>
      <c r="B54" s="10" t="s">
        <v>73</v>
      </c>
      <c r="C54" s="10" t="s">
        <v>195</v>
      </c>
      <c r="D54" s="10" t="s">
        <v>116</v>
      </c>
      <c r="E54" s="10" t="s">
        <v>95</v>
      </c>
      <c r="F54" s="10"/>
    </row>
    <row r="55" spans="1:6" x14ac:dyDescent="0.2">
      <c r="A55" s="10" t="s">
        <v>196</v>
      </c>
      <c r="B55" s="10" t="s">
        <v>73</v>
      </c>
      <c r="C55" s="10" t="s">
        <v>197</v>
      </c>
      <c r="D55" s="10" t="s">
        <v>116</v>
      </c>
      <c r="E55" s="10" t="s">
        <v>95</v>
      </c>
      <c r="F55" s="10"/>
    </row>
    <row r="56" spans="1:6" x14ac:dyDescent="0.2">
      <c r="A56" s="10" t="s">
        <v>198</v>
      </c>
      <c r="B56" s="10" t="s">
        <v>73</v>
      </c>
      <c r="C56" s="10" t="s">
        <v>199</v>
      </c>
      <c r="D56" s="10" t="s">
        <v>116</v>
      </c>
      <c r="E56" s="10" t="s">
        <v>95</v>
      </c>
      <c r="F56" s="10"/>
    </row>
    <row r="57" spans="1:6" x14ac:dyDescent="0.2">
      <c r="A57" s="10" t="s">
        <v>200</v>
      </c>
      <c r="B57" s="10" t="s">
        <v>73</v>
      </c>
      <c r="C57" s="10" t="s">
        <v>201</v>
      </c>
      <c r="D57" s="10" t="s">
        <v>116</v>
      </c>
      <c r="E57" s="10" t="s">
        <v>95</v>
      </c>
      <c r="F57" s="10"/>
    </row>
    <row r="58" spans="1:6" x14ac:dyDescent="0.2">
      <c r="A58" s="10" t="s">
        <v>202</v>
      </c>
      <c r="B58" s="10" t="s">
        <v>73</v>
      </c>
      <c r="C58" s="10" t="s">
        <v>203</v>
      </c>
      <c r="D58" s="10" t="s">
        <v>118</v>
      </c>
      <c r="E58" s="10" t="s">
        <v>97</v>
      </c>
      <c r="F58" s="10"/>
    </row>
    <row r="59" spans="1:6" x14ac:dyDescent="0.2">
      <c r="A59" s="10" t="s">
        <v>204</v>
      </c>
      <c r="B59" s="10" t="s">
        <v>73</v>
      </c>
      <c r="C59" s="10" t="s">
        <v>205</v>
      </c>
      <c r="D59" s="10" t="s">
        <v>118</v>
      </c>
      <c r="E59" s="10" t="s">
        <v>97</v>
      </c>
      <c r="F59" s="10"/>
    </row>
    <row r="60" spans="1:6" x14ac:dyDescent="0.2">
      <c r="A60" s="10" t="s">
        <v>206</v>
      </c>
      <c r="B60" s="10" t="s">
        <v>73</v>
      </c>
      <c r="C60" s="10" t="s">
        <v>207</v>
      </c>
      <c r="D60" s="10" t="s">
        <v>118</v>
      </c>
      <c r="E60" s="10" t="s">
        <v>97</v>
      </c>
      <c r="F60" s="10"/>
    </row>
    <row r="61" spans="1:6" x14ac:dyDescent="0.2">
      <c r="A61" s="10" t="s">
        <v>208</v>
      </c>
      <c r="B61" s="10" t="s">
        <v>73</v>
      </c>
      <c r="C61" s="10" t="s">
        <v>209</v>
      </c>
      <c r="D61" s="10" t="s">
        <v>118</v>
      </c>
      <c r="E61" s="10" t="s">
        <v>97</v>
      </c>
      <c r="F61" s="10"/>
    </row>
    <row r="62" spans="1:6" x14ac:dyDescent="0.2">
      <c r="A62" s="10" t="s">
        <v>210</v>
      </c>
      <c r="B62" s="10" t="s">
        <v>73</v>
      </c>
      <c r="C62" s="10" t="s">
        <v>211</v>
      </c>
      <c r="D62" s="10" t="s">
        <v>120</v>
      </c>
      <c r="E62" s="10" t="s">
        <v>97</v>
      </c>
      <c r="F62" s="10"/>
    </row>
    <row r="63" spans="1:6" x14ac:dyDescent="0.2">
      <c r="A63" s="10" t="s">
        <v>212</v>
      </c>
      <c r="B63" s="10" t="s">
        <v>73</v>
      </c>
      <c r="C63" s="10" t="s">
        <v>213</v>
      </c>
      <c r="D63" s="10" t="s">
        <v>120</v>
      </c>
      <c r="E63" s="10" t="s">
        <v>97</v>
      </c>
      <c r="F63" s="10"/>
    </row>
    <row r="64" spans="1:6" x14ac:dyDescent="0.2">
      <c r="A64" s="10" t="s">
        <v>214</v>
      </c>
      <c r="B64" s="10" t="s">
        <v>73</v>
      </c>
      <c r="C64" s="10" t="s">
        <v>215</v>
      </c>
      <c r="D64" s="10" t="s">
        <v>120</v>
      </c>
      <c r="E64" s="10" t="s">
        <v>97</v>
      </c>
      <c r="F64" s="10"/>
    </row>
    <row r="65" spans="1:6" x14ac:dyDescent="0.2">
      <c r="A65" s="10" t="s">
        <v>216</v>
      </c>
      <c r="B65" s="10" t="s">
        <v>73</v>
      </c>
      <c r="C65" s="10" t="s">
        <v>217</v>
      </c>
      <c r="D65" s="10" t="s">
        <v>122</v>
      </c>
      <c r="E65" s="10" t="s">
        <v>97</v>
      </c>
      <c r="F65" s="10"/>
    </row>
    <row r="66" spans="1:6" x14ac:dyDescent="0.2">
      <c r="A66" s="10" t="s">
        <v>218</v>
      </c>
      <c r="B66" s="10" t="s">
        <v>73</v>
      </c>
      <c r="C66" s="10" t="s">
        <v>219</v>
      </c>
      <c r="D66" s="10" t="s">
        <v>122</v>
      </c>
      <c r="E66" s="10" t="s">
        <v>97</v>
      </c>
      <c r="F66" s="10"/>
    </row>
    <row r="67" spans="1:6" x14ac:dyDescent="0.2">
      <c r="A67" s="10" t="s">
        <v>220</v>
      </c>
      <c r="B67" s="10" t="s">
        <v>73</v>
      </c>
      <c r="C67" s="10" t="s">
        <v>221</v>
      </c>
      <c r="D67" s="10" t="s">
        <v>122</v>
      </c>
      <c r="E67" s="10" t="s">
        <v>97</v>
      </c>
      <c r="F67" s="10"/>
    </row>
    <row r="68" spans="1:6" x14ac:dyDescent="0.2">
      <c r="A68" s="10" t="s">
        <v>222</v>
      </c>
      <c r="B68" s="10" t="s">
        <v>73</v>
      </c>
      <c r="C68" s="10" t="s">
        <v>223</v>
      </c>
      <c r="D68" s="10" t="s">
        <v>122</v>
      </c>
      <c r="E68" s="10" t="s">
        <v>97</v>
      </c>
      <c r="F68" s="10"/>
    </row>
    <row r="69" spans="1:6" x14ac:dyDescent="0.2">
      <c r="A69" s="10" t="s">
        <v>224</v>
      </c>
      <c r="B69" s="10" t="s">
        <v>73</v>
      </c>
      <c r="C69" s="10" t="s">
        <v>225</v>
      </c>
      <c r="D69" s="10" t="s">
        <v>122</v>
      </c>
      <c r="E69" s="10" t="s">
        <v>97</v>
      </c>
      <c r="F69" s="10"/>
    </row>
    <row r="70" spans="1:6" x14ac:dyDescent="0.2">
      <c r="A70" s="10" t="s">
        <v>226</v>
      </c>
      <c r="B70" s="10" t="s">
        <v>73</v>
      </c>
      <c r="C70" s="10" t="s">
        <v>227</v>
      </c>
      <c r="D70" s="10" t="s">
        <v>124</v>
      </c>
      <c r="E70" s="10" t="s">
        <v>99</v>
      </c>
      <c r="F70" s="10"/>
    </row>
    <row r="71" spans="1:6" x14ac:dyDescent="0.2">
      <c r="A71" s="10" t="s">
        <v>228</v>
      </c>
      <c r="B71" s="10" t="s">
        <v>73</v>
      </c>
      <c r="C71" s="10" t="s">
        <v>229</v>
      </c>
      <c r="D71" s="10" t="s">
        <v>124</v>
      </c>
      <c r="E71" s="10" t="s">
        <v>99</v>
      </c>
      <c r="F71" s="10"/>
    </row>
    <row r="72" spans="1:6" x14ac:dyDescent="0.2">
      <c r="A72" s="10" t="s">
        <v>230</v>
      </c>
      <c r="B72" s="10" t="s">
        <v>73</v>
      </c>
      <c r="C72" s="10" t="s">
        <v>231</v>
      </c>
      <c r="D72" s="10" t="s">
        <v>124</v>
      </c>
      <c r="E72" s="10" t="s">
        <v>99</v>
      </c>
      <c r="F72" s="10"/>
    </row>
    <row r="73" spans="1:6" x14ac:dyDescent="0.2">
      <c r="A73" s="10" t="s">
        <v>232</v>
      </c>
      <c r="B73" s="10" t="s">
        <v>73</v>
      </c>
      <c r="C73" s="10" t="s">
        <v>233</v>
      </c>
      <c r="D73" s="10" t="s">
        <v>124</v>
      </c>
      <c r="E73" s="10" t="s">
        <v>99</v>
      </c>
      <c r="F73" s="10"/>
    </row>
    <row r="74" spans="1:6" x14ac:dyDescent="0.2">
      <c r="A74" s="10" t="s">
        <v>234</v>
      </c>
      <c r="B74" s="10" t="s">
        <v>73</v>
      </c>
      <c r="C74" s="10" t="s">
        <v>235</v>
      </c>
      <c r="D74" s="10" t="s">
        <v>124</v>
      </c>
      <c r="E74" s="10" t="s">
        <v>99</v>
      </c>
      <c r="F74" s="10"/>
    </row>
    <row r="75" spans="1:6" x14ac:dyDescent="0.2">
      <c r="A75" s="10" t="s">
        <v>236</v>
      </c>
      <c r="B75" s="10" t="s">
        <v>73</v>
      </c>
      <c r="C75" s="10" t="s">
        <v>237</v>
      </c>
      <c r="D75" s="10" t="s">
        <v>124</v>
      </c>
      <c r="E75" s="10" t="s">
        <v>99</v>
      </c>
      <c r="F75" s="10"/>
    </row>
    <row r="76" spans="1:6" x14ac:dyDescent="0.2">
      <c r="A76" s="10" t="s">
        <v>238</v>
      </c>
      <c r="B76" s="10" t="s">
        <v>73</v>
      </c>
      <c r="C76" s="10" t="s">
        <v>239</v>
      </c>
      <c r="D76" s="10" t="s">
        <v>124</v>
      </c>
      <c r="E76" s="10" t="s">
        <v>99</v>
      </c>
      <c r="F76" s="10"/>
    </row>
    <row r="77" spans="1:6" x14ac:dyDescent="0.2">
      <c r="A77" s="10" t="s">
        <v>240</v>
      </c>
      <c r="B77" s="10" t="s">
        <v>73</v>
      </c>
      <c r="C77" s="10" t="s">
        <v>241</v>
      </c>
      <c r="D77" s="10" t="s">
        <v>124</v>
      </c>
      <c r="E77" s="10" t="s">
        <v>99</v>
      </c>
      <c r="F77" s="10"/>
    </row>
    <row r="78" spans="1:6" x14ac:dyDescent="0.2">
      <c r="A78" s="10" t="s">
        <v>242</v>
      </c>
      <c r="B78" s="10" t="s">
        <v>73</v>
      </c>
      <c r="C78" s="10" t="s">
        <v>243</v>
      </c>
      <c r="D78" s="10" t="s">
        <v>124</v>
      </c>
      <c r="E78" s="10" t="s">
        <v>99</v>
      </c>
      <c r="F78" s="10"/>
    </row>
    <row r="79" spans="1:6" x14ac:dyDescent="0.2">
      <c r="A79" s="10" t="s">
        <v>244</v>
      </c>
      <c r="B79" s="10" t="s">
        <v>73</v>
      </c>
      <c r="C79" s="10" t="s">
        <v>245</v>
      </c>
      <c r="D79" s="10" t="s">
        <v>124</v>
      </c>
      <c r="E79" s="10" t="s">
        <v>99</v>
      </c>
      <c r="F79" s="10"/>
    </row>
    <row r="80" spans="1:6" x14ac:dyDescent="0.2">
      <c r="A80" s="10" t="s">
        <v>246</v>
      </c>
      <c r="B80" s="10" t="s">
        <v>73</v>
      </c>
      <c r="C80" s="10" t="s">
        <v>247</v>
      </c>
      <c r="D80" s="10" t="s">
        <v>124</v>
      </c>
      <c r="E80" s="10" t="s">
        <v>99</v>
      </c>
      <c r="F80" s="10"/>
    </row>
    <row r="81" spans="1:6" x14ac:dyDescent="0.2">
      <c r="A81" s="10" t="s">
        <v>248</v>
      </c>
      <c r="B81" s="10" t="s">
        <v>73</v>
      </c>
      <c r="C81" s="10" t="s">
        <v>249</v>
      </c>
      <c r="D81" s="10" t="s">
        <v>126</v>
      </c>
      <c r="E81" s="10" t="s">
        <v>99</v>
      </c>
      <c r="F81" s="10"/>
    </row>
    <row r="82" spans="1:6" x14ac:dyDescent="0.2">
      <c r="A82" s="10" t="s">
        <v>250</v>
      </c>
      <c r="B82" s="10" t="s">
        <v>73</v>
      </c>
      <c r="C82" s="10" t="s">
        <v>251</v>
      </c>
      <c r="D82" s="10" t="s">
        <v>126</v>
      </c>
      <c r="E82" s="10" t="s">
        <v>99</v>
      </c>
      <c r="F82" s="10"/>
    </row>
    <row r="83" spans="1:6" x14ac:dyDescent="0.2">
      <c r="A83" s="10" t="s">
        <v>252</v>
      </c>
      <c r="B83" s="10" t="s">
        <v>73</v>
      </c>
      <c r="C83" s="10" t="s">
        <v>253</v>
      </c>
      <c r="D83" s="10" t="s">
        <v>126</v>
      </c>
      <c r="E83" s="10" t="s">
        <v>99</v>
      </c>
      <c r="F83" s="10"/>
    </row>
    <row r="84" spans="1:6" x14ac:dyDescent="0.2">
      <c r="A84" s="10" t="s">
        <v>254</v>
      </c>
      <c r="B84" s="10" t="s">
        <v>73</v>
      </c>
      <c r="C84" s="10" t="s">
        <v>255</v>
      </c>
      <c r="D84" s="10" t="s">
        <v>126</v>
      </c>
      <c r="E84" s="10" t="s">
        <v>99</v>
      </c>
      <c r="F84" s="10"/>
    </row>
    <row r="85" spans="1:6" x14ac:dyDescent="0.2">
      <c r="A85" s="10" t="s">
        <v>256</v>
      </c>
      <c r="B85" s="10" t="s">
        <v>73</v>
      </c>
      <c r="C85" s="10" t="s">
        <v>257</v>
      </c>
      <c r="D85" s="10" t="s">
        <v>126</v>
      </c>
      <c r="E85" s="10" t="s">
        <v>99</v>
      </c>
      <c r="F85" s="10"/>
    </row>
    <row r="86" spans="1:6" x14ac:dyDescent="0.2">
      <c r="A86" s="10" t="s">
        <v>258</v>
      </c>
      <c r="B86" s="10" t="s">
        <v>73</v>
      </c>
      <c r="C86" s="10" t="s">
        <v>259</v>
      </c>
      <c r="D86" s="10" t="s">
        <v>126</v>
      </c>
      <c r="E86" s="10" t="s">
        <v>99</v>
      </c>
      <c r="F86" s="10"/>
    </row>
    <row r="87" spans="1:6" x14ac:dyDescent="0.2">
      <c r="A87" s="10" t="s">
        <v>260</v>
      </c>
      <c r="B87" s="10" t="s">
        <v>73</v>
      </c>
      <c r="C87" s="10" t="s">
        <v>261</v>
      </c>
      <c r="D87" s="10" t="s">
        <v>128</v>
      </c>
      <c r="E87" s="10" t="s">
        <v>101</v>
      </c>
      <c r="F87" s="10"/>
    </row>
    <row r="88" spans="1:6" x14ac:dyDescent="0.2">
      <c r="A88" s="10" t="s">
        <v>262</v>
      </c>
      <c r="B88" s="10" t="s">
        <v>73</v>
      </c>
      <c r="C88" s="10" t="s">
        <v>263</v>
      </c>
      <c r="D88" s="10" t="s">
        <v>128</v>
      </c>
      <c r="E88" s="10" t="s">
        <v>101</v>
      </c>
      <c r="F88" s="10"/>
    </row>
    <row r="89" spans="1:6" x14ac:dyDescent="0.2">
      <c r="A89" s="10" t="s">
        <v>264</v>
      </c>
      <c r="B89" s="10" t="s">
        <v>73</v>
      </c>
      <c r="C89" s="10" t="s">
        <v>265</v>
      </c>
      <c r="D89" s="10" t="s">
        <v>128</v>
      </c>
      <c r="E89" s="10" t="s">
        <v>101</v>
      </c>
      <c r="F89" s="10"/>
    </row>
    <row r="90" spans="1:6" x14ac:dyDescent="0.2">
      <c r="A90" s="10" t="s">
        <v>266</v>
      </c>
      <c r="B90" s="10" t="s">
        <v>73</v>
      </c>
      <c r="C90" s="10" t="s">
        <v>267</v>
      </c>
      <c r="D90" s="10" t="s">
        <v>128</v>
      </c>
      <c r="E90" s="10" t="s">
        <v>101</v>
      </c>
      <c r="F90" s="10"/>
    </row>
    <row r="91" spans="1:6" x14ac:dyDescent="0.2">
      <c r="A91" s="10" t="s">
        <v>268</v>
      </c>
      <c r="B91" s="10" t="s">
        <v>73</v>
      </c>
      <c r="C91" s="10" t="s">
        <v>269</v>
      </c>
      <c r="D91" s="10" t="s">
        <v>128</v>
      </c>
      <c r="E91" s="10" t="s">
        <v>101</v>
      </c>
      <c r="F91" s="10"/>
    </row>
    <row r="92" spans="1:6" x14ac:dyDescent="0.2">
      <c r="A92" s="10" t="s">
        <v>270</v>
      </c>
      <c r="B92" s="10" t="s">
        <v>73</v>
      </c>
      <c r="C92" s="10" t="s">
        <v>271</v>
      </c>
      <c r="D92" s="10" t="s">
        <v>128</v>
      </c>
      <c r="E92" s="10" t="s">
        <v>101</v>
      </c>
      <c r="F92" s="10"/>
    </row>
    <row r="93" spans="1:6" x14ac:dyDescent="0.2">
      <c r="A93" s="10" t="s">
        <v>272</v>
      </c>
      <c r="B93" s="10" t="s">
        <v>73</v>
      </c>
      <c r="C93" s="10" t="s">
        <v>273</v>
      </c>
      <c r="D93" s="10" t="s">
        <v>128</v>
      </c>
      <c r="E93" s="10" t="s">
        <v>101</v>
      </c>
      <c r="F93" s="10"/>
    </row>
    <row r="94" spans="1:6" x14ac:dyDescent="0.2">
      <c r="A94" s="10" t="s">
        <v>274</v>
      </c>
      <c r="B94" s="10" t="s">
        <v>73</v>
      </c>
      <c r="C94" s="10" t="s">
        <v>132</v>
      </c>
      <c r="D94" s="10" t="s">
        <v>128</v>
      </c>
      <c r="E94" s="10" t="s">
        <v>101</v>
      </c>
      <c r="F94" s="10"/>
    </row>
    <row r="95" spans="1:6" x14ac:dyDescent="0.2">
      <c r="A95" s="10" t="s">
        <v>275</v>
      </c>
      <c r="B95" s="10" t="s">
        <v>73</v>
      </c>
      <c r="C95" s="10" t="s">
        <v>276</v>
      </c>
      <c r="D95" s="10" t="s">
        <v>128</v>
      </c>
      <c r="E95" s="10" t="s">
        <v>101</v>
      </c>
      <c r="F95" s="10"/>
    </row>
    <row r="96" spans="1:6" x14ac:dyDescent="0.2">
      <c r="A96" s="10" t="s">
        <v>277</v>
      </c>
      <c r="B96" s="10" t="s">
        <v>73</v>
      </c>
      <c r="C96" s="10" t="s">
        <v>278</v>
      </c>
      <c r="D96" s="10" t="s">
        <v>130</v>
      </c>
      <c r="E96" s="10" t="s">
        <v>101</v>
      </c>
      <c r="F96" s="10"/>
    </row>
    <row r="97" spans="1:6" x14ac:dyDescent="0.2">
      <c r="A97" s="10" t="s">
        <v>279</v>
      </c>
      <c r="B97" s="10" t="s">
        <v>73</v>
      </c>
      <c r="C97" s="10" t="s">
        <v>280</v>
      </c>
      <c r="D97" s="10" t="s">
        <v>130</v>
      </c>
      <c r="E97" s="10" t="s">
        <v>101</v>
      </c>
      <c r="F97" s="10"/>
    </row>
    <row r="98" spans="1:6" x14ac:dyDescent="0.2">
      <c r="A98" s="10" t="s">
        <v>281</v>
      </c>
      <c r="B98" s="10" t="s">
        <v>73</v>
      </c>
      <c r="C98" s="10" t="s">
        <v>282</v>
      </c>
      <c r="D98" s="10" t="s">
        <v>130</v>
      </c>
      <c r="E98" s="10" t="s">
        <v>101</v>
      </c>
      <c r="F98" s="10"/>
    </row>
    <row r="99" spans="1:6" x14ac:dyDescent="0.2">
      <c r="A99" s="10" t="s">
        <v>283</v>
      </c>
      <c r="B99" s="10" t="s">
        <v>73</v>
      </c>
      <c r="C99" s="10" t="s">
        <v>284</v>
      </c>
      <c r="D99" s="10" t="s">
        <v>130</v>
      </c>
      <c r="E99" s="10" t="s">
        <v>101</v>
      </c>
      <c r="F99" s="10"/>
    </row>
    <row r="100" spans="1:6" x14ac:dyDescent="0.2">
      <c r="A100" s="10" t="s">
        <v>285</v>
      </c>
      <c r="B100" s="10" t="s">
        <v>73</v>
      </c>
      <c r="C100" s="10" t="s">
        <v>286</v>
      </c>
      <c r="D100" s="10" t="s">
        <v>130</v>
      </c>
      <c r="E100" s="10" t="s">
        <v>101</v>
      </c>
      <c r="F100" s="10"/>
    </row>
    <row r="101" spans="1:6" x14ac:dyDescent="0.2">
      <c r="A101" s="10" t="s">
        <v>287</v>
      </c>
      <c r="B101" s="10" t="s">
        <v>73</v>
      </c>
      <c r="C101" s="10" t="s">
        <v>288</v>
      </c>
      <c r="D101" s="10" t="s">
        <v>130</v>
      </c>
      <c r="E101" s="10" t="s">
        <v>101</v>
      </c>
      <c r="F101" s="10"/>
    </row>
    <row r="102" spans="1:6" x14ac:dyDescent="0.2">
      <c r="A102" s="10" t="s">
        <v>289</v>
      </c>
      <c r="B102" s="10" t="s">
        <v>73</v>
      </c>
      <c r="C102" s="10" t="s">
        <v>290</v>
      </c>
      <c r="D102" s="10" t="s">
        <v>130</v>
      </c>
      <c r="E102" s="10" t="s">
        <v>101</v>
      </c>
      <c r="F102" s="10"/>
    </row>
    <row r="103" spans="1:6" x14ac:dyDescent="0.2">
      <c r="A103" s="10" t="s">
        <v>291</v>
      </c>
      <c r="B103" s="10" t="s">
        <v>73</v>
      </c>
      <c r="C103" s="10" t="s">
        <v>292</v>
      </c>
      <c r="D103" s="10" t="s">
        <v>132</v>
      </c>
      <c r="E103" s="10" t="s">
        <v>101</v>
      </c>
      <c r="F103" s="10"/>
    </row>
    <row r="104" spans="1:6" x14ac:dyDescent="0.2">
      <c r="A104" s="10" t="s">
        <v>293</v>
      </c>
      <c r="B104" s="10" t="s">
        <v>73</v>
      </c>
      <c r="C104" s="10" t="s">
        <v>294</v>
      </c>
      <c r="D104" s="10" t="s">
        <v>132</v>
      </c>
      <c r="E104" s="10" t="s">
        <v>101</v>
      </c>
      <c r="F104" s="10"/>
    </row>
    <row r="105" spans="1:6" x14ac:dyDescent="0.2">
      <c r="A105" s="10" t="s">
        <v>295</v>
      </c>
      <c r="B105" s="10" t="s">
        <v>73</v>
      </c>
      <c r="C105" s="10" t="s">
        <v>296</v>
      </c>
      <c r="D105" s="10" t="s">
        <v>132</v>
      </c>
      <c r="E105" s="10" t="s">
        <v>101</v>
      </c>
      <c r="F105" s="10"/>
    </row>
    <row r="106" spans="1:6" x14ac:dyDescent="0.2">
      <c r="A106" s="10" t="s">
        <v>297</v>
      </c>
      <c r="B106" s="10" t="s">
        <v>73</v>
      </c>
      <c r="C106" s="10" t="s">
        <v>298</v>
      </c>
      <c r="D106" s="10" t="s">
        <v>132</v>
      </c>
      <c r="E106" s="10" t="s">
        <v>101</v>
      </c>
      <c r="F106" s="10"/>
    </row>
    <row r="107" spans="1:6" x14ac:dyDescent="0.2">
      <c r="A107" s="10" t="s">
        <v>299</v>
      </c>
      <c r="B107" s="10" t="s">
        <v>73</v>
      </c>
      <c r="C107" s="10" t="s">
        <v>300</v>
      </c>
      <c r="D107" s="10" t="s">
        <v>132</v>
      </c>
      <c r="E107" s="10" t="s">
        <v>101</v>
      </c>
      <c r="F107" s="10"/>
    </row>
    <row r="108" spans="1:6" x14ac:dyDescent="0.2">
      <c r="A108" s="10" t="s">
        <v>301</v>
      </c>
      <c r="B108" s="10" t="s">
        <v>73</v>
      </c>
      <c r="C108" s="10" t="s">
        <v>302</v>
      </c>
      <c r="D108" s="10" t="s">
        <v>132</v>
      </c>
      <c r="E108" s="10" t="s">
        <v>101</v>
      </c>
      <c r="F108" s="10"/>
    </row>
    <row r="109" spans="1:6" x14ac:dyDescent="0.2">
      <c r="A109" s="10" t="s">
        <v>303</v>
      </c>
      <c r="B109" s="10" t="s">
        <v>73</v>
      </c>
      <c r="C109" s="10" t="s">
        <v>304</v>
      </c>
      <c r="D109" s="10" t="s">
        <v>132</v>
      </c>
      <c r="E109" s="10" t="s">
        <v>101</v>
      </c>
      <c r="F109" s="10"/>
    </row>
    <row r="110" spans="1:6" x14ac:dyDescent="0.2">
      <c r="A110" s="10" t="s">
        <v>305</v>
      </c>
      <c r="B110" s="10" t="s">
        <v>73</v>
      </c>
      <c r="C110" s="10" t="s">
        <v>306</v>
      </c>
      <c r="D110" s="10" t="s">
        <v>132</v>
      </c>
      <c r="E110" s="10" t="s">
        <v>101</v>
      </c>
      <c r="F110" s="10"/>
    </row>
    <row r="111" spans="1:6" x14ac:dyDescent="0.2">
      <c r="A111" s="10" t="s">
        <v>307</v>
      </c>
      <c r="B111" s="10" t="s">
        <v>73</v>
      </c>
      <c r="C111" s="10" t="s">
        <v>308</v>
      </c>
      <c r="D111" s="10" t="s">
        <v>132</v>
      </c>
      <c r="E111" s="10" t="s">
        <v>101</v>
      </c>
      <c r="F111" s="10"/>
    </row>
    <row r="112" spans="1:6" x14ac:dyDescent="0.2">
      <c r="A112" s="10" t="s">
        <v>309</v>
      </c>
      <c r="B112" s="10" t="s">
        <v>73</v>
      </c>
      <c r="C112" s="10" t="s">
        <v>310</v>
      </c>
      <c r="D112" s="10" t="s">
        <v>132</v>
      </c>
      <c r="E112" s="10" t="s">
        <v>101</v>
      </c>
      <c r="F112" s="10"/>
    </row>
    <row r="113" spans="1:6" x14ac:dyDescent="0.2">
      <c r="A113" s="10" t="s">
        <v>311</v>
      </c>
      <c r="B113" s="10" t="s">
        <v>73</v>
      </c>
      <c r="C113" s="10" t="s">
        <v>312</v>
      </c>
      <c r="D113" s="10" t="s">
        <v>134</v>
      </c>
      <c r="E113" s="10" t="s">
        <v>101</v>
      </c>
      <c r="F113" s="10"/>
    </row>
    <row r="114" spans="1:6" x14ac:dyDescent="0.2">
      <c r="A114" s="10" t="s">
        <v>313</v>
      </c>
      <c r="B114" s="10" t="s">
        <v>73</v>
      </c>
      <c r="C114" s="10" t="s">
        <v>314</v>
      </c>
      <c r="D114" s="10" t="s">
        <v>134</v>
      </c>
      <c r="E114" s="10" t="s">
        <v>101</v>
      </c>
      <c r="F114" s="10"/>
    </row>
    <row r="115" spans="1:6" x14ac:dyDescent="0.2">
      <c r="A115" s="10" t="s">
        <v>315</v>
      </c>
      <c r="B115" s="10" t="s">
        <v>73</v>
      </c>
      <c r="C115" s="10" t="s">
        <v>316</v>
      </c>
      <c r="D115" s="10" t="s">
        <v>134</v>
      </c>
      <c r="E115" s="10" t="s">
        <v>101</v>
      </c>
      <c r="F115" s="10"/>
    </row>
    <row r="116" spans="1:6" x14ac:dyDescent="0.2">
      <c r="A116" s="10" t="s">
        <v>317</v>
      </c>
      <c r="B116" s="10" t="s">
        <v>73</v>
      </c>
      <c r="C116" s="10" t="s">
        <v>318</v>
      </c>
      <c r="D116" s="10" t="s">
        <v>134</v>
      </c>
      <c r="E116" s="10" t="s">
        <v>101</v>
      </c>
      <c r="F116" s="10"/>
    </row>
    <row r="117" spans="1:6" x14ac:dyDescent="0.2">
      <c r="A117" s="10" t="s">
        <v>319</v>
      </c>
      <c r="B117" s="10" t="s">
        <v>73</v>
      </c>
      <c r="C117" s="48" t="s">
        <v>500</v>
      </c>
      <c r="D117" s="10" t="s">
        <v>136</v>
      </c>
      <c r="E117" s="10" t="s">
        <v>103</v>
      </c>
      <c r="F117" s="10"/>
    </row>
    <row r="118" spans="1:6" x14ac:dyDescent="0.2">
      <c r="A118" s="10" t="s">
        <v>320</v>
      </c>
      <c r="B118" s="10" t="s">
        <v>73</v>
      </c>
      <c r="C118" s="48" t="s">
        <v>501</v>
      </c>
      <c r="D118" s="10" t="s">
        <v>136</v>
      </c>
      <c r="E118" s="10" t="s">
        <v>103</v>
      </c>
      <c r="F118" s="10"/>
    </row>
    <row r="119" spans="1:6" x14ac:dyDescent="0.2">
      <c r="A119" s="10" t="s">
        <v>321</v>
      </c>
      <c r="B119" s="10" t="s">
        <v>73</v>
      </c>
      <c r="C119" s="48" t="s">
        <v>502</v>
      </c>
      <c r="D119" s="10" t="s">
        <v>136</v>
      </c>
      <c r="E119" s="10" t="s">
        <v>103</v>
      </c>
      <c r="F119" s="10"/>
    </row>
    <row r="120" spans="1:6" x14ac:dyDescent="0.2">
      <c r="A120" s="10" t="s">
        <v>322</v>
      </c>
      <c r="B120" s="10" t="s">
        <v>73</v>
      </c>
      <c r="C120" s="48" t="s">
        <v>503</v>
      </c>
      <c r="D120" s="10" t="s">
        <v>136</v>
      </c>
      <c r="E120" s="10" t="s">
        <v>103</v>
      </c>
      <c r="F120" s="10"/>
    </row>
    <row r="121" spans="1:6" x14ac:dyDescent="0.2">
      <c r="A121" s="10" t="s">
        <v>323</v>
      </c>
      <c r="B121" s="10" t="s">
        <v>73</v>
      </c>
      <c r="C121" s="10" t="s">
        <v>326</v>
      </c>
      <c r="D121" s="10" t="s">
        <v>138</v>
      </c>
      <c r="E121" s="10" t="s">
        <v>103</v>
      </c>
      <c r="F121" s="10"/>
    </row>
    <row r="122" spans="1:6" x14ac:dyDescent="0.2">
      <c r="A122" s="10" t="s">
        <v>324</v>
      </c>
      <c r="B122" s="10" t="s">
        <v>73</v>
      </c>
      <c r="C122" s="10" t="s">
        <v>328</v>
      </c>
      <c r="D122" s="10" t="s">
        <v>138</v>
      </c>
      <c r="E122" s="10" t="s">
        <v>103</v>
      </c>
      <c r="F122" s="10"/>
    </row>
    <row r="123" spans="1:6" x14ac:dyDescent="0.2">
      <c r="A123" s="10" t="s">
        <v>325</v>
      </c>
      <c r="B123" s="10" t="s">
        <v>73</v>
      </c>
      <c r="C123" s="10" t="s">
        <v>330</v>
      </c>
      <c r="D123" s="10" t="s">
        <v>138</v>
      </c>
      <c r="E123" s="10" t="s">
        <v>103</v>
      </c>
      <c r="F123" s="10"/>
    </row>
    <row r="124" spans="1:6" x14ac:dyDescent="0.2">
      <c r="A124" s="10" t="s">
        <v>327</v>
      </c>
      <c r="B124" s="10" t="s">
        <v>73</v>
      </c>
      <c r="C124" s="10" t="s">
        <v>332</v>
      </c>
      <c r="D124" s="10" t="s">
        <v>138</v>
      </c>
      <c r="E124" s="10" t="s">
        <v>103</v>
      </c>
      <c r="F124" s="10"/>
    </row>
    <row r="125" spans="1:6" x14ac:dyDescent="0.2">
      <c r="A125" s="10" t="s">
        <v>329</v>
      </c>
      <c r="B125" s="10" t="s">
        <v>73</v>
      </c>
      <c r="C125" s="10" t="s">
        <v>333</v>
      </c>
      <c r="D125" s="10" t="s">
        <v>138</v>
      </c>
      <c r="E125" s="10" t="s">
        <v>103</v>
      </c>
      <c r="F125" s="10"/>
    </row>
    <row r="126" spans="1:6" x14ac:dyDescent="0.2">
      <c r="A126" s="10" t="s">
        <v>331</v>
      </c>
      <c r="B126" s="10" t="s">
        <v>73</v>
      </c>
      <c r="C126" s="10" t="s">
        <v>334</v>
      </c>
      <c r="D126" s="10" t="s">
        <v>138</v>
      </c>
      <c r="E126" s="10" t="s">
        <v>103</v>
      </c>
      <c r="F126" s="10"/>
    </row>
    <row r="127" spans="1:6" x14ac:dyDescent="0.2">
      <c r="A127" s="10" t="s">
        <v>336</v>
      </c>
      <c r="B127" s="10" t="s">
        <v>73</v>
      </c>
      <c r="C127" s="10" t="s">
        <v>335</v>
      </c>
      <c r="D127" s="10" t="s">
        <v>138</v>
      </c>
      <c r="E127" s="10" t="s">
        <v>103</v>
      </c>
      <c r="F127" s="10"/>
    </row>
    <row r="128" spans="1:6" x14ac:dyDescent="0.2">
      <c r="A128" s="10" t="s">
        <v>504</v>
      </c>
      <c r="B128" s="10" t="s">
        <v>73</v>
      </c>
      <c r="C128" s="10" t="s">
        <v>337</v>
      </c>
      <c r="D128" s="10" t="s">
        <v>140</v>
      </c>
      <c r="E128" s="10" t="s">
        <v>103</v>
      </c>
      <c r="F128" s="10"/>
    </row>
    <row r="129" spans="1:6" x14ac:dyDescent="0.2">
      <c r="A129" s="10" t="s">
        <v>338</v>
      </c>
      <c r="B129" s="10" t="s">
        <v>73</v>
      </c>
      <c r="C129" s="10" t="s">
        <v>339</v>
      </c>
      <c r="D129" s="10" t="s">
        <v>140</v>
      </c>
      <c r="E129" s="10" t="s">
        <v>103</v>
      </c>
      <c r="F129" s="10"/>
    </row>
    <row r="130" spans="1:6" x14ac:dyDescent="0.2">
      <c r="A130" s="10" t="s">
        <v>344</v>
      </c>
      <c r="B130" s="10" t="s">
        <v>73</v>
      </c>
      <c r="C130" s="10" t="s">
        <v>341</v>
      </c>
      <c r="D130" s="10" t="s">
        <v>140</v>
      </c>
      <c r="E130" s="10" t="s">
        <v>103</v>
      </c>
      <c r="F130" s="10"/>
    </row>
    <row r="131" spans="1:6" x14ac:dyDescent="0.2">
      <c r="A131" s="10" t="s">
        <v>340</v>
      </c>
      <c r="B131" s="10" t="s">
        <v>73</v>
      </c>
      <c r="C131" s="10" t="s">
        <v>342</v>
      </c>
      <c r="D131" s="10" t="s">
        <v>140</v>
      </c>
      <c r="E131" s="10" t="s">
        <v>103</v>
      </c>
      <c r="F131" s="10"/>
    </row>
    <row r="132" spans="1:6" x14ac:dyDescent="0.2">
      <c r="A132" s="10" t="s">
        <v>171</v>
      </c>
      <c r="B132" s="10" t="s">
        <v>73</v>
      </c>
      <c r="C132" s="10" t="s">
        <v>343</v>
      </c>
      <c r="D132" s="10" t="s">
        <v>140</v>
      </c>
      <c r="E132" s="10" t="s">
        <v>103</v>
      </c>
      <c r="F132" s="10"/>
    </row>
    <row r="133" spans="1:6" x14ac:dyDescent="0.2">
      <c r="A133" s="10" t="s">
        <v>173</v>
      </c>
      <c r="B133" s="10" t="s">
        <v>73</v>
      </c>
      <c r="C133" s="10" t="s">
        <v>345</v>
      </c>
      <c r="D133" s="10" t="s">
        <v>140</v>
      </c>
      <c r="E133" s="10" t="s">
        <v>103</v>
      </c>
      <c r="F133" s="10"/>
    </row>
    <row r="134" spans="1:6" x14ac:dyDescent="0.2">
      <c r="A134" s="10" t="s">
        <v>179</v>
      </c>
      <c r="B134" s="10" t="s">
        <v>73</v>
      </c>
      <c r="C134" s="10" t="s">
        <v>346</v>
      </c>
      <c r="D134" s="10" t="s">
        <v>140</v>
      </c>
      <c r="E134" s="10" t="s">
        <v>103</v>
      </c>
      <c r="F134" s="10"/>
    </row>
    <row r="135" spans="1:6" x14ac:dyDescent="0.2">
      <c r="A135" s="10" t="s">
        <v>347</v>
      </c>
      <c r="B135" s="10" t="s">
        <v>348</v>
      </c>
      <c r="C135" s="10" t="s">
        <v>349</v>
      </c>
      <c r="D135" s="10"/>
      <c r="E135" s="10"/>
      <c r="F135" s="10" t="s">
        <v>350</v>
      </c>
    </row>
    <row r="136" spans="1:6" x14ac:dyDescent="0.2">
      <c r="A136" s="10" t="s">
        <v>351</v>
      </c>
      <c r="B136" s="10" t="s">
        <v>348</v>
      </c>
      <c r="C136" s="10" t="s">
        <v>352</v>
      </c>
      <c r="D136" s="10"/>
      <c r="E136" s="10"/>
      <c r="F136" s="10" t="s">
        <v>350</v>
      </c>
    </row>
    <row r="137" spans="1:6" x14ac:dyDescent="0.2">
      <c r="A137" s="10" t="s">
        <v>353</v>
      </c>
      <c r="B137" s="10" t="s">
        <v>348</v>
      </c>
      <c r="C137" s="10" t="s">
        <v>354</v>
      </c>
      <c r="D137" s="10"/>
      <c r="E137" s="10"/>
      <c r="F137" s="10" t="s">
        <v>350</v>
      </c>
    </row>
    <row r="138" spans="1:6" x14ac:dyDescent="0.2">
      <c r="A138" s="10" t="s">
        <v>355</v>
      </c>
      <c r="B138" s="10" t="s">
        <v>348</v>
      </c>
      <c r="C138" s="10" t="s">
        <v>356</v>
      </c>
      <c r="D138" s="10"/>
      <c r="E138" s="10"/>
      <c r="F138" s="10" t="s">
        <v>357</v>
      </c>
    </row>
    <row r="139" spans="1:6" x14ac:dyDescent="0.2">
      <c r="A139" s="10" t="s">
        <v>358</v>
      </c>
      <c r="B139" s="10" t="s">
        <v>348</v>
      </c>
      <c r="C139" s="10" t="s">
        <v>359</v>
      </c>
      <c r="D139" s="10"/>
      <c r="E139" s="10"/>
      <c r="F139" s="10" t="s">
        <v>357</v>
      </c>
    </row>
    <row r="140" spans="1:6" x14ac:dyDescent="0.2">
      <c r="A140" s="10" t="s">
        <v>360</v>
      </c>
      <c r="B140" s="10" t="s">
        <v>348</v>
      </c>
      <c r="C140" s="10" t="s">
        <v>361</v>
      </c>
      <c r="D140" s="10"/>
      <c r="E140" s="10"/>
      <c r="F140" s="10" t="s">
        <v>357</v>
      </c>
    </row>
    <row r="141" spans="1:6" x14ac:dyDescent="0.2">
      <c r="A141" s="10" t="s">
        <v>362</v>
      </c>
      <c r="B141" s="10" t="s">
        <v>348</v>
      </c>
      <c r="C141" s="10" t="s">
        <v>363</v>
      </c>
      <c r="D141" s="10"/>
      <c r="E141" s="10"/>
      <c r="F141" s="10" t="s">
        <v>364</v>
      </c>
    </row>
    <row r="142" spans="1:6" x14ac:dyDescent="0.2">
      <c r="A142" s="10" t="s">
        <v>365</v>
      </c>
      <c r="B142" s="10" t="s">
        <v>348</v>
      </c>
      <c r="C142" s="10" t="s">
        <v>366</v>
      </c>
      <c r="D142" s="10"/>
      <c r="E142" s="10"/>
      <c r="F142" s="10" t="s">
        <v>364</v>
      </c>
    </row>
    <row r="143" spans="1:6" x14ac:dyDescent="0.2">
      <c r="A143" s="10" t="s">
        <v>367</v>
      </c>
      <c r="B143" s="10" t="s">
        <v>348</v>
      </c>
      <c r="C143" s="10" t="s">
        <v>368</v>
      </c>
      <c r="D143" s="10"/>
      <c r="E143" s="10"/>
      <c r="F143" s="10" t="s">
        <v>364</v>
      </c>
    </row>
    <row r="144" spans="1:6" x14ac:dyDescent="0.2">
      <c r="A144" s="10" t="s">
        <v>369</v>
      </c>
      <c r="B144" s="10" t="s">
        <v>348</v>
      </c>
      <c r="C144" s="10" t="s">
        <v>370</v>
      </c>
      <c r="D144" s="10"/>
      <c r="E144" s="10"/>
      <c r="F144" s="10" t="s">
        <v>371</v>
      </c>
    </row>
    <row r="145" spans="1:6" x14ac:dyDescent="0.2">
      <c r="A145" s="10" t="s">
        <v>372</v>
      </c>
      <c r="B145" s="10" t="s">
        <v>348</v>
      </c>
      <c r="C145" s="10" t="s">
        <v>373</v>
      </c>
      <c r="D145" s="10"/>
      <c r="E145" s="10"/>
      <c r="F145" s="10" t="s">
        <v>371</v>
      </c>
    </row>
    <row r="146" spans="1:6" x14ac:dyDescent="0.2">
      <c r="A146" s="10" t="s">
        <v>374</v>
      </c>
      <c r="B146" s="10" t="s">
        <v>348</v>
      </c>
      <c r="C146" s="10" t="s">
        <v>375</v>
      </c>
      <c r="D146" s="10"/>
      <c r="E146" s="10"/>
      <c r="F146" s="10" t="s">
        <v>371</v>
      </c>
    </row>
    <row r="147" spans="1:6" x14ac:dyDescent="0.2">
      <c r="A147" s="10" t="s">
        <v>376</v>
      </c>
      <c r="B147" s="10" t="s">
        <v>348</v>
      </c>
      <c r="C147" s="10" t="s">
        <v>377</v>
      </c>
      <c r="D147" s="10"/>
      <c r="E147" s="10"/>
      <c r="F147" s="10" t="s">
        <v>371</v>
      </c>
    </row>
    <row r="148" spans="1:6" x14ac:dyDescent="0.2">
      <c r="A148" s="10" t="s">
        <v>378</v>
      </c>
      <c r="B148" s="10" t="s">
        <v>348</v>
      </c>
      <c r="C148" s="10" t="s">
        <v>379</v>
      </c>
      <c r="D148" s="10"/>
      <c r="E148" s="10"/>
      <c r="F148" s="10" t="s">
        <v>371</v>
      </c>
    </row>
    <row r="149" spans="1:6" x14ac:dyDescent="0.2">
      <c r="A149" s="10" t="s">
        <v>380</v>
      </c>
      <c r="B149" s="10" t="s">
        <v>348</v>
      </c>
      <c r="C149" s="10" t="s">
        <v>381</v>
      </c>
      <c r="D149" s="10"/>
      <c r="E149" s="10"/>
      <c r="F149" s="10" t="s">
        <v>371</v>
      </c>
    </row>
    <row r="150" spans="1:6" x14ac:dyDescent="0.2">
      <c r="A150" s="10" t="s">
        <v>382</v>
      </c>
      <c r="B150" s="10" t="s">
        <v>348</v>
      </c>
      <c r="C150" s="10" t="s">
        <v>383</v>
      </c>
      <c r="D150" s="10"/>
      <c r="E150" s="10"/>
      <c r="F150" s="10" t="s">
        <v>384</v>
      </c>
    </row>
    <row r="151" spans="1:6" x14ac:dyDescent="0.2">
      <c r="A151" s="10" t="s">
        <v>385</v>
      </c>
      <c r="B151" s="10" t="s">
        <v>348</v>
      </c>
      <c r="C151" s="10" t="s">
        <v>386</v>
      </c>
      <c r="D151" s="10"/>
      <c r="E151" s="10"/>
      <c r="F151" s="10" t="s">
        <v>384</v>
      </c>
    </row>
    <row r="152" spans="1:6" x14ac:dyDescent="0.2">
      <c r="A152" s="10" t="s">
        <v>65</v>
      </c>
      <c r="B152" s="10" t="s">
        <v>348</v>
      </c>
      <c r="C152" s="10" t="s">
        <v>387</v>
      </c>
      <c r="D152" s="10"/>
      <c r="E152" s="10"/>
      <c r="F152" s="10" t="s">
        <v>388</v>
      </c>
    </row>
    <row r="153" spans="1:6" x14ac:dyDescent="0.2">
      <c r="A153" s="10" t="s">
        <v>389</v>
      </c>
      <c r="B153" s="10" t="s">
        <v>348</v>
      </c>
      <c r="C153" s="10" t="s">
        <v>390</v>
      </c>
      <c r="D153" s="10"/>
      <c r="E153" s="10"/>
      <c r="F153" s="10" t="s">
        <v>388</v>
      </c>
    </row>
    <row r="154" spans="1:6" x14ac:dyDescent="0.2">
      <c r="A154" s="10" t="s">
        <v>391</v>
      </c>
      <c r="B154" s="10" t="s">
        <v>348</v>
      </c>
      <c r="C154" s="10" t="s">
        <v>392</v>
      </c>
      <c r="D154" s="10"/>
      <c r="E154" s="10"/>
      <c r="F154" s="10" t="s">
        <v>388</v>
      </c>
    </row>
    <row r="156" spans="1:6" x14ac:dyDescent="0.2">
      <c r="A156" s="11" t="s">
        <v>393</v>
      </c>
    </row>
  </sheetData>
  <autoFilter ref="A1:F154" xr:uid="{00000000-0009-0000-0000-000003000000}"/>
  <phoneticPr fontId="11" type="noConversion"/>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2026-10-08T16:00:44Z</dcterms:modified>
  <dc:language>en-US</dc:language>
</cp:coreProperties>
</file>