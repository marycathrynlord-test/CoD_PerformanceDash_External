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257D06A5-B221-7642-8903-F0E3C8B16BC0}" xr6:coauthVersionLast="47" xr6:coauthVersionMax="47" xr10:uidLastSave="{00000000-0000-0000-0000-000000000000}"/>
  <bookViews>
    <workbookView xWindow="0" yWindow="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<sst xmlns="http://schemas.openxmlformats.org/spreadsheetml/2006/main" count="3206" uniqueCount="951">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</sst>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charset val="1"/>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charset val="1"/>
    </font>
    <font>
      <b/>
      <sz val="10"/>
      <color rgb="FFFFFFFF"/>
      <name val="Aptos"/>
      <charset val="1"/>
    </font>
    <font>
      <sz val="10"/>
      <color rgb="FF1E1E1E"/>
      <name val="Aptos"/>
      <charset val="1"/>
    </font>
    <font>
      <u/>
      <sz val="10"/>
      <color rgb="FF1E1E1E"/>
      <name val="Aptos"/>
      <charset val="1"/>
    </font>
    <font>
      <u/>
      <sz val="10"/>
      <color theme="1"/>
      <name val="Aptos"/>
      <charset val="1"/>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s>
  <fills count="46">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s>
  <borders count="21">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s>
  <cellStyleXfs count="1">
    <xf numFmtId="0" fontId="0" fillId="0" borderId="0"/>
  </cellStyleXfs>
  <cellXfs count="209">
    <xf numFmtId="0" fontId="0" fillId="0" borderId="0" xfId="0"/>
    <xf numFmtId="0" fontId="14" fillId="29" borderId="5" xfId="0" applyFont="1" applyFill="1" applyBorder="1" applyAlignment="1">
      <alignment horizontal="left" vertical="center" wrapText="1"/>
    </xf>
    <xf numFmtId="0" fontId="14" fillId="29" borderId="5" xfId="0" applyFont="1" applyFill="1" applyBorder="1" applyAlignment="1">
      <alignment horizontal="center" vertical="center" wrapText="1"/>
    </xf>
    <xf numFmtId="0" fontId="14" fillId="28" borderId="3"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9" borderId="4" xfId="0" applyFont="1" applyFill="1" applyBorder="1" applyAlignment="1">
      <alignment horizontal="center" vertical="center" wrapText="1"/>
    </xf>
    <xf numFmtId="0" fontId="14" fillId="28" borderId="19" xfId="0" applyFont="1" applyFill="1" applyBorder="1" applyAlignment="1">
      <alignment horizontal="center" vertical="center" wrapText="1"/>
    </xf>
    <xf numFmtId="0" fontId="13" fillId="27" borderId="0" xfId="0" applyFont="1" applyFill="1" applyAlignment="1">
      <alignment horizontal="center" vertical="center" wrapText="1"/>
    </xf>
    <xf numFmtId="0" fontId="14" fillId="24" borderId="0" xfId="0" applyFont="1" applyFill="1" applyAlignment="1">
      <alignment horizontal="center" vertical="center" wrapText="1"/>
    </xf>
    <xf numFmtId="0" fontId="14" fillId="25" borderId="4"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14" fillId="24" borderId="3" xfId="0" applyFont="1" applyFill="1" applyBorder="1" applyAlignment="1">
      <alignment horizontal="center" vertical="center" wrapText="1"/>
    </xf>
    <xf numFmtId="0" fontId="13" fillId="23" borderId="0" xfId="0" applyFont="1" applyFill="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15" customWidth="1"/>
    <col min="2" max="2" width="10.83203125" style="15" customWidth="1"/>
    <col min="3" max="3" width="17.1640625" style="15"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16" t="s">
        <v>0</v>
      </c>
      <c r="B1" s="16" t="s">
        <v>1</v>
      </c>
      <c r="C1" s="16" t="s">
        <v>2</v>
      </c>
      <c r="D1" s="17" t="s">
        <v>3</v>
      </c>
      <c r="E1" s="17" t="s">
        <v>4</v>
      </c>
      <c r="F1" s="17" t="s">
        <v>5</v>
      </c>
      <c r="G1" s="17" t="s">
        <v>6</v>
      </c>
      <c r="H1" s="17" t="s">
        <v>7</v>
      </c>
      <c r="I1" s="17" t="s">
        <v>8</v>
      </c>
    </row>
    <row r="2" spans="1:9" ht="15" customHeight="1" x14ac:dyDescent="0.2">
      <c r="A2" s="18" t="s">
        <v>9</v>
      </c>
      <c r="B2" s="19">
        <f>COUNTIF('KPI Catalog'!A:A, A2)</f>
        <v>25</v>
      </c>
      <c r="C2" s="19"/>
      <c r="D2" s="20"/>
    </row>
    <row r="3" spans="1:9" ht="15" customHeight="1" x14ac:dyDescent="0.2">
      <c r="A3" s="18" t="s">
        <v>10</v>
      </c>
      <c r="B3" s="19">
        <f>COUNTIF('KPI Catalog'!A:A, A3)</f>
        <v>20</v>
      </c>
      <c r="C3" s="19"/>
      <c r="D3" s="20"/>
    </row>
    <row r="4" spans="1:9" ht="15" customHeight="1" x14ac:dyDescent="0.2">
      <c r="A4" s="18" t="s">
        <v>11</v>
      </c>
      <c r="B4" s="19">
        <f>COUNTIF('KPI Catalog'!A:A, A4)</f>
        <v>17</v>
      </c>
      <c r="C4" s="20"/>
      <c r="D4" s="20"/>
      <c r="E4" s="21">
        <v>46310</v>
      </c>
    </row>
    <row r="5" spans="1:9" ht="15" customHeight="1" x14ac:dyDescent="0.2">
      <c r="A5" s="18" t="s">
        <v>12</v>
      </c>
      <c r="B5" s="19">
        <f>COUNTIF('KPI Catalog'!A:A, A5)</f>
        <v>9</v>
      </c>
      <c r="C5" s="19"/>
    </row>
    <row r="6" spans="1:9" ht="15" customHeight="1" x14ac:dyDescent="0.2">
      <c r="A6" s="18" t="s">
        <v>13</v>
      </c>
      <c r="B6" s="19">
        <f>COUNTIF('KPI Catalog'!A:A, A6)</f>
        <v>9</v>
      </c>
      <c r="C6" s="19"/>
    </row>
    <row r="7" spans="1:9" ht="15" customHeight="1" x14ac:dyDescent="0.2">
      <c r="A7" s="18">
        <v>911</v>
      </c>
      <c r="B7" s="19">
        <f>COUNTIF('KPI Catalog'!A:A, A7)</f>
        <v>7</v>
      </c>
      <c r="C7" s="20"/>
      <c r="D7" s="20"/>
    </row>
    <row r="8" spans="1:9" ht="15" customHeight="1" x14ac:dyDescent="0.2">
      <c r="A8" s="18" t="s">
        <v>14</v>
      </c>
      <c r="B8" s="19">
        <f>COUNTIF('KPI Catalog'!A:A, A8)</f>
        <v>7</v>
      </c>
      <c r="C8" s="20" t="s">
        <v>15</v>
      </c>
      <c r="D8" s="20" t="s">
        <v>15</v>
      </c>
      <c r="E8" s="21">
        <v>46308</v>
      </c>
      <c r="G8" s="20"/>
    </row>
    <row r="9" spans="1:9" ht="15" customHeight="1" x14ac:dyDescent="0.2">
      <c r="A9" s="18" t="s">
        <v>16</v>
      </c>
      <c r="B9" s="19">
        <f>COUNTIF('KPI Catalog'!A:A, A9)</f>
        <v>10</v>
      </c>
      <c r="C9" s="20"/>
    </row>
    <row r="10" spans="1:9" ht="15" customHeight="1" x14ac:dyDescent="0.2">
      <c r="A10" s="18" t="s">
        <v>17</v>
      </c>
      <c r="B10" s="19">
        <f>COUNTIF('KPI Catalog'!A:A, A10)</f>
        <v>0</v>
      </c>
      <c r="C10" s="19"/>
    </row>
    <row r="11" spans="1:9" ht="15" customHeight="1" x14ac:dyDescent="0.2">
      <c r="A11" s="18" t="s">
        <v>18</v>
      </c>
      <c r="B11" s="19">
        <f>COUNTIF('KPI Catalog'!A:A, A11)</f>
        <v>0</v>
      </c>
      <c r="C11" s="19"/>
    </row>
    <row r="12" spans="1:9" ht="15" customHeight="1" x14ac:dyDescent="0.2">
      <c r="A12" s="18" t="s">
        <v>19</v>
      </c>
      <c r="B12" s="19">
        <f>COUNTIF('KPI Catalog'!A:A, A12)</f>
        <v>0</v>
      </c>
      <c r="C12" s="19"/>
    </row>
    <row r="13" spans="1:9" ht="15" customHeight="1" x14ac:dyDescent="0.2">
      <c r="A13" s="18" t="s">
        <v>20</v>
      </c>
      <c r="B13" s="19">
        <f>COUNTIF('KPI Catalog'!A:A, A13)</f>
        <v>0</v>
      </c>
      <c r="C13" s="19"/>
    </row>
    <row r="14" spans="1:9" ht="15" customHeight="1" x14ac:dyDescent="0.2">
      <c r="A14" s="18" t="s">
        <v>21</v>
      </c>
      <c r="B14" s="19">
        <f>COUNTIF('KPI Catalog'!A:A, A14)</f>
        <v>9</v>
      </c>
      <c r="C14" s="19"/>
    </row>
    <row r="15" spans="1:9" ht="15" customHeight="1" x14ac:dyDescent="0.2">
      <c r="A15" s="18" t="s">
        <v>22</v>
      </c>
      <c r="B15" s="19">
        <f>COUNTIF('KPI Catalog'!A:A, A15)</f>
        <v>0</v>
      </c>
      <c r="C15" s="19"/>
    </row>
    <row r="16" spans="1:9" ht="15" customHeight="1" x14ac:dyDescent="0.2">
      <c r="A16" s="18" t="s">
        <v>23</v>
      </c>
      <c r="B16" s="19">
        <f>COUNTIF('KPI Catalog'!A:A, A16)</f>
        <v>0</v>
      </c>
      <c r="C16" s="20"/>
      <c r="D16" s="20"/>
      <c r="E16" s="21">
        <v>46308</v>
      </c>
    </row>
    <row r="17" spans="1:7" ht="15" customHeight="1" x14ac:dyDescent="0.2">
      <c r="A17" s="18" t="s">
        <v>24</v>
      </c>
      <c r="B17" s="19">
        <f>COUNTIF('KPI Catalog'!A:A, A17)</f>
        <v>0</v>
      </c>
      <c r="C17" s="19"/>
    </row>
    <row r="18" spans="1:7" x14ac:dyDescent="0.2">
      <c r="A18" s="18" t="s">
        <v>25</v>
      </c>
      <c r="B18" s="19">
        <f>COUNTIF('KPI Catalog'!A:A, A18)</f>
        <v>3</v>
      </c>
    </row>
    <row r="19" spans="1:7" x14ac:dyDescent="0.2">
      <c r="A19" s="18" t="s">
        <v>26</v>
      </c>
      <c r="B19" s="19">
        <f>COUNTIF('KPI Catalog'!A:A, A19)</f>
        <v>14</v>
      </c>
    </row>
    <row r="20" spans="1:7" x14ac:dyDescent="0.2">
      <c r="A20" s="18" t="s">
        <v>27</v>
      </c>
      <c r="B20" s="19">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91"/>
  <sheetViews>
    <sheetView tabSelected="1" zoomScaleNormal="100" workbookViewId="0">
      <pane ySplit="1" topLeftCell="A52" activePane="bottomLeft" state="frozen"/>
      <selection pane="bottomLeft" activeCell="E68" sqref="E68"/>
    </sheetView>
  </sheetViews>
  <sheetFormatPr baseColWidth="10" defaultColWidth="8.6640625" defaultRowHeight="15" x14ac:dyDescent="0.2"/>
  <cols>
    <col min="1" max="1" width="30" style="22" customWidth="1"/>
    <col min="2" max="2" width="40" style="22" customWidth="1"/>
    <col min="3" max="3" width="46" customWidth="1"/>
    <col min="4" max="4" width="13" hidden="1" customWidth="1"/>
    <col min="5" max="5" width="59.33203125" style="23" customWidth="1"/>
    <col min="6" max="6" width="8" style="23" customWidth="1"/>
    <col min="7" max="7" width="12.33203125" style="23" customWidth="1"/>
    <col min="8" max="8" width="6.33203125" style="23" customWidth="1"/>
    <col min="9" max="9" width="11.83203125" customWidth="1"/>
    <col min="10" max="11" width="12" customWidth="1"/>
  </cols>
  <sheetData>
    <row r="1" spans="1:11" ht="30" customHeight="1" x14ac:dyDescent="0.2">
      <c r="A1" s="24" t="s">
        <v>28</v>
      </c>
      <c r="B1" s="25" t="s">
        <v>29</v>
      </c>
      <c r="C1" s="24" t="s">
        <v>30</v>
      </c>
      <c r="D1" s="26" t="s">
        <v>31</v>
      </c>
      <c r="E1" s="27" t="s">
        <v>32</v>
      </c>
      <c r="F1" s="28" t="s">
        <v>33</v>
      </c>
      <c r="G1" s="28" t="s">
        <v>34</v>
      </c>
      <c r="H1" s="28" t="s">
        <v>35</v>
      </c>
      <c r="I1" s="28" t="s">
        <v>36</v>
      </c>
      <c r="J1" s="29" t="s">
        <v>37</v>
      </c>
      <c r="K1" s="29" t="s">
        <v>38</v>
      </c>
    </row>
    <row r="2" spans="1:11" ht="15" customHeight="1" x14ac:dyDescent="0.2">
      <c r="A2" s="186" t="s">
        <v>39</v>
      </c>
      <c r="B2" s="187" t="s">
        <v>40</v>
      </c>
      <c r="C2" s="31" t="s">
        <v>41</v>
      </c>
      <c r="D2" s="32" t="s">
        <v>42</v>
      </c>
      <c r="E2" s="33"/>
      <c r="F2" s="31"/>
      <c r="G2" s="31"/>
      <c r="H2" s="31"/>
      <c r="I2" s="32"/>
      <c r="J2" s="31"/>
      <c r="K2" s="31"/>
    </row>
    <row r="3" spans="1:11" ht="15" customHeight="1" x14ac:dyDescent="0.2">
      <c r="A3" s="186"/>
      <c r="B3" s="186"/>
      <c r="C3" s="31" t="s">
        <v>43</v>
      </c>
      <c r="D3" s="32" t="s">
        <v>44</v>
      </c>
      <c r="E3" s="33"/>
      <c r="F3" s="31"/>
      <c r="G3" s="31"/>
      <c r="H3" s="31"/>
      <c r="I3" s="32"/>
      <c r="J3" s="31"/>
      <c r="K3" s="31"/>
    </row>
    <row r="4" spans="1:11" ht="15" customHeight="1" x14ac:dyDescent="0.2">
      <c r="A4" s="186"/>
      <c r="B4" s="186"/>
      <c r="C4" s="31" t="s">
        <v>45</v>
      </c>
      <c r="D4" s="32" t="s">
        <v>46</v>
      </c>
      <c r="E4" s="33"/>
      <c r="F4" s="31"/>
      <c r="G4" s="31"/>
      <c r="H4" s="31"/>
      <c r="I4" s="32"/>
      <c r="J4" s="34"/>
      <c r="K4" s="34"/>
    </row>
    <row r="5" spans="1:11" ht="15" customHeight="1" x14ac:dyDescent="0.2">
      <c r="A5" s="186"/>
      <c r="B5" s="187"/>
      <c r="C5" s="31" t="s">
        <v>47</v>
      </c>
      <c r="D5" s="32" t="s">
        <v>48</v>
      </c>
      <c r="E5" s="33"/>
      <c r="F5" s="31"/>
      <c r="G5" s="31"/>
      <c r="H5" s="31"/>
      <c r="I5" s="32"/>
      <c r="J5" s="31"/>
      <c r="K5" s="31"/>
    </row>
    <row r="6" spans="1:11" ht="15" customHeight="1" x14ac:dyDescent="0.2">
      <c r="A6" s="186"/>
      <c r="B6" s="188" t="s">
        <v>49</v>
      </c>
      <c r="C6" s="31" t="s">
        <v>50</v>
      </c>
      <c r="D6" s="32" t="s">
        <v>51</v>
      </c>
      <c r="E6" s="33" t="s">
        <v>52</v>
      </c>
      <c r="F6" s="31"/>
      <c r="G6" s="31"/>
      <c r="H6" s="31"/>
      <c r="I6" s="32"/>
      <c r="J6" s="31"/>
      <c r="K6" s="31"/>
    </row>
    <row r="7" spans="1:11" ht="15" customHeight="1" x14ac:dyDescent="0.2">
      <c r="A7" s="186"/>
      <c r="B7" s="186"/>
      <c r="C7" s="189" t="s">
        <v>53</v>
      </c>
      <c r="D7" s="32" t="s">
        <v>54</v>
      </c>
      <c r="E7" s="33" t="s">
        <v>55</v>
      </c>
      <c r="F7" s="31"/>
      <c r="G7" s="31"/>
      <c r="H7" s="31"/>
      <c r="I7" s="32"/>
      <c r="J7" s="31"/>
      <c r="K7" s="31"/>
    </row>
    <row r="8" spans="1:11" ht="15" customHeight="1" x14ac:dyDescent="0.2">
      <c r="A8" s="186"/>
      <c r="B8" s="186"/>
      <c r="C8" s="189"/>
      <c r="D8" s="32"/>
      <c r="E8" s="33" t="s">
        <v>56</v>
      </c>
      <c r="F8" s="31"/>
      <c r="G8" s="31"/>
      <c r="H8" s="31"/>
      <c r="I8" s="32"/>
      <c r="J8" s="31"/>
      <c r="K8" s="31"/>
    </row>
    <row r="9" spans="1:11" ht="15" customHeight="1" x14ac:dyDescent="0.2">
      <c r="A9" s="186"/>
      <c r="B9" s="186"/>
      <c r="C9" s="189"/>
      <c r="D9" s="32"/>
      <c r="E9" s="33" t="s">
        <v>57</v>
      </c>
      <c r="F9" s="31"/>
      <c r="G9" s="31"/>
      <c r="H9" s="31"/>
      <c r="I9" s="32"/>
      <c r="J9" s="31"/>
      <c r="K9" s="31"/>
    </row>
    <row r="10" spans="1:11" ht="15" customHeight="1" x14ac:dyDescent="0.2">
      <c r="A10" s="186"/>
      <c r="B10" s="186"/>
      <c r="C10" s="189"/>
      <c r="D10" s="32"/>
      <c r="E10" s="33" t="s">
        <v>58</v>
      </c>
      <c r="F10" s="31"/>
      <c r="G10" s="31"/>
      <c r="H10" s="31"/>
      <c r="I10" s="32"/>
      <c r="J10" s="31"/>
      <c r="K10" s="31"/>
    </row>
    <row r="11" spans="1:11" ht="15" customHeight="1" x14ac:dyDescent="0.2">
      <c r="A11" s="186"/>
      <c r="B11" s="186"/>
      <c r="C11" s="31" t="s">
        <v>59</v>
      </c>
      <c r="D11" s="32" t="s">
        <v>60</v>
      </c>
      <c r="E11" s="33" t="s">
        <v>61</v>
      </c>
      <c r="F11" s="31"/>
      <c r="G11" s="31"/>
      <c r="H11" s="31"/>
      <c r="I11" s="32"/>
      <c r="J11" s="31"/>
      <c r="K11" s="31"/>
    </row>
    <row r="12" spans="1:11" ht="15" customHeight="1" x14ac:dyDescent="0.2">
      <c r="A12" s="186"/>
      <c r="B12" s="186"/>
      <c r="C12" s="189" t="s">
        <v>62</v>
      </c>
      <c r="D12" s="32" t="s">
        <v>63</v>
      </c>
      <c r="E12" s="33" t="s">
        <v>64</v>
      </c>
      <c r="F12" s="31"/>
      <c r="G12" s="31"/>
      <c r="H12" s="31"/>
      <c r="I12" s="32"/>
      <c r="J12" s="31"/>
      <c r="K12" s="31"/>
    </row>
    <row r="13" spans="1:11" ht="15" customHeight="1" x14ac:dyDescent="0.2">
      <c r="A13" s="186"/>
      <c r="B13" s="188"/>
      <c r="C13" s="189"/>
      <c r="D13" s="32"/>
      <c r="E13" s="33" t="s">
        <v>65</v>
      </c>
      <c r="F13" s="31"/>
      <c r="G13" s="31"/>
      <c r="H13" s="31"/>
      <c r="I13" s="32"/>
      <c r="J13" s="31"/>
      <c r="K13" s="31"/>
    </row>
    <row r="14" spans="1:11" ht="15" customHeight="1" x14ac:dyDescent="0.2">
      <c r="A14" s="186"/>
      <c r="B14" s="188" t="s">
        <v>66</v>
      </c>
      <c r="C14" s="189" t="s">
        <v>67</v>
      </c>
      <c r="D14" s="32" t="s">
        <v>68</v>
      </c>
      <c r="E14" s="33" t="s">
        <v>69</v>
      </c>
      <c r="F14" s="31"/>
      <c r="G14" s="31"/>
      <c r="H14" s="31"/>
      <c r="I14" s="32"/>
      <c r="J14" s="31"/>
      <c r="K14" s="31"/>
    </row>
    <row r="15" spans="1:11" ht="15" customHeight="1" x14ac:dyDescent="0.2">
      <c r="A15" s="186"/>
      <c r="B15" s="186"/>
      <c r="C15" s="189"/>
      <c r="D15" s="32"/>
      <c r="E15" s="33" t="s">
        <v>70</v>
      </c>
      <c r="F15" s="31"/>
      <c r="G15" s="31"/>
      <c r="H15" s="31"/>
      <c r="I15" s="32"/>
      <c r="J15" s="31"/>
      <c r="K15" s="31"/>
    </row>
    <row r="16" spans="1:11" ht="15" customHeight="1" x14ac:dyDescent="0.2">
      <c r="A16" s="186"/>
      <c r="B16" s="186"/>
      <c r="C16" s="189" t="s">
        <v>71</v>
      </c>
      <c r="D16" s="32" t="s">
        <v>72</v>
      </c>
      <c r="E16" s="33" t="s">
        <v>73</v>
      </c>
      <c r="F16" s="31"/>
      <c r="G16" s="31"/>
      <c r="H16" s="31"/>
      <c r="I16" s="32"/>
      <c r="J16" s="31"/>
      <c r="K16" s="31"/>
    </row>
    <row r="17" spans="1:11" ht="15" customHeight="1" x14ac:dyDescent="0.2">
      <c r="A17" s="186"/>
      <c r="B17" s="186"/>
      <c r="C17" s="189"/>
      <c r="D17" s="32"/>
      <c r="E17" s="33" t="s">
        <v>74</v>
      </c>
      <c r="F17" s="31"/>
      <c r="G17" s="31"/>
      <c r="H17" s="31"/>
      <c r="I17" s="32"/>
      <c r="J17" s="31"/>
      <c r="K17" s="31"/>
    </row>
    <row r="18" spans="1:11" ht="15" customHeight="1" x14ac:dyDescent="0.2">
      <c r="A18" s="186"/>
      <c r="B18" s="186"/>
      <c r="C18" s="190" t="s">
        <v>75</v>
      </c>
      <c r="D18" s="32" t="s">
        <v>76</v>
      </c>
      <c r="E18" s="33"/>
      <c r="F18" s="31"/>
      <c r="G18" s="31"/>
      <c r="H18" s="31"/>
      <c r="I18" s="32"/>
      <c r="J18" s="31"/>
      <c r="K18" s="31"/>
    </row>
    <row r="19" spans="1:11" ht="15.75" customHeight="1" x14ac:dyDescent="0.2">
      <c r="A19" s="30"/>
      <c r="B19" s="188"/>
      <c r="C19" s="190"/>
      <c r="D19" s="35"/>
      <c r="E19" s="33"/>
      <c r="F19" s="36"/>
      <c r="G19" s="36"/>
      <c r="H19" s="36"/>
      <c r="I19" s="35"/>
      <c r="J19" s="36"/>
      <c r="K19" s="36"/>
    </row>
    <row r="20" spans="1:11" ht="15.75" customHeight="1" x14ac:dyDescent="0.2">
      <c r="A20" s="30"/>
      <c r="B20" s="188"/>
      <c r="C20" s="190"/>
      <c r="D20" s="35"/>
      <c r="E20" s="33"/>
      <c r="F20" s="36"/>
      <c r="G20" s="36"/>
      <c r="H20" s="36"/>
      <c r="I20" s="35"/>
      <c r="J20" s="36"/>
      <c r="K20" s="36"/>
    </row>
    <row r="21" spans="1:11" ht="15" customHeight="1" x14ac:dyDescent="0.2">
      <c r="A21" s="191" t="s">
        <v>80</v>
      </c>
      <c r="B21" s="192" t="s">
        <v>81</v>
      </c>
      <c r="C21" s="37" t="s">
        <v>82</v>
      </c>
      <c r="D21" s="38" t="s">
        <v>83</v>
      </c>
      <c r="E21" s="39"/>
      <c r="F21" s="37"/>
      <c r="G21" s="37"/>
      <c r="H21" s="37"/>
      <c r="I21" s="38"/>
      <c r="J21" s="37"/>
      <c r="K21" s="37"/>
    </row>
    <row r="22" spans="1:11" ht="15" customHeight="1" x14ac:dyDescent="0.2">
      <c r="A22" s="191"/>
      <c r="B22" s="191"/>
      <c r="C22" s="37" t="s">
        <v>84</v>
      </c>
      <c r="D22" s="38" t="s">
        <v>85</v>
      </c>
      <c r="E22" s="39"/>
      <c r="F22" s="37"/>
      <c r="G22" s="37"/>
      <c r="H22" s="37"/>
      <c r="I22" s="38"/>
      <c r="J22" s="37"/>
      <c r="K22" s="37"/>
    </row>
    <row r="23" spans="1:11" ht="15" customHeight="1" x14ac:dyDescent="0.2">
      <c r="A23" s="191"/>
      <c r="B23" s="191"/>
      <c r="C23" s="37" t="s">
        <v>86</v>
      </c>
      <c r="D23" s="38" t="s">
        <v>87</v>
      </c>
      <c r="E23" s="39"/>
      <c r="F23" s="37"/>
      <c r="G23" s="37"/>
      <c r="H23" s="37"/>
      <c r="I23" s="38"/>
      <c r="J23" s="37"/>
      <c r="K23" s="37"/>
    </row>
    <row r="24" spans="1:11" ht="15" customHeight="1" x14ac:dyDescent="0.2">
      <c r="A24" s="191"/>
      <c r="B24" s="191"/>
      <c r="C24" s="37" t="s">
        <v>88</v>
      </c>
      <c r="D24" s="38" t="s">
        <v>89</v>
      </c>
      <c r="E24" s="39"/>
      <c r="F24" s="37"/>
      <c r="G24" s="37"/>
      <c r="H24" s="37"/>
      <c r="I24" s="38"/>
      <c r="J24" s="37"/>
      <c r="K24" s="37"/>
    </row>
    <row r="25" spans="1:11" ht="15" customHeight="1" x14ac:dyDescent="0.2">
      <c r="A25" s="191"/>
      <c r="B25" s="191"/>
      <c r="C25" s="37" t="s">
        <v>90</v>
      </c>
      <c r="D25" s="38" t="s">
        <v>91</v>
      </c>
      <c r="E25" s="39"/>
      <c r="F25" s="37"/>
      <c r="G25" s="37"/>
      <c r="H25" s="37"/>
      <c r="I25" s="38"/>
      <c r="J25" s="37"/>
      <c r="K25" s="37"/>
    </row>
    <row r="26" spans="1:11" ht="15" customHeight="1" x14ac:dyDescent="0.2">
      <c r="A26" s="191"/>
      <c r="B26" s="191"/>
      <c r="C26" s="37" t="s">
        <v>92</v>
      </c>
      <c r="D26" s="38" t="s">
        <v>93</v>
      </c>
      <c r="E26" s="39"/>
      <c r="F26" s="37"/>
      <c r="G26" s="37"/>
      <c r="H26" s="37"/>
      <c r="I26" s="38"/>
      <c r="J26" s="37"/>
      <c r="K26" s="37"/>
    </row>
    <row r="27" spans="1:11" ht="15" customHeight="1" x14ac:dyDescent="0.2">
      <c r="A27" s="191"/>
      <c r="B27" s="191"/>
      <c r="C27" s="37" t="s">
        <v>94</v>
      </c>
      <c r="D27" s="38" t="s">
        <v>95</v>
      </c>
      <c r="E27" s="39"/>
      <c r="F27" s="37"/>
      <c r="G27" s="37"/>
      <c r="H27" s="37"/>
      <c r="I27" s="38"/>
      <c r="J27" s="37"/>
      <c r="K27" s="37"/>
    </row>
    <row r="28" spans="1:11" ht="15" customHeight="1" x14ac:dyDescent="0.2">
      <c r="A28" s="191"/>
      <c r="B28" s="192"/>
      <c r="C28" s="37" t="s">
        <v>96</v>
      </c>
      <c r="D28" s="38" t="s">
        <v>97</v>
      </c>
      <c r="E28" s="39"/>
      <c r="F28" s="37"/>
      <c r="G28" s="37"/>
      <c r="H28" s="37"/>
      <c r="I28" s="38"/>
      <c r="J28" s="37"/>
      <c r="K28" s="37"/>
    </row>
    <row r="29" spans="1:11" ht="15" customHeight="1" x14ac:dyDescent="0.2">
      <c r="A29" s="191"/>
      <c r="B29" s="192" t="s">
        <v>98</v>
      </c>
      <c r="C29" s="193" t="s">
        <v>99</v>
      </c>
      <c r="D29" s="38" t="s">
        <v>100</v>
      </c>
      <c r="E29" s="39" t="s">
        <v>101</v>
      </c>
      <c r="F29" s="37"/>
      <c r="G29" s="37"/>
      <c r="H29" s="37"/>
      <c r="I29" s="38"/>
      <c r="J29" s="37"/>
      <c r="K29" s="37"/>
    </row>
    <row r="30" spans="1:11" ht="15" customHeight="1" x14ac:dyDescent="0.2">
      <c r="A30" s="191"/>
      <c r="B30" s="191"/>
      <c r="C30" s="193"/>
      <c r="D30" s="38"/>
      <c r="E30" s="39" t="s">
        <v>102</v>
      </c>
      <c r="F30" s="37"/>
      <c r="G30" s="37"/>
      <c r="H30" s="37"/>
      <c r="I30" s="38"/>
      <c r="J30" s="37"/>
      <c r="K30" s="37"/>
    </row>
    <row r="31" spans="1:11" ht="15" customHeight="1" x14ac:dyDescent="0.2">
      <c r="A31" s="191"/>
      <c r="B31" s="191"/>
      <c r="C31" s="193"/>
      <c r="D31" s="38"/>
      <c r="E31" s="39" t="s">
        <v>103</v>
      </c>
      <c r="F31" s="37"/>
      <c r="G31" s="37"/>
      <c r="H31" s="37"/>
      <c r="I31" s="38"/>
      <c r="J31" s="37"/>
      <c r="K31" s="37"/>
    </row>
    <row r="32" spans="1:11" ht="15" customHeight="1" x14ac:dyDescent="0.2">
      <c r="A32" s="191"/>
      <c r="B32" s="191"/>
      <c r="C32" s="193" t="s">
        <v>104</v>
      </c>
      <c r="D32" s="38" t="s">
        <v>105</v>
      </c>
      <c r="E32" s="39" t="s">
        <v>106</v>
      </c>
      <c r="F32" s="37"/>
      <c r="G32" s="37"/>
      <c r="H32" s="37"/>
      <c r="I32" s="38"/>
      <c r="J32" s="37"/>
      <c r="K32" s="37"/>
    </row>
    <row r="33" spans="1:11" ht="15" customHeight="1" x14ac:dyDescent="0.2">
      <c r="A33" s="191"/>
      <c r="B33" s="191"/>
      <c r="C33" s="193"/>
      <c r="D33" s="38"/>
      <c r="E33" s="39" t="s">
        <v>107</v>
      </c>
      <c r="F33" s="37"/>
      <c r="G33" s="37"/>
      <c r="H33" s="37"/>
      <c r="I33" s="38"/>
      <c r="J33" s="37"/>
      <c r="K33" s="37"/>
    </row>
    <row r="34" spans="1:11" ht="15" customHeight="1" x14ac:dyDescent="0.2">
      <c r="A34" s="191"/>
      <c r="B34" s="191"/>
      <c r="C34" s="193"/>
      <c r="D34" s="38"/>
      <c r="E34" s="39" t="s">
        <v>108</v>
      </c>
      <c r="F34" s="37"/>
      <c r="G34" s="37"/>
      <c r="H34" s="37"/>
      <c r="I34" s="38"/>
      <c r="J34" s="37"/>
      <c r="K34" s="37"/>
    </row>
    <row r="35" spans="1:11" ht="15" customHeight="1" x14ac:dyDescent="0.2">
      <c r="A35" s="191"/>
      <c r="B35" s="191"/>
      <c r="C35" s="193"/>
      <c r="D35" s="38"/>
      <c r="E35" s="39" t="s">
        <v>109</v>
      </c>
      <c r="F35" s="37"/>
      <c r="G35" s="37"/>
      <c r="H35" s="37"/>
      <c r="I35" s="38"/>
      <c r="J35" s="37"/>
      <c r="K35" s="37"/>
    </row>
    <row r="36" spans="1:11" ht="15" customHeight="1" x14ac:dyDescent="0.2">
      <c r="A36" s="191"/>
      <c r="B36" s="191"/>
      <c r="C36" s="193"/>
      <c r="D36" s="38"/>
      <c r="E36" s="39" t="s">
        <v>110</v>
      </c>
      <c r="F36" s="37"/>
      <c r="G36" s="37"/>
      <c r="H36" s="37"/>
      <c r="I36" s="38"/>
      <c r="J36" s="37"/>
      <c r="K36" s="37"/>
    </row>
    <row r="37" spans="1:11" ht="15" customHeight="1" x14ac:dyDescent="0.2">
      <c r="A37" s="191"/>
      <c r="B37" s="191"/>
      <c r="C37" s="193"/>
      <c r="D37" s="38"/>
      <c r="E37" s="39" t="s">
        <v>111</v>
      </c>
      <c r="F37" s="37"/>
      <c r="G37" s="37"/>
      <c r="H37" s="37"/>
      <c r="I37" s="38"/>
      <c r="J37" s="37"/>
      <c r="K37" s="37"/>
    </row>
    <row r="38" spans="1:11" ht="15" customHeight="1" x14ac:dyDescent="0.2">
      <c r="A38" s="191"/>
      <c r="B38" s="191"/>
      <c r="C38" s="193"/>
      <c r="D38" s="38"/>
      <c r="E38" s="39" t="s">
        <v>112</v>
      </c>
      <c r="F38" s="37"/>
      <c r="G38" s="37"/>
      <c r="H38" s="37"/>
      <c r="I38" s="38"/>
      <c r="J38" s="37"/>
      <c r="K38" s="37"/>
    </row>
    <row r="39" spans="1:11" ht="15" customHeight="1" x14ac:dyDescent="0.2">
      <c r="A39" s="191"/>
      <c r="B39" s="191"/>
      <c r="C39" s="193"/>
      <c r="D39" s="38"/>
      <c r="E39" s="39" t="s">
        <v>113</v>
      </c>
      <c r="F39" s="37"/>
      <c r="G39" s="37"/>
      <c r="H39" s="37"/>
      <c r="I39" s="38"/>
      <c r="J39" s="37"/>
      <c r="K39" s="37"/>
    </row>
    <row r="40" spans="1:11" ht="15" customHeight="1" x14ac:dyDescent="0.2">
      <c r="A40" s="191"/>
      <c r="B40" s="191"/>
      <c r="C40" s="193"/>
      <c r="D40" s="38"/>
      <c r="E40" s="39" t="s">
        <v>114</v>
      </c>
      <c r="F40" s="37"/>
      <c r="G40" s="37"/>
      <c r="H40" s="37"/>
      <c r="I40" s="38"/>
      <c r="J40" s="37"/>
      <c r="K40" s="37"/>
    </row>
    <row r="41" spans="1:11" ht="15" customHeight="1" x14ac:dyDescent="0.2">
      <c r="A41" s="191"/>
      <c r="B41" s="191"/>
      <c r="C41" s="193"/>
      <c r="D41" s="38"/>
      <c r="E41" s="39" t="s">
        <v>115</v>
      </c>
      <c r="F41" s="37"/>
      <c r="G41" s="37"/>
      <c r="H41" s="37"/>
      <c r="I41" s="38"/>
      <c r="J41" s="37"/>
      <c r="K41" s="37"/>
    </row>
    <row r="42" spans="1:11" ht="15" customHeight="1" x14ac:dyDescent="0.2">
      <c r="A42" s="191"/>
      <c r="B42" s="191"/>
      <c r="C42" s="193" t="s">
        <v>116</v>
      </c>
      <c r="D42" s="38" t="s">
        <v>117</v>
      </c>
      <c r="E42" s="39" t="s">
        <v>118</v>
      </c>
      <c r="F42" s="37"/>
      <c r="G42" s="37"/>
      <c r="H42" s="37"/>
      <c r="I42" s="38"/>
      <c r="J42" s="37"/>
      <c r="K42" s="37"/>
    </row>
    <row r="43" spans="1:11" ht="15" customHeight="1" x14ac:dyDescent="0.2">
      <c r="A43" s="191"/>
      <c r="B43" s="192"/>
      <c r="C43" s="193"/>
      <c r="D43" s="38"/>
      <c r="E43" s="39" t="s">
        <v>119</v>
      </c>
      <c r="F43" s="37"/>
      <c r="G43" s="37"/>
      <c r="H43" s="37"/>
      <c r="I43" s="38"/>
      <c r="J43" s="37"/>
      <c r="K43" s="37"/>
    </row>
    <row r="44" spans="1:11" ht="15" customHeight="1" x14ac:dyDescent="0.2">
      <c r="A44" s="191"/>
      <c r="B44" s="192" t="s">
        <v>120</v>
      </c>
      <c r="C44" s="37" t="s">
        <v>121</v>
      </c>
      <c r="D44" s="38" t="s">
        <v>122</v>
      </c>
      <c r="E44" s="39"/>
      <c r="F44" s="37"/>
      <c r="G44" s="37"/>
      <c r="H44" s="37"/>
      <c r="I44" s="38"/>
      <c r="J44" s="37"/>
      <c r="K44" s="37"/>
    </row>
    <row r="45" spans="1:11" ht="15" customHeight="1" x14ac:dyDescent="0.2">
      <c r="A45" s="191"/>
      <c r="B45" s="191"/>
      <c r="C45" s="193" t="s">
        <v>123</v>
      </c>
      <c r="D45" s="38" t="s">
        <v>124</v>
      </c>
      <c r="E45" s="39" t="s">
        <v>125</v>
      </c>
      <c r="F45" s="37"/>
      <c r="G45" s="37"/>
      <c r="H45" s="37"/>
      <c r="I45" s="38"/>
      <c r="J45" s="37"/>
      <c r="K45" s="37"/>
    </row>
    <row r="46" spans="1:11" ht="15" customHeight="1" x14ac:dyDescent="0.2">
      <c r="A46" s="191"/>
      <c r="B46" s="191"/>
      <c r="C46" s="193"/>
      <c r="D46" s="38"/>
      <c r="E46" s="39" t="s">
        <v>126</v>
      </c>
      <c r="F46" s="37"/>
      <c r="G46" s="37"/>
      <c r="H46" s="37"/>
      <c r="I46" s="38"/>
      <c r="J46" s="37"/>
      <c r="K46" s="37"/>
    </row>
    <row r="47" spans="1:11" ht="15" customHeight="1" x14ac:dyDescent="0.2">
      <c r="A47" s="191"/>
      <c r="B47" s="191"/>
      <c r="C47" s="193"/>
      <c r="D47" s="38"/>
      <c r="E47" s="39" t="s">
        <v>127</v>
      </c>
      <c r="F47" s="37"/>
      <c r="G47" s="37"/>
      <c r="H47" s="37"/>
      <c r="I47" s="38"/>
      <c r="J47" s="37"/>
      <c r="K47" s="37"/>
    </row>
    <row r="48" spans="1:11" ht="15" customHeight="1" x14ac:dyDescent="0.2">
      <c r="A48" s="191"/>
      <c r="B48" s="191"/>
      <c r="C48" s="193"/>
      <c r="D48" s="38"/>
      <c r="E48" s="39" t="s">
        <v>128</v>
      </c>
      <c r="F48" s="37"/>
      <c r="G48" s="37"/>
      <c r="H48" s="37"/>
      <c r="I48" s="38"/>
      <c r="J48" s="37"/>
      <c r="K48" s="37"/>
    </row>
    <row r="49" spans="1:11" ht="15" customHeight="1" x14ac:dyDescent="0.2">
      <c r="A49" s="191"/>
      <c r="B49" s="191"/>
      <c r="C49" s="193"/>
      <c r="D49" s="38"/>
      <c r="E49" s="39" t="s">
        <v>129</v>
      </c>
      <c r="F49" s="37"/>
      <c r="G49" s="37"/>
      <c r="H49" s="37"/>
      <c r="I49" s="38"/>
      <c r="J49" s="37"/>
      <c r="K49" s="37"/>
    </row>
    <row r="50" spans="1:11" ht="15" customHeight="1" x14ac:dyDescent="0.2">
      <c r="A50" s="191"/>
      <c r="B50" s="191"/>
      <c r="C50" s="193"/>
      <c r="D50" s="38"/>
      <c r="E50" s="39" t="s">
        <v>130</v>
      </c>
      <c r="F50" s="37"/>
      <c r="G50" s="37"/>
      <c r="H50" s="37"/>
      <c r="I50" s="38"/>
      <c r="J50" s="37"/>
      <c r="K50" s="37"/>
    </row>
    <row r="51" spans="1:11" ht="15" customHeight="1" x14ac:dyDescent="0.2">
      <c r="A51" s="191"/>
      <c r="B51" s="192"/>
      <c r="C51" s="37" t="s">
        <v>131</v>
      </c>
      <c r="D51" s="38" t="s">
        <v>132</v>
      </c>
      <c r="E51" s="39"/>
      <c r="F51" s="37"/>
      <c r="G51" s="37"/>
      <c r="H51" s="37"/>
      <c r="I51" s="38"/>
      <c r="J51" s="37"/>
      <c r="K51" s="37"/>
    </row>
    <row r="52" spans="1:11" ht="15" customHeight="1" x14ac:dyDescent="0.2">
      <c r="A52" s="191"/>
      <c r="B52" s="192" t="s">
        <v>133</v>
      </c>
      <c r="C52" s="37" t="s">
        <v>134</v>
      </c>
      <c r="D52" s="38" t="s">
        <v>135</v>
      </c>
      <c r="E52" s="39" t="s">
        <v>136</v>
      </c>
      <c r="F52" s="37"/>
      <c r="G52" s="37"/>
      <c r="H52" s="37"/>
      <c r="I52" s="38"/>
      <c r="J52" s="37"/>
      <c r="K52" s="37"/>
    </row>
    <row r="53" spans="1:11" ht="15" customHeight="1" x14ac:dyDescent="0.2">
      <c r="A53" s="191"/>
      <c r="B53" s="191"/>
      <c r="C53" s="37" t="s">
        <v>137</v>
      </c>
      <c r="D53" s="38" t="s">
        <v>138</v>
      </c>
      <c r="E53" s="39" t="s">
        <v>139</v>
      </c>
      <c r="F53" s="37"/>
      <c r="G53" s="37"/>
      <c r="H53" s="37"/>
      <c r="I53" s="38"/>
      <c r="J53" s="37"/>
      <c r="K53" s="37"/>
    </row>
    <row r="54" spans="1:11" ht="15" customHeight="1" x14ac:dyDescent="0.2">
      <c r="A54" s="191"/>
      <c r="B54" s="191"/>
      <c r="C54" s="37" t="s">
        <v>140</v>
      </c>
      <c r="D54" s="38" t="s">
        <v>141</v>
      </c>
      <c r="E54" s="39" t="s">
        <v>142</v>
      </c>
      <c r="F54" s="37"/>
      <c r="G54" s="37"/>
      <c r="H54" s="37"/>
      <c r="I54" s="38"/>
      <c r="J54" s="37"/>
      <c r="K54" s="37"/>
    </row>
    <row r="55" spans="1:11" ht="15" customHeight="1" x14ac:dyDescent="0.2">
      <c r="A55" s="191"/>
      <c r="B55" s="191"/>
      <c r="C55" s="193" t="s">
        <v>143</v>
      </c>
      <c r="D55" s="38" t="s">
        <v>144</v>
      </c>
      <c r="E55" s="39" t="s">
        <v>145</v>
      </c>
      <c r="F55" s="37"/>
      <c r="G55" s="37"/>
      <c r="H55" s="37"/>
      <c r="I55" s="38"/>
      <c r="J55" s="37"/>
      <c r="K55" s="37"/>
    </row>
    <row r="56" spans="1:11" ht="15" customHeight="1" x14ac:dyDescent="0.2">
      <c r="A56" s="191"/>
      <c r="B56" s="191"/>
      <c r="C56" s="193"/>
      <c r="D56" s="38"/>
      <c r="E56" s="39" t="s">
        <v>146</v>
      </c>
      <c r="F56" s="37"/>
      <c r="G56" s="37"/>
      <c r="H56" s="37"/>
      <c r="I56" s="38"/>
      <c r="J56" s="37"/>
      <c r="K56" s="37"/>
    </row>
    <row r="57" spans="1:11" ht="15" customHeight="1" x14ac:dyDescent="0.2">
      <c r="A57" s="191"/>
      <c r="B57" s="191"/>
      <c r="C57" s="193"/>
      <c r="D57" s="38"/>
      <c r="E57" s="39" t="s">
        <v>147</v>
      </c>
      <c r="F57" s="37"/>
      <c r="G57" s="37"/>
      <c r="H57" s="37"/>
      <c r="I57" s="38"/>
      <c r="J57" s="37"/>
      <c r="K57" s="37"/>
    </row>
    <row r="58" spans="1:11" ht="15" customHeight="1" x14ac:dyDescent="0.2">
      <c r="A58" s="191"/>
      <c r="B58" s="191"/>
      <c r="C58" s="193" t="s">
        <v>148</v>
      </c>
      <c r="D58" s="38" t="s">
        <v>149</v>
      </c>
      <c r="E58" s="39" t="s">
        <v>150</v>
      </c>
      <c r="F58" s="37"/>
      <c r="G58" s="37"/>
      <c r="H58" s="37"/>
      <c r="I58" s="38"/>
      <c r="J58" s="37"/>
      <c r="K58" s="37"/>
    </row>
    <row r="59" spans="1:11" ht="15" customHeight="1" x14ac:dyDescent="0.2">
      <c r="A59" s="191"/>
      <c r="B59" s="191"/>
      <c r="C59" s="193"/>
      <c r="D59" s="38"/>
      <c r="E59" s="39" t="s">
        <v>151</v>
      </c>
      <c r="F59" s="37"/>
      <c r="G59" s="37"/>
      <c r="H59" s="37"/>
      <c r="I59" s="38"/>
      <c r="J59" s="37"/>
      <c r="K59" s="37"/>
    </row>
    <row r="60" spans="1:11" ht="15" customHeight="1" x14ac:dyDescent="0.2">
      <c r="A60" s="191"/>
      <c r="B60" s="192"/>
      <c r="C60" s="193"/>
      <c r="D60" s="38"/>
      <c r="E60" s="39" t="s">
        <v>152</v>
      </c>
      <c r="F60" s="37"/>
      <c r="G60" s="37"/>
      <c r="H60" s="37"/>
      <c r="I60" s="38"/>
      <c r="J60" s="37"/>
      <c r="K60" s="37"/>
    </row>
    <row r="61" spans="1:11" ht="15" customHeight="1" x14ac:dyDescent="0.2">
      <c r="A61" s="194" t="s">
        <v>153</v>
      </c>
      <c r="B61" s="195" t="s">
        <v>154</v>
      </c>
      <c r="C61" s="196" t="s">
        <v>155</v>
      </c>
      <c r="D61" s="40" t="s">
        <v>156</v>
      </c>
      <c r="E61" s="41" t="s">
        <v>157</v>
      </c>
      <c r="F61" s="42"/>
      <c r="G61" s="42"/>
      <c r="H61" s="42"/>
      <c r="I61" s="40"/>
      <c r="J61" s="42"/>
      <c r="K61" s="42"/>
    </row>
    <row r="62" spans="1:11" ht="15" customHeight="1" x14ac:dyDescent="0.2">
      <c r="A62" s="194"/>
      <c r="B62" s="194"/>
      <c r="C62" s="196"/>
      <c r="D62" s="40"/>
      <c r="E62" s="41" t="s">
        <v>158</v>
      </c>
      <c r="F62" s="42"/>
      <c r="G62" s="42"/>
      <c r="H62" s="42"/>
      <c r="I62" s="40"/>
      <c r="J62" s="42"/>
      <c r="K62" s="42"/>
    </row>
    <row r="63" spans="1:11" ht="15" customHeight="1" x14ac:dyDescent="0.2">
      <c r="A63" s="194"/>
      <c r="B63" s="194"/>
      <c r="C63" s="196"/>
      <c r="D63" s="40"/>
      <c r="E63" s="41" t="s">
        <v>159</v>
      </c>
      <c r="F63" s="42"/>
      <c r="G63" s="42"/>
      <c r="H63" s="42"/>
      <c r="I63" s="40"/>
      <c r="J63" s="42"/>
      <c r="K63" s="42"/>
    </row>
    <row r="64" spans="1:11" ht="15" customHeight="1" x14ac:dyDescent="0.2">
      <c r="A64" s="194"/>
      <c r="B64" s="194"/>
      <c r="C64" s="197" t="s">
        <v>160</v>
      </c>
      <c r="D64" s="40" t="s">
        <v>161</v>
      </c>
      <c r="E64" s="41" t="s">
        <v>162</v>
      </c>
      <c r="F64" s="42"/>
      <c r="G64" s="42"/>
      <c r="H64" s="42"/>
      <c r="I64" s="40"/>
      <c r="J64" s="42"/>
      <c r="K64" s="42"/>
    </row>
    <row r="65" spans="1:11" ht="15" customHeight="1" x14ac:dyDescent="0.2">
      <c r="A65" s="194"/>
      <c r="B65" s="194"/>
      <c r="C65" s="197"/>
      <c r="D65" s="40"/>
      <c r="E65" s="41" t="s">
        <v>163</v>
      </c>
      <c r="F65" s="42"/>
      <c r="G65" s="42"/>
      <c r="H65" s="42"/>
      <c r="I65" s="40"/>
      <c r="J65" s="42"/>
      <c r="K65" s="42"/>
    </row>
    <row r="66" spans="1:11" ht="15" customHeight="1" x14ac:dyDescent="0.2">
      <c r="A66" s="194"/>
      <c r="B66" s="194"/>
      <c r="C66" s="197"/>
      <c r="D66" s="40"/>
      <c r="E66" s="41" t="s">
        <v>164</v>
      </c>
      <c r="F66" s="42"/>
      <c r="G66" s="42"/>
      <c r="H66" s="42"/>
      <c r="I66" s="40"/>
      <c r="J66" s="42"/>
      <c r="K66" s="42"/>
    </row>
    <row r="67" spans="1:11" ht="15" customHeight="1" x14ac:dyDescent="0.2">
      <c r="A67" s="194"/>
      <c r="B67" s="194"/>
      <c r="C67" s="197"/>
      <c r="D67" s="40"/>
      <c r="E67" s="41" t="s">
        <v>165</v>
      </c>
      <c r="F67" s="42"/>
      <c r="G67" s="42"/>
      <c r="H67" s="42"/>
      <c r="I67" s="40"/>
      <c r="J67" s="42"/>
      <c r="K67" s="42"/>
    </row>
    <row r="68" spans="1:11" ht="15" customHeight="1" x14ac:dyDescent="0.2">
      <c r="A68" s="194"/>
      <c r="B68" s="194"/>
      <c r="C68" s="197" t="s">
        <v>166</v>
      </c>
      <c r="D68" s="40" t="s">
        <v>167</v>
      </c>
      <c r="E68" s="41" t="s">
        <v>948</v>
      </c>
      <c r="F68" s="42"/>
      <c r="G68" s="42"/>
      <c r="H68" s="42"/>
      <c r="I68" s="40"/>
      <c r="J68" s="42"/>
      <c r="K68" s="42"/>
    </row>
    <row r="69" spans="1:11" ht="15" customHeight="1" x14ac:dyDescent="0.2">
      <c r="A69" s="194"/>
      <c r="B69" s="194"/>
      <c r="C69" s="197"/>
      <c r="D69" s="40"/>
      <c r="E69" s="41" t="s">
        <v>949</v>
      </c>
      <c r="F69" s="42"/>
      <c r="G69" s="42"/>
      <c r="H69" s="42"/>
      <c r="I69" s="40"/>
      <c r="J69" s="42"/>
      <c r="K69" s="42"/>
    </row>
    <row r="70" spans="1:11" ht="15" customHeight="1" x14ac:dyDescent="0.2">
      <c r="A70" s="194"/>
      <c r="B70" s="194"/>
      <c r="C70" s="197"/>
      <c r="D70" s="40"/>
      <c r="E70" s="41" t="s">
        <v>950</v>
      </c>
      <c r="F70" s="42"/>
      <c r="G70" s="42"/>
      <c r="H70" s="42"/>
      <c r="I70" s="40"/>
      <c r="J70" s="42"/>
      <c r="K70" s="42"/>
    </row>
    <row r="71" spans="1:11" ht="15" customHeight="1" x14ac:dyDescent="0.2">
      <c r="A71" s="194"/>
      <c r="B71" s="194"/>
      <c r="C71" s="197"/>
      <c r="D71" s="40"/>
      <c r="E71" s="41" t="s">
        <v>168</v>
      </c>
      <c r="F71" s="42"/>
      <c r="G71" s="42"/>
      <c r="H71" s="42"/>
      <c r="I71" s="40"/>
      <c r="J71" s="42"/>
      <c r="K71" s="42"/>
    </row>
    <row r="72" spans="1:11" ht="15" customHeight="1" x14ac:dyDescent="0.2">
      <c r="A72" s="194"/>
      <c r="B72" s="194"/>
      <c r="C72" s="197"/>
      <c r="D72" s="40"/>
      <c r="E72" s="41" t="s">
        <v>159</v>
      </c>
      <c r="F72" s="42"/>
      <c r="G72" s="42"/>
      <c r="H72" s="42"/>
      <c r="I72" s="40"/>
      <c r="J72" s="42"/>
      <c r="K72" s="42"/>
    </row>
    <row r="73" spans="1:11" ht="15" customHeight="1" x14ac:dyDescent="0.2">
      <c r="A73" s="194"/>
      <c r="B73" s="194"/>
      <c r="C73" s="197"/>
      <c r="D73" s="40"/>
      <c r="E73" s="41" t="s">
        <v>171</v>
      </c>
      <c r="F73" s="42"/>
      <c r="G73" s="42"/>
      <c r="H73" s="42"/>
      <c r="I73" s="40"/>
      <c r="J73" s="42"/>
      <c r="K73" s="42"/>
    </row>
    <row r="74" spans="1:11" ht="15" customHeight="1" x14ac:dyDescent="0.2">
      <c r="A74" s="194"/>
      <c r="B74" s="195"/>
      <c r="C74" s="42" t="s">
        <v>169</v>
      </c>
      <c r="D74" s="40" t="s">
        <v>170</v>
      </c>
      <c r="E74" s="41" t="s">
        <v>171</v>
      </c>
      <c r="F74" s="42"/>
      <c r="G74" s="42"/>
      <c r="H74" s="42"/>
      <c r="I74" s="40"/>
      <c r="J74" s="42"/>
      <c r="K74" s="42"/>
    </row>
    <row r="75" spans="1:11" ht="23.25" customHeight="1" x14ac:dyDescent="0.2">
      <c r="A75" s="194"/>
      <c r="B75" s="195" t="s">
        <v>172</v>
      </c>
      <c r="C75" s="197" t="s">
        <v>173</v>
      </c>
      <c r="D75" s="40" t="s">
        <v>174</v>
      </c>
      <c r="E75" s="41" t="s">
        <v>175</v>
      </c>
      <c r="F75" s="42"/>
      <c r="G75" s="42"/>
      <c r="H75" s="42"/>
      <c r="I75" s="40"/>
      <c r="J75" s="42"/>
      <c r="K75" s="42"/>
    </row>
    <row r="76" spans="1:11" ht="23.25" customHeight="1" x14ac:dyDescent="0.2">
      <c r="A76" s="194"/>
      <c r="B76" s="194"/>
      <c r="C76" s="197"/>
      <c r="D76" s="40"/>
      <c r="E76" s="41" t="s">
        <v>176</v>
      </c>
      <c r="F76" s="42"/>
      <c r="G76" s="42"/>
      <c r="H76" s="42"/>
      <c r="I76" s="40"/>
      <c r="J76" s="42"/>
      <c r="K76" s="42"/>
    </row>
    <row r="77" spans="1:11" ht="15" customHeight="1" x14ac:dyDescent="0.2">
      <c r="A77" s="194"/>
      <c r="B77" s="194"/>
      <c r="C77" s="43" t="s">
        <v>177</v>
      </c>
      <c r="D77" s="40" t="s">
        <v>178</v>
      </c>
      <c r="E77" s="41" t="s">
        <v>179</v>
      </c>
      <c r="F77" s="42"/>
      <c r="G77" s="42"/>
      <c r="H77" s="42"/>
      <c r="I77" s="40"/>
      <c r="J77" s="42"/>
      <c r="K77" s="42"/>
    </row>
    <row r="78" spans="1:11" ht="15" customHeight="1" x14ac:dyDescent="0.2">
      <c r="A78" s="194"/>
      <c r="B78" s="194"/>
      <c r="C78" s="197" t="s">
        <v>180</v>
      </c>
      <c r="D78" s="40" t="s">
        <v>181</v>
      </c>
      <c r="E78" s="41" t="s">
        <v>182</v>
      </c>
      <c r="F78" s="42"/>
      <c r="G78" s="42"/>
      <c r="H78" s="42"/>
      <c r="I78" s="40"/>
      <c r="J78" s="42"/>
      <c r="K78" s="42"/>
    </row>
    <row r="79" spans="1:11" ht="15" customHeight="1" x14ac:dyDescent="0.2">
      <c r="A79" s="194"/>
      <c r="B79" s="194"/>
      <c r="C79" s="197"/>
      <c r="D79" s="40"/>
      <c r="E79" s="41" t="s">
        <v>183</v>
      </c>
      <c r="F79" s="42"/>
      <c r="G79" s="42"/>
      <c r="H79" s="42"/>
      <c r="I79" s="40"/>
      <c r="J79" s="42"/>
      <c r="K79" s="42"/>
    </row>
    <row r="80" spans="1:11" ht="15" customHeight="1" x14ac:dyDescent="0.2">
      <c r="A80" s="194"/>
      <c r="B80" s="194"/>
      <c r="C80" s="197"/>
      <c r="D80" s="40"/>
      <c r="E80" s="41" t="s">
        <v>184</v>
      </c>
      <c r="F80" s="42"/>
      <c r="G80" s="42"/>
      <c r="H80" s="42"/>
      <c r="I80" s="40"/>
      <c r="J80" s="42"/>
      <c r="K80" s="42"/>
    </row>
    <row r="81" spans="1:11" ht="15" customHeight="1" x14ac:dyDescent="0.2">
      <c r="A81" s="194"/>
      <c r="B81" s="195"/>
      <c r="C81" s="197"/>
      <c r="D81" s="40"/>
      <c r="E81" s="41" t="s">
        <v>185</v>
      </c>
      <c r="F81" s="42"/>
      <c r="G81" s="42"/>
      <c r="H81" s="42"/>
      <c r="I81" s="40"/>
      <c r="J81" s="42"/>
      <c r="K81" s="42"/>
    </row>
    <row r="82" spans="1:11" ht="15" customHeight="1" x14ac:dyDescent="0.2">
      <c r="A82" s="194"/>
      <c r="B82" s="195" t="s">
        <v>186</v>
      </c>
      <c r="C82" s="42" t="s">
        <v>187</v>
      </c>
      <c r="D82" s="40" t="s">
        <v>188</v>
      </c>
      <c r="E82" s="41"/>
      <c r="F82" s="42"/>
      <c r="G82" s="42"/>
      <c r="H82" s="42"/>
      <c r="I82" s="40"/>
      <c r="J82" s="42"/>
      <c r="K82" s="42"/>
    </row>
    <row r="83" spans="1:11" ht="15" customHeight="1" x14ac:dyDescent="0.2">
      <c r="A83" s="194"/>
      <c r="B83" s="194"/>
      <c r="C83" s="42" t="s">
        <v>189</v>
      </c>
      <c r="D83" s="40" t="s">
        <v>190</v>
      </c>
      <c r="E83" s="41"/>
      <c r="F83" s="42"/>
      <c r="G83" s="42"/>
      <c r="H83" s="42"/>
      <c r="I83" s="40"/>
      <c r="J83" s="42"/>
      <c r="K83" s="42"/>
    </row>
    <row r="84" spans="1:11" ht="15" customHeight="1" x14ac:dyDescent="0.2">
      <c r="A84" s="194"/>
      <c r="B84" s="194"/>
      <c r="C84" s="42" t="s">
        <v>191</v>
      </c>
      <c r="D84" s="40" t="s">
        <v>192</v>
      </c>
      <c r="E84" s="41"/>
      <c r="F84" s="42"/>
      <c r="G84" s="42"/>
      <c r="H84" s="42"/>
      <c r="I84" s="40"/>
      <c r="J84" s="42"/>
      <c r="K84" s="42"/>
    </row>
    <row r="85" spans="1:11" ht="15" customHeight="1" x14ac:dyDescent="0.2">
      <c r="A85" s="194"/>
      <c r="B85" s="194"/>
      <c r="C85" s="42" t="s">
        <v>193</v>
      </c>
      <c r="D85" s="40" t="s">
        <v>194</v>
      </c>
      <c r="E85" s="41"/>
      <c r="F85" s="42"/>
      <c r="G85" s="42"/>
      <c r="H85" s="42"/>
      <c r="I85" s="40"/>
      <c r="J85" s="42"/>
      <c r="K85" s="42"/>
    </row>
    <row r="86" spans="1:11" ht="15" customHeight="1" x14ac:dyDescent="0.2">
      <c r="A86" s="194"/>
      <c r="B86" s="195"/>
      <c r="C86" s="42" t="s">
        <v>195</v>
      </c>
      <c r="D86" s="40" t="s">
        <v>196</v>
      </c>
      <c r="E86" s="41"/>
      <c r="F86" s="42"/>
      <c r="G86" s="42"/>
      <c r="H86" s="42"/>
      <c r="I86" s="40"/>
      <c r="J86" s="42"/>
      <c r="K86" s="42"/>
    </row>
    <row r="87" spans="1:11" ht="15" customHeight="1" x14ac:dyDescent="0.2">
      <c r="A87" s="198" t="s">
        <v>197</v>
      </c>
      <c r="B87" s="199" t="s">
        <v>198</v>
      </c>
      <c r="C87" s="200" t="s">
        <v>199</v>
      </c>
      <c r="D87" s="44" t="s">
        <v>200</v>
      </c>
      <c r="E87" s="45" t="s">
        <v>201</v>
      </c>
      <c r="F87" s="46"/>
      <c r="G87" s="46"/>
      <c r="H87" s="46"/>
      <c r="I87" s="44"/>
      <c r="J87" s="46"/>
      <c r="K87" s="46"/>
    </row>
    <row r="88" spans="1:11" ht="15" customHeight="1" x14ac:dyDescent="0.2">
      <c r="A88" s="198"/>
      <c r="B88" s="198"/>
      <c r="C88" s="200"/>
      <c r="D88" s="44"/>
      <c r="E88" s="45" t="s">
        <v>202</v>
      </c>
      <c r="F88" s="46"/>
      <c r="G88" s="46"/>
      <c r="H88" s="46"/>
      <c r="I88" s="44"/>
      <c r="J88" s="46"/>
      <c r="K88" s="46"/>
    </row>
    <row r="89" spans="1:11" ht="15" customHeight="1" x14ac:dyDescent="0.2">
      <c r="A89" s="198"/>
      <c r="B89" s="198"/>
      <c r="C89" s="200"/>
      <c r="D89" s="44"/>
      <c r="E89" s="45" t="s">
        <v>203</v>
      </c>
      <c r="F89" s="46"/>
      <c r="G89" s="46"/>
      <c r="H89" s="46"/>
      <c r="I89" s="44"/>
      <c r="J89" s="46"/>
      <c r="K89" s="46"/>
    </row>
    <row r="90" spans="1:11" ht="15" customHeight="1" x14ac:dyDescent="0.2">
      <c r="A90" s="198"/>
      <c r="B90" s="198"/>
      <c r="C90" s="200"/>
      <c r="D90" s="44"/>
      <c r="E90" s="45" t="s">
        <v>204</v>
      </c>
      <c r="F90" s="46"/>
      <c r="G90" s="46"/>
      <c r="H90" s="46"/>
      <c r="I90" s="44"/>
      <c r="J90" s="46"/>
      <c r="K90" s="46"/>
    </row>
    <row r="91" spans="1:11" ht="15" customHeight="1" x14ac:dyDescent="0.2">
      <c r="A91" s="198"/>
      <c r="B91" s="198"/>
      <c r="C91" s="200"/>
      <c r="D91" s="44"/>
      <c r="E91" s="45" t="s">
        <v>205</v>
      </c>
      <c r="F91" s="46"/>
      <c r="G91" s="46"/>
      <c r="H91" s="46"/>
      <c r="I91" s="44"/>
      <c r="J91" s="46"/>
      <c r="K91" s="46"/>
    </row>
    <row r="92" spans="1:11" ht="15" customHeight="1" x14ac:dyDescent="0.2">
      <c r="A92" s="198"/>
      <c r="B92" s="198"/>
      <c r="C92" s="201" t="s">
        <v>206</v>
      </c>
      <c r="D92" s="44" t="s">
        <v>207</v>
      </c>
      <c r="E92" s="45" t="s">
        <v>208</v>
      </c>
      <c r="F92" s="46"/>
      <c r="G92" s="46"/>
      <c r="H92" s="46"/>
      <c r="I92" s="44"/>
      <c r="J92" s="46"/>
      <c r="K92" s="46"/>
    </row>
    <row r="93" spans="1:11" ht="15" customHeight="1" x14ac:dyDescent="0.2">
      <c r="A93" s="198"/>
      <c r="B93" s="198"/>
      <c r="C93" s="201"/>
      <c r="D93" s="44"/>
      <c r="E93" s="45" t="s">
        <v>209</v>
      </c>
      <c r="F93" s="46"/>
      <c r="G93" s="46"/>
      <c r="H93" s="46"/>
      <c r="I93" s="44"/>
      <c r="J93" s="46"/>
      <c r="K93" s="46"/>
    </row>
    <row r="94" spans="1:11" ht="15" customHeight="1" x14ac:dyDescent="0.2">
      <c r="A94" s="198"/>
      <c r="B94" s="198"/>
      <c r="C94" s="201"/>
      <c r="D94" s="44"/>
      <c r="E94" s="45" t="s">
        <v>210</v>
      </c>
      <c r="F94" s="46"/>
      <c r="G94" s="46"/>
      <c r="H94" s="46"/>
      <c r="I94" s="44"/>
      <c r="J94" s="46"/>
      <c r="K94" s="46"/>
    </row>
    <row r="95" spans="1:11" ht="15" customHeight="1" x14ac:dyDescent="0.2">
      <c r="A95" s="198"/>
      <c r="B95" s="198"/>
      <c r="C95" s="201" t="s">
        <v>211</v>
      </c>
      <c r="D95" s="44" t="s">
        <v>212</v>
      </c>
      <c r="E95" s="45" t="s">
        <v>213</v>
      </c>
      <c r="F95" s="46"/>
      <c r="G95" s="46"/>
      <c r="H95" s="46"/>
      <c r="I95" s="44"/>
      <c r="J95" s="46"/>
      <c r="K95" s="46"/>
    </row>
    <row r="96" spans="1:11" ht="15" customHeight="1" x14ac:dyDescent="0.2">
      <c r="A96" s="198"/>
      <c r="B96" s="198"/>
      <c r="C96" s="201"/>
      <c r="D96" s="44"/>
      <c r="E96" s="45" t="s">
        <v>214</v>
      </c>
      <c r="F96" s="46"/>
      <c r="G96" s="46"/>
      <c r="H96" s="46"/>
      <c r="I96" s="44"/>
      <c r="J96" s="46"/>
      <c r="K96" s="46"/>
    </row>
    <row r="97" spans="1:11" ht="15" customHeight="1" x14ac:dyDescent="0.2">
      <c r="A97" s="198"/>
      <c r="B97" s="198"/>
      <c r="C97" s="201"/>
      <c r="D97" s="44"/>
      <c r="E97" s="45" t="s">
        <v>215</v>
      </c>
      <c r="F97" s="46"/>
      <c r="G97" s="46"/>
      <c r="H97" s="46"/>
      <c r="I97" s="44"/>
      <c r="J97" s="46"/>
      <c r="K97" s="46"/>
    </row>
    <row r="98" spans="1:11" ht="15" customHeight="1" x14ac:dyDescent="0.2">
      <c r="A98" s="198"/>
      <c r="B98" s="198"/>
      <c r="C98" s="201" t="s">
        <v>216</v>
      </c>
      <c r="D98" s="44" t="s">
        <v>217</v>
      </c>
      <c r="E98" s="45" t="s">
        <v>218</v>
      </c>
      <c r="F98" s="46"/>
      <c r="G98" s="46"/>
      <c r="H98" s="46"/>
      <c r="I98" s="44"/>
      <c r="J98" s="46"/>
      <c r="K98" s="46"/>
    </row>
    <row r="99" spans="1:11" ht="15" customHeight="1" x14ac:dyDescent="0.2">
      <c r="A99" s="198"/>
      <c r="B99" s="198"/>
      <c r="C99" s="201"/>
      <c r="D99" s="44"/>
      <c r="E99" s="45" t="s">
        <v>210</v>
      </c>
      <c r="F99" s="46"/>
      <c r="G99" s="46"/>
      <c r="H99" s="46"/>
      <c r="I99" s="44"/>
      <c r="J99" s="46"/>
      <c r="K99" s="46"/>
    </row>
    <row r="100" spans="1:11" ht="15" customHeight="1" x14ac:dyDescent="0.2">
      <c r="A100" s="198"/>
      <c r="B100" s="198"/>
      <c r="C100" s="201"/>
      <c r="D100" s="44"/>
      <c r="E100" s="45" t="s">
        <v>219</v>
      </c>
      <c r="F100" s="46"/>
      <c r="G100" s="46"/>
      <c r="H100" s="46"/>
      <c r="I100" s="44"/>
      <c r="J100" s="46"/>
      <c r="K100" s="46"/>
    </row>
    <row r="101" spans="1:11" ht="15" customHeight="1" x14ac:dyDescent="0.2">
      <c r="A101" s="198"/>
      <c r="B101" s="198"/>
      <c r="C101" s="201"/>
      <c r="D101" s="44"/>
      <c r="E101" s="45" t="s">
        <v>208</v>
      </c>
      <c r="F101" s="46"/>
      <c r="G101" s="46"/>
      <c r="H101" s="46"/>
      <c r="I101" s="44"/>
      <c r="J101" s="46"/>
      <c r="K101" s="46"/>
    </row>
    <row r="102" spans="1:11" ht="15" customHeight="1" x14ac:dyDescent="0.2">
      <c r="A102" s="198"/>
      <c r="B102" s="198"/>
      <c r="C102" s="201"/>
      <c r="D102" s="44"/>
      <c r="E102" s="45" t="s">
        <v>220</v>
      </c>
      <c r="F102" s="46"/>
      <c r="G102" s="46"/>
      <c r="H102" s="46"/>
      <c r="I102" s="44"/>
      <c r="J102" s="46"/>
      <c r="K102" s="46"/>
    </row>
    <row r="103" spans="1:11" ht="15" customHeight="1" x14ac:dyDescent="0.2">
      <c r="A103" s="198"/>
      <c r="B103" s="198"/>
      <c r="C103" s="201"/>
      <c r="D103" s="44"/>
      <c r="E103" s="45" t="s">
        <v>221</v>
      </c>
      <c r="F103" s="46"/>
      <c r="G103" s="46"/>
      <c r="H103" s="46"/>
      <c r="I103" s="44"/>
      <c r="J103" s="46"/>
      <c r="K103" s="46"/>
    </row>
    <row r="104" spans="1:11" ht="15" customHeight="1" x14ac:dyDescent="0.2">
      <c r="A104" s="198"/>
      <c r="B104" s="198"/>
      <c r="C104" s="201"/>
      <c r="D104" s="44"/>
      <c r="E104" s="45" t="s">
        <v>209</v>
      </c>
      <c r="F104" s="46"/>
      <c r="G104" s="46"/>
      <c r="H104" s="46"/>
      <c r="I104" s="44"/>
      <c r="J104" s="46"/>
      <c r="K104" s="46"/>
    </row>
    <row r="105" spans="1:11" ht="15" customHeight="1" x14ac:dyDescent="0.2">
      <c r="A105" s="198"/>
      <c r="B105" s="198"/>
      <c r="C105" s="201"/>
      <c r="D105" s="44"/>
      <c r="E105" s="45" t="s">
        <v>222</v>
      </c>
      <c r="F105" s="46"/>
      <c r="G105" s="46"/>
      <c r="H105" s="46"/>
      <c r="I105" s="44"/>
      <c r="J105" s="46"/>
      <c r="K105" s="46"/>
    </row>
    <row r="106" spans="1:11" ht="15" customHeight="1" x14ac:dyDescent="0.2">
      <c r="A106" s="198"/>
      <c r="B106" s="198"/>
      <c r="C106" s="201"/>
      <c r="D106" s="44"/>
      <c r="E106" s="45" t="s">
        <v>223</v>
      </c>
      <c r="F106" s="46"/>
      <c r="G106" s="46"/>
      <c r="H106" s="46"/>
      <c r="I106" s="44"/>
      <c r="J106" s="46"/>
      <c r="K106" s="46"/>
    </row>
    <row r="107" spans="1:11" ht="15" customHeight="1" x14ac:dyDescent="0.2">
      <c r="A107" s="198"/>
      <c r="B107" s="198"/>
      <c r="C107" s="201" t="s">
        <v>224</v>
      </c>
      <c r="D107" s="44" t="s">
        <v>225</v>
      </c>
      <c r="E107" s="45" t="s">
        <v>226</v>
      </c>
      <c r="F107" s="46"/>
      <c r="G107" s="46"/>
      <c r="H107" s="46"/>
      <c r="I107" s="44"/>
      <c r="J107" s="46"/>
      <c r="K107" s="46"/>
    </row>
    <row r="108" spans="1:11" ht="15" customHeight="1" x14ac:dyDescent="0.2">
      <c r="A108" s="198"/>
      <c r="B108" s="198"/>
      <c r="C108" s="201"/>
      <c r="D108" s="44"/>
      <c r="E108" s="45" t="s">
        <v>227</v>
      </c>
      <c r="F108" s="46"/>
      <c r="G108" s="46"/>
      <c r="H108" s="46"/>
      <c r="I108" s="44"/>
      <c r="J108" s="46"/>
      <c r="K108" s="46"/>
    </row>
    <row r="109" spans="1:11" ht="15" customHeight="1" x14ac:dyDescent="0.2">
      <c r="A109" s="198"/>
      <c r="B109" s="198"/>
      <c r="C109" s="201"/>
      <c r="D109" s="44"/>
      <c r="E109" s="45" t="s">
        <v>228</v>
      </c>
      <c r="F109" s="46"/>
      <c r="G109" s="46"/>
      <c r="H109" s="46"/>
      <c r="I109" s="44"/>
      <c r="J109" s="46"/>
      <c r="K109" s="46"/>
    </row>
    <row r="110" spans="1:11" ht="15" customHeight="1" x14ac:dyDescent="0.2">
      <c r="A110" s="198"/>
      <c r="B110" s="198"/>
      <c r="C110" s="201"/>
      <c r="D110" s="44"/>
      <c r="E110" s="45" t="s">
        <v>229</v>
      </c>
      <c r="F110" s="46"/>
      <c r="G110" s="46"/>
      <c r="H110" s="46"/>
      <c r="I110" s="44"/>
      <c r="J110" s="46"/>
      <c r="K110" s="46"/>
    </row>
    <row r="111" spans="1:11" ht="15" customHeight="1" x14ac:dyDescent="0.2">
      <c r="A111" s="198"/>
      <c r="B111" s="198"/>
      <c r="C111" s="201"/>
      <c r="D111" s="44"/>
      <c r="E111" s="45" t="s">
        <v>230</v>
      </c>
      <c r="F111" s="46"/>
      <c r="G111" s="46"/>
      <c r="H111" s="46"/>
      <c r="I111" s="44"/>
      <c r="J111" s="46"/>
      <c r="K111" s="46"/>
    </row>
    <row r="112" spans="1:11" ht="15" customHeight="1" x14ac:dyDescent="0.2">
      <c r="A112" s="198"/>
      <c r="B112" s="198"/>
      <c r="C112" s="201"/>
      <c r="D112" s="44"/>
      <c r="E112" s="45" t="s">
        <v>231</v>
      </c>
      <c r="F112" s="46"/>
      <c r="G112" s="46"/>
      <c r="H112" s="46"/>
      <c r="I112" s="44"/>
      <c r="J112" s="46"/>
      <c r="K112" s="46"/>
    </row>
    <row r="113" spans="1:11" ht="27.75" customHeight="1" x14ac:dyDescent="0.2">
      <c r="A113" s="198"/>
      <c r="B113" s="198"/>
      <c r="C113" s="201" t="s">
        <v>232</v>
      </c>
      <c r="D113" s="44" t="s">
        <v>233</v>
      </c>
      <c r="E113" s="45" t="s">
        <v>234</v>
      </c>
      <c r="F113" s="46"/>
      <c r="G113" s="46"/>
      <c r="H113" s="46"/>
      <c r="I113" s="44"/>
      <c r="J113" s="46"/>
      <c r="K113" s="46"/>
    </row>
    <row r="114" spans="1:11" ht="15" customHeight="1" x14ac:dyDescent="0.2">
      <c r="A114" s="198"/>
      <c r="B114" s="198"/>
      <c r="C114" s="201"/>
      <c r="D114" s="44"/>
      <c r="E114" s="45" t="s">
        <v>235</v>
      </c>
      <c r="F114" s="46"/>
      <c r="G114" s="46"/>
      <c r="H114" s="46"/>
      <c r="I114" s="44"/>
      <c r="J114" s="46"/>
      <c r="K114" s="46"/>
    </row>
    <row r="115" spans="1:11" ht="15" customHeight="1" x14ac:dyDescent="0.2">
      <c r="A115" s="198"/>
      <c r="B115" s="199"/>
      <c r="C115" s="46" t="s">
        <v>236</v>
      </c>
      <c r="D115" s="44" t="s">
        <v>237</v>
      </c>
      <c r="E115" s="45"/>
      <c r="F115" s="46"/>
      <c r="G115" s="46"/>
      <c r="H115" s="46"/>
      <c r="I115" s="44"/>
      <c r="J115" s="47"/>
      <c r="K115" s="47"/>
    </row>
    <row r="116" spans="1:11" ht="15" customHeight="1" x14ac:dyDescent="0.2">
      <c r="A116" s="198"/>
      <c r="B116" s="199" t="s">
        <v>238</v>
      </c>
      <c r="C116" s="201" t="s">
        <v>239</v>
      </c>
      <c r="D116" s="44" t="s">
        <v>240</v>
      </c>
      <c r="E116" s="45" t="s">
        <v>241</v>
      </c>
      <c r="F116" s="46"/>
      <c r="G116" s="46"/>
      <c r="H116" s="46"/>
      <c r="I116" s="44"/>
      <c r="J116" s="46"/>
      <c r="K116" s="46"/>
    </row>
    <row r="117" spans="1:11" ht="15" customHeight="1" x14ac:dyDescent="0.2">
      <c r="A117" s="198"/>
      <c r="B117" s="198"/>
      <c r="C117" s="201"/>
      <c r="D117" s="44"/>
      <c r="E117" s="45" t="s">
        <v>242</v>
      </c>
      <c r="F117" s="46"/>
      <c r="G117" s="46"/>
      <c r="H117" s="46"/>
      <c r="I117" s="44"/>
      <c r="J117" s="46"/>
      <c r="K117" s="46"/>
    </row>
    <row r="118" spans="1:11" ht="15" customHeight="1" x14ac:dyDescent="0.2">
      <c r="A118" s="198"/>
      <c r="B118" s="198"/>
      <c r="C118" s="201"/>
      <c r="D118" s="44"/>
      <c r="E118" s="45" t="s">
        <v>243</v>
      </c>
      <c r="F118" s="46"/>
      <c r="G118" s="46"/>
      <c r="H118" s="46"/>
      <c r="I118" s="44"/>
      <c r="J118" s="46"/>
      <c r="K118" s="46"/>
    </row>
    <row r="119" spans="1:11" ht="15" customHeight="1" x14ac:dyDescent="0.2">
      <c r="A119" s="198"/>
      <c r="B119" s="198"/>
      <c r="C119" s="46" t="s">
        <v>244</v>
      </c>
      <c r="D119" s="44" t="s">
        <v>245</v>
      </c>
      <c r="E119" s="45" t="s">
        <v>246</v>
      </c>
      <c r="F119" s="46"/>
      <c r="G119" s="46"/>
      <c r="H119" s="46"/>
      <c r="I119" s="44"/>
      <c r="J119" s="46"/>
      <c r="K119" s="46"/>
    </row>
    <row r="120" spans="1:11" ht="15" customHeight="1" x14ac:dyDescent="0.2">
      <c r="A120" s="198"/>
      <c r="B120" s="199"/>
      <c r="C120" s="46" t="s">
        <v>247</v>
      </c>
      <c r="D120" s="44" t="s">
        <v>248</v>
      </c>
      <c r="E120" s="45"/>
      <c r="F120" s="46"/>
      <c r="G120" s="46"/>
      <c r="H120" s="46"/>
      <c r="I120" s="44"/>
      <c r="J120" s="47"/>
      <c r="K120" s="47"/>
    </row>
    <row r="121" spans="1:11" ht="15" customHeight="1" x14ac:dyDescent="0.2">
      <c r="A121" s="202" t="s">
        <v>249</v>
      </c>
      <c r="B121" s="203" t="s">
        <v>250</v>
      </c>
      <c r="C121" s="48" t="s">
        <v>251</v>
      </c>
      <c r="D121" s="49" t="s">
        <v>252</v>
      </c>
      <c r="E121" s="50"/>
      <c r="F121" s="48"/>
      <c r="G121" s="48"/>
      <c r="H121" s="48"/>
      <c r="I121" s="49"/>
      <c r="J121" s="48"/>
      <c r="K121" s="48"/>
    </row>
    <row r="122" spans="1:11" ht="15" customHeight="1" x14ac:dyDescent="0.2">
      <c r="A122" s="202"/>
      <c r="B122" s="202"/>
      <c r="C122" s="48" t="s">
        <v>253</v>
      </c>
      <c r="D122" s="49" t="s">
        <v>254</v>
      </c>
      <c r="E122" s="50"/>
      <c r="F122" s="48"/>
      <c r="G122" s="48"/>
      <c r="H122" s="48"/>
      <c r="I122" s="49"/>
      <c r="J122" s="48"/>
      <c r="K122" s="48"/>
    </row>
    <row r="123" spans="1:11" ht="15" customHeight="1" x14ac:dyDescent="0.2">
      <c r="A123" s="202"/>
      <c r="B123" s="202"/>
      <c r="C123" s="48" t="s">
        <v>255</v>
      </c>
      <c r="D123" s="49" t="s">
        <v>256</v>
      </c>
      <c r="E123" s="50"/>
      <c r="F123" s="48"/>
      <c r="G123" s="48"/>
      <c r="H123" s="48"/>
      <c r="I123" s="49"/>
      <c r="J123" s="48"/>
      <c r="K123" s="48"/>
    </row>
    <row r="124" spans="1:11" ht="15" customHeight="1" x14ac:dyDescent="0.2">
      <c r="A124" s="202"/>
      <c r="B124" s="202"/>
      <c r="C124" s="48" t="s">
        <v>257</v>
      </c>
      <c r="D124" s="49" t="s">
        <v>258</v>
      </c>
      <c r="E124" s="50"/>
      <c r="F124" s="48"/>
      <c r="G124" s="48"/>
      <c r="H124" s="48"/>
      <c r="I124" s="49"/>
      <c r="J124" s="48"/>
      <c r="K124" s="48"/>
    </row>
    <row r="125" spans="1:11" ht="15" customHeight="1" x14ac:dyDescent="0.2">
      <c r="A125" s="202"/>
      <c r="B125" s="202"/>
      <c r="C125" s="48" t="s">
        <v>259</v>
      </c>
      <c r="D125" s="49" t="s">
        <v>260</v>
      </c>
      <c r="E125" s="50"/>
      <c r="F125" s="48"/>
      <c r="G125" s="48"/>
      <c r="H125" s="48"/>
      <c r="I125" s="49"/>
      <c r="J125" s="48"/>
      <c r="K125" s="48"/>
    </row>
    <row r="126" spans="1:11" ht="15" customHeight="1" x14ac:dyDescent="0.2">
      <c r="A126" s="202"/>
      <c r="B126" s="202"/>
      <c r="C126" s="48" t="s">
        <v>261</v>
      </c>
      <c r="D126" s="49" t="s">
        <v>262</v>
      </c>
      <c r="E126" s="50"/>
      <c r="F126" s="48"/>
      <c r="G126" s="48"/>
      <c r="H126" s="48"/>
      <c r="I126" s="49"/>
      <c r="J126" s="48"/>
      <c r="K126" s="48"/>
    </row>
    <row r="127" spans="1:11" ht="15" customHeight="1" x14ac:dyDescent="0.2">
      <c r="A127" s="202"/>
      <c r="B127" s="202"/>
      <c r="C127" s="48" t="s">
        <v>263</v>
      </c>
      <c r="D127" s="49" t="s">
        <v>264</v>
      </c>
      <c r="E127" s="50"/>
      <c r="F127" s="48"/>
      <c r="G127" s="48"/>
      <c r="H127" s="48"/>
      <c r="I127" s="49"/>
      <c r="J127" s="48"/>
      <c r="K127" s="48"/>
    </row>
    <row r="128" spans="1:11" ht="15" customHeight="1" x14ac:dyDescent="0.2">
      <c r="A128" s="202"/>
      <c r="B128" s="202"/>
      <c r="C128" s="48" t="s">
        <v>265</v>
      </c>
      <c r="D128" s="49" t="s">
        <v>266</v>
      </c>
      <c r="E128" s="50"/>
      <c r="F128" s="48"/>
      <c r="G128" s="48"/>
      <c r="H128" s="48"/>
      <c r="I128" s="49"/>
      <c r="J128" s="48"/>
      <c r="K128" s="48"/>
    </row>
    <row r="129" spans="1:11" ht="15" customHeight="1" x14ac:dyDescent="0.2">
      <c r="A129" s="202"/>
      <c r="B129" s="203"/>
      <c r="C129" s="48" t="s">
        <v>267</v>
      </c>
      <c r="D129" s="49" t="s">
        <v>268</v>
      </c>
      <c r="E129" s="50"/>
      <c r="F129" s="48"/>
      <c r="G129" s="48"/>
      <c r="H129" s="48"/>
      <c r="I129" s="49"/>
      <c r="J129" s="48"/>
      <c r="K129" s="48"/>
    </row>
    <row r="130" spans="1:11" ht="15" customHeight="1" x14ac:dyDescent="0.2">
      <c r="A130" s="202"/>
      <c r="B130" s="203" t="s">
        <v>269</v>
      </c>
      <c r="C130" s="204" t="s">
        <v>270</v>
      </c>
      <c r="D130" s="49" t="s">
        <v>271</v>
      </c>
      <c r="E130" s="50" t="s">
        <v>272</v>
      </c>
      <c r="F130" s="48"/>
      <c r="G130" s="48"/>
      <c r="H130" s="48"/>
      <c r="I130" s="49"/>
      <c r="J130" s="48"/>
      <c r="K130" s="48"/>
    </row>
    <row r="131" spans="1:11" ht="15" customHeight="1" x14ac:dyDescent="0.2">
      <c r="A131" s="202"/>
      <c r="B131" s="202"/>
      <c r="C131" s="204"/>
      <c r="D131" s="49"/>
      <c r="E131" s="50" t="s">
        <v>273</v>
      </c>
      <c r="F131" s="48"/>
      <c r="G131" s="48"/>
      <c r="H131" s="48"/>
      <c r="I131" s="49"/>
      <c r="J131" s="48"/>
      <c r="K131" s="48"/>
    </row>
    <row r="132" spans="1:11" ht="15" customHeight="1" x14ac:dyDescent="0.2">
      <c r="A132" s="202"/>
      <c r="B132" s="202"/>
      <c r="C132" s="204"/>
      <c r="D132" s="49"/>
      <c r="E132" s="50" t="s">
        <v>274</v>
      </c>
      <c r="F132" s="48"/>
      <c r="G132" s="48"/>
      <c r="H132" s="48"/>
      <c r="I132" s="49"/>
      <c r="J132" s="48"/>
      <c r="K132" s="48"/>
    </row>
    <row r="133" spans="1:11" ht="15" customHeight="1" x14ac:dyDescent="0.2">
      <c r="A133" s="202"/>
      <c r="B133" s="202"/>
      <c r="C133" s="48" t="s">
        <v>275</v>
      </c>
      <c r="D133" s="49" t="s">
        <v>276</v>
      </c>
      <c r="E133" s="50" t="s">
        <v>277</v>
      </c>
      <c r="F133" s="50"/>
      <c r="G133" s="50"/>
      <c r="H133" s="50"/>
      <c r="I133" s="49"/>
      <c r="J133" s="48"/>
      <c r="K133" s="48"/>
    </row>
    <row r="134" spans="1:11" ht="15" customHeight="1" x14ac:dyDescent="0.2">
      <c r="A134" s="202"/>
      <c r="B134" s="202"/>
      <c r="C134" s="204" t="s">
        <v>278</v>
      </c>
      <c r="D134" s="49" t="s">
        <v>279</v>
      </c>
      <c r="E134" s="50" t="s">
        <v>280</v>
      </c>
      <c r="F134" s="48"/>
      <c r="G134" s="48"/>
      <c r="H134" s="48"/>
      <c r="I134" s="49"/>
      <c r="J134" s="48"/>
      <c r="K134" s="48"/>
    </row>
    <row r="135" spans="1:11" ht="15" customHeight="1" x14ac:dyDescent="0.2">
      <c r="A135" s="202"/>
      <c r="B135" s="202"/>
      <c r="C135" s="204"/>
      <c r="D135" s="49"/>
      <c r="E135" s="50" t="s">
        <v>281</v>
      </c>
      <c r="F135" s="48"/>
      <c r="G135" s="48"/>
      <c r="H135" s="48"/>
      <c r="I135" s="49"/>
      <c r="J135" s="48"/>
      <c r="K135" s="48"/>
    </row>
    <row r="136" spans="1:11" ht="15" customHeight="1" x14ac:dyDescent="0.2">
      <c r="A136" s="202"/>
      <c r="B136" s="202"/>
      <c r="C136" s="204"/>
      <c r="D136" s="49"/>
      <c r="E136" s="50" t="s">
        <v>282</v>
      </c>
      <c r="F136" s="48"/>
      <c r="G136" s="48"/>
      <c r="H136" s="48"/>
      <c r="I136" s="49"/>
      <c r="J136" s="48"/>
      <c r="K136" s="48"/>
    </row>
    <row r="137" spans="1:11" ht="15" customHeight="1" x14ac:dyDescent="0.2">
      <c r="A137" s="202"/>
      <c r="B137" s="202"/>
      <c r="C137" s="204" t="s">
        <v>283</v>
      </c>
      <c r="D137" s="49" t="s">
        <v>284</v>
      </c>
      <c r="E137" s="50" t="s">
        <v>285</v>
      </c>
      <c r="F137" s="48"/>
      <c r="G137" s="48"/>
      <c r="H137" s="48"/>
      <c r="I137" s="49"/>
      <c r="J137" s="48"/>
      <c r="K137" s="48"/>
    </row>
    <row r="138" spans="1:11" ht="15" customHeight="1" x14ac:dyDescent="0.2">
      <c r="A138" s="202"/>
      <c r="B138" s="202"/>
      <c r="C138" s="204"/>
      <c r="D138" s="49"/>
      <c r="E138" s="50" t="s">
        <v>286</v>
      </c>
      <c r="F138" s="48"/>
      <c r="G138" s="48"/>
      <c r="H138" s="48"/>
      <c r="I138" s="49"/>
      <c r="J138" s="48"/>
      <c r="K138" s="48"/>
    </row>
    <row r="139" spans="1:11" ht="15" customHeight="1" x14ac:dyDescent="0.2">
      <c r="A139" s="202"/>
      <c r="B139" s="202"/>
      <c r="C139" s="48" t="s">
        <v>287</v>
      </c>
      <c r="D139" s="49" t="s">
        <v>288</v>
      </c>
      <c r="E139" s="50" t="s">
        <v>289</v>
      </c>
      <c r="F139" s="48"/>
      <c r="G139" s="48"/>
      <c r="H139" s="48"/>
      <c r="I139" s="49"/>
      <c r="J139" s="48"/>
      <c r="K139" s="48"/>
    </row>
    <row r="140" spans="1:11" ht="15" customHeight="1" x14ac:dyDescent="0.2">
      <c r="A140" s="202"/>
      <c r="B140" s="202"/>
      <c r="C140" s="204" t="s">
        <v>290</v>
      </c>
      <c r="D140" s="49" t="s">
        <v>291</v>
      </c>
      <c r="E140" s="50" t="s">
        <v>292</v>
      </c>
      <c r="F140" s="48"/>
      <c r="G140" s="48"/>
      <c r="H140" s="48"/>
      <c r="I140" s="49"/>
      <c r="J140" s="48"/>
      <c r="K140" s="48"/>
    </row>
    <row r="141" spans="1:11" ht="15" customHeight="1" x14ac:dyDescent="0.2">
      <c r="A141" s="202"/>
      <c r="B141" s="202"/>
      <c r="C141" s="204"/>
      <c r="D141" s="49"/>
      <c r="E141" s="50" t="s">
        <v>293</v>
      </c>
      <c r="F141" s="48"/>
      <c r="G141" s="48"/>
      <c r="H141" s="48"/>
      <c r="I141" s="49"/>
      <c r="J141" s="48"/>
      <c r="K141" s="48"/>
    </row>
    <row r="142" spans="1:11" ht="15" customHeight="1" x14ac:dyDescent="0.2">
      <c r="A142" s="202"/>
      <c r="B142" s="202"/>
      <c r="C142" s="204" t="s">
        <v>294</v>
      </c>
      <c r="D142" s="49" t="s">
        <v>295</v>
      </c>
      <c r="E142" s="50" t="s">
        <v>296</v>
      </c>
      <c r="F142" s="48"/>
      <c r="G142" s="48"/>
      <c r="H142" s="48"/>
      <c r="I142" s="49"/>
      <c r="J142" s="48"/>
      <c r="K142" s="48"/>
    </row>
    <row r="143" spans="1:11" ht="15" customHeight="1" x14ac:dyDescent="0.2">
      <c r="A143" s="202"/>
      <c r="B143" s="202"/>
      <c r="C143" s="204"/>
      <c r="D143" s="49"/>
      <c r="E143" s="50" t="s">
        <v>297</v>
      </c>
      <c r="F143" s="48"/>
      <c r="G143" s="48"/>
      <c r="H143" s="48"/>
      <c r="I143" s="49"/>
      <c r="J143" s="48"/>
      <c r="K143" s="48"/>
    </row>
    <row r="144" spans="1:11" ht="15" customHeight="1" x14ac:dyDescent="0.2">
      <c r="A144" s="202"/>
      <c r="B144" s="202"/>
      <c r="C144" s="204"/>
      <c r="D144" s="49"/>
      <c r="E144" s="50" t="s">
        <v>298</v>
      </c>
      <c r="F144" s="48"/>
      <c r="G144" s="48"/>
      <c r="H144" s="48"/>
      <c r="I144" s="49"/>
      <c r="J144" s="48"/>
      <c r="K144" s="48"/>
    </row>
    <row r="145" spans="1:11" ht="15" customHeight="1" x14ac:dyDescent="0.2">
      <c r="A145" s="202"/>
      <c r="B145" s="203"/>
      <c r="C145" s="204"/>
      <c r="D145" s="49"/>
      <c r="E145" s="50" t="s">
        <v>299</v>
      </c>
      <c r="F145" s="48"/>
      <c r="G145" s="48"/>
      <c r="H145" s="48"/>
      <c r="I145" s="49"/>
      <c r="J145" s="48"/>
      <c r="K145" s="48"/>
    </row>
    <row r="146" spans="1:11" ht="15" customHeight="1" x14ac:dyDescent="0.2">
      <c r="A146" s="202"/>
      <c r="B146" s="203" t="s">
        <v>300</v>
      </c>
      <c r="C146" s="48" t="s">
        <v>301</v>
      </c>
      <c r="D146" s="49" t="s">
        <v>302</v>
      </c>
      <c r="E146" s="50"/>
      <c r="F146" s="48"/>
      <c r="G146" s="48"/>
      <c r="H146" s="48"/>
      <c r="I146" s="49"/>
      <c r="J146" s="48"/>
      <c r="K146" s="48"/>
    </row>
    <row r="147" spans="1:11" ht="15" customHeight="1" x14ac:dyDescent="0.2">
      <c r="A147" s="202"/>
      <c r="B147" s="202"/>
      <c r="C147" s="48" t="s">
        <v>303</v>
      </c>
      <c r="D147" s="49" t="s">
        <v>304</v>
      </c>
      <c r="E147" s="50"/>
      <c r="F147" s="48"/>
      <c r="G147" s="48"/>
      <c r="H147" s="48"/>
      <c r="I147" s="49"/>
      <c r="J147" s="51"/>
      <c r="K147" s="51"/>
    </row>
    <row r="148" spans="1:11" ht="15" customHeight="1" x14ac:dyDescent="0.2">
      <c r="A148" s="202"/>
      <c r="B148" s="202"/>
      <c r="C148" s="48" t="s">
        <v>305</v>
      </c>
      <c r="D148" s="49" t="s">
        <v>306</v>
      </c>
      <c r="E148" s="50" t="s">
        <v>947</v>
      </c>
      <c r="F148" s="48"/>
      <c r="G148" s="48"/>
      <c r="H148" s="48"/>
      <c r="I148" s="49"/>
      <c r="J148" s="48"/>
      <c r="K148" s="48"/>
    </row>
    <row r="149" spans="1:11" ht="15" customHeight="1" x14ac:dyDescent="0.2">
      <c r="A149" s="202"/>
      <c r="B149" s="202"/>
      <c r="C149" s="48" t="s">
        <v>307</v>
      </c>
      <c r="D149" s="49" t="s">
        <v>308</v>
      </c>
      <c r="E149" s="50"/>
      <c r="F149" s="48"/>
      <c r="G149" s="48"/>
      <c r="H149" s="48"/>
      <c r="I149" s="49"/>
      <c r="J149" s="48"/>
      <c r="K149" s="48"/>
    </row>
    <row r="150" spans="1:11" ht="15" customHeight="1" x14ac:dyDescent="0.2">
      <c r="A150" s="202"/>
      <c r="B150" s="202"/>
      <c r="C150" s="48" t="s">
        <v>309</v>
      </c>
      <c r="D150" s="49" t="s">
        <v>310</v>
      </c>
      <c r="E150" s="50"/>
      <c r="F150" s="48"/>
      <c r="G150" s="48"/>
      <c r="H150" s="48"/>
      <c r="I150" s="49"/>
      <c r="J150" s="48"/>
      <c r="K150" s="48"/>
    </row>
    <row r="151" spans="1:11" ht="15" customHeight="1" x14ac:dyDescent="0.2">
      <c r="A151" s="202"/>
      <c r="B151" s="202"/>
      <c r="C151" s="48" t="s">
        <v>311</v>
      </c>
      <c r="D151" s="49" t="s">
        <v>312</v>
      </c>
      <c r="E151" s="50"/>
      <c r="F151" s="48"/>
      <c r="G151" s="48"/>
      <c r="H151" s="48"/>
      <c r="I151" s="49"/>
      <c r="J151" s="48"/>
      <c r="K151" s="48"/>
    </row>
    <row r="152" spans="1:11" ht="15" customHeight="1" x14ac:dyDescent="0.2">
      <c r="A152" s="202"/>
      <c r="B152" s="202"/>
      <c r="C152" s="48" t="s">
        <v>313</v>
      </c>
      <c r="D152" s="49" t="s">
        <v>314</v>
      </c>
      <c r="E152" s="50"/>
      <c r="F152" s="48"/>
      <c r="G152" s="48"/>
      <c r="H152" s="48"/>
      <c r="I152" s="49"/>
      <c r="J152" s="51"/>
      <c r="K152" s="51"/>
    </row>
    <row r="153" spans="1:11" ht="15" customHeight="1" x14ac:dyDescent="0.2">
      <c r="A153" s="202"/>
      <c r="B153" s="202"/>
      <c r="C153" s="48" t="s">
        <v>315</v>
      </c>
      <c r="D153" s="49" t="s">
        <v>316</v>
      </c>
      <c r="E153" s="50"/>
      <c r="F153" s="48"/>
      <c r="G153" s="48"/>
      <c r="H153" s="48"/>
      <c r="I153" s="49"/>
      <c r="J153" s="48"/>
      <c r="K153" s="48"/>
    </row>
    <row r="154" spans="1:11" ht="15" customHeight="1" x14ac:dyDescent="0.2">
      <c r="A154" s="202"/>
      <c r="B154" s="202"/>
      <c r="C154" s="48" t="s">
        <v>317</v>
      </c>
      <c r="D154" s="49" t="s">
        <v>318</v>
      </c>
      <c r="E154" s="50"/>
      <c r="F154" s="48"/>
      <c r="G154" s="48"/>
      <c r="H154" s="48"/>
      <c r="I154" s="49"/>
      <c r="J154" s="48"/>
      <c r="K154" s="48"/>
    </row>
    <row r="155" spans="1:11" ht="15" customHeight="1" x14ac:dyDescent="0.2">
      <c r="A155" s="202"/>
      <c r="B155" s="202"/>
      <c r="C155" s="48" t="s">
        <v>319</v>
      </c>
      <c r="D155" s="49" t="s">
        <v>320</v>
      </c>
      <c r="E155" s="50"/>
      <c r="F155" s="48"/>
      <c r="G155" s="48"/>
      <c r="H155" s="48"/>
      <c r="I155" s="49"/>
      <c r="J155" s="48"/>
      <c r="K155" s="48"/>
    </row>
    <row r="156" spans="1:11" ht="15" customHeight="1" x14ac:dyDescent="0.2">
      <c r="A156" s="202"/>
      <c r="B156" s="203"/>
      <c r="C156" s="48" t="s">
        <v>321</v>
      </c>
      <c r="D156" s="49" t="s">
        <v>322</v>
      </c>
      <c r="E156" s="50"/>
      <c r="F156" s="48"/>
      <c r="G156" s="48"/>
      <c r="H156" s="48"/>
      <c r="I156" s="49"/>
      <c r="J156" s="48"/>
      <c r="K156" s="48"/>
    </row>
    <row r="157" spans="1:11" ht="15" customHeight="1" x14ac:dyDescent="0.2">
      <c r="A157" s="202"/>
      <c r="B157" s="203" t="s">
        <v>323</v>
      </c>
      <c r="C157" s="48" t="s">
        <v>324</v>
      </c>
      <c r="D157" s="49" t="s">
        <v>325</v>
      </c>
      <c r="E157" s="50"/>
      <c r="F157" s="48"/>
      <c r="G157" s="48"/>
      <c r="H157" s="48"/>
      <c r="I157" s="49"/>
      <c r="J157" s="48"/>
      <c r="K157" s="48"/>
    </row>
    <row r="158" spans="1:11" ht="15" customHeight="1" x14ac:dyDescent="0.2">
      <c r="A158" s="202"/>
      <c r="B158" s="202"/>
      <c r="C158" s="48" t="s">
        <v>326</v>
      </c>
      <c r="D158" s="49" t="s">
        <v>327</v>
      </c>
      <c r="E158" s="50"/>
      <c r="F158" s="48"/>
      <c r="G158" s="48"/>
      <c r="H158" s="48"/>
      <c r="I158" s="49"/>
      <c r="J158" s="48"/>
      <c r="K158" s="48"/>
    </row>
    <row r="159" spans="1:11" ht="15" customHeight="1" x14ac:dyDescent="0.2">
      <c r="A159" s="202"/>
      <c r="B159" s="202"/>
      <c r="C159" s="48" t="s">
        <v>328</v>
      </c>
      <c r="D159" s="49" t="s">
        <v>329</v>
      </c>
      <c r="E159" s="50"/>
      <c r="F159" s="48"/>
      <c r="G159" s="48"/>
      <c r="H159" s="48"/>
      <c r="I159" s="49"/>
      <c r="J159" s="51"/>
      <c r="K159" s="51"/>
    </row>
    <row r="160" spans="1:11" ht="15" customHeight="1" x14ac:dyDescent="0.2">
      <c r="A160" s="202"/>
      <c r="B160" s="203"/>
      <c r="C160" s="48" t="s">
        <v>330</v>
      </c>
      <c r="D160" s="49" t="s">
        <v>331</v>
      </c>
      <c r="E160" s="50"/>
      <c r="F160" s="48"/>
      <c r="G160" s="48"/>
      <c r="H160" s="48"/>
      <c r="I160" s="49"/>
      <c r="J160" s="51"/>
      <c r="K160" s="51"/>
    </row>
    <row r="161" spans="1:11" ht="15" customHeight="1" x14ac:dyDescent="0.2">
      <c r="A161" s="205" t="s">
        <v>332</v>
      </c>
      <c r="B161" s="206" t="s">
        <v>333</v>
      </c>
      <c r="C161" s="52" t="s">
        <v>334</v>
      </c>
      <c r="D161" s="53" t="s">
        <v>335</v>
      </c>
      <c r="E161" s="54" t="s">
        <v>336</v>
      </c>
      <c r="F161" s="52"/>
      <c r="G161" s="52"/>
      <c r="H161" s="52"/>
      <c r="I161" s="53"/>
      <c r="J161" s="52"/>
      <c r="K161" s="52"/>
    </row>
    <row r="162" spans="1:11" ht="15" customHeight="1" x14ac:dyDescent="0.2">
      <c r="A162" s="205"/>
      <c r="B162" s="205"/>
      <c r="C162" s="207" t="s">
        <v>337</v>
      </c>
      <c r="D162" s="53" t="s">
        <v>338</v>
      </c>
      <c r="E162" s="54" t="s">
        <v>339</v>
      </c>
      <c r="F162" s="52"/>
      <c r="G162" s="52"/>
      <c r="H162" s="52"/>
      <c r="I162" s="53"/>
      <c r="J162" s="52"/>
      <c r="K162" s="52"/>
    </row>
    <row r="163" spans="1:11" ht="15" customHeight="1" x14ac:dyDescent="0.2">
      <c r="A163" s="205"/>
      <c r="B163" s="205"/>
      <c r="C163" s="207"/>
      <c r="D163" s="53"/>
      <c r="E163" s="54" t="s">
        <v>340</v>
      </c>
      <c r="F163" s="52"/>
      <c r="G163" s="52"/>
      <c r="H163" s="52"/>
      <c r="I163" s="53"/>
      <c r="J163" s="52"/>
      <c r="K163" s="52"/>
    </row>
    <row r="164" spans="1:11" ht="15" customHeight="1" x14ac:dyDescent="0.2">
      <c r="A164" s="205"/>
      <c r="B164" s="205"/>
      <c r="C164" s="207"/>
      <c r="D164" s="53"/>
      <c r="E164" s="54" t="s">
        <v>341</v>
      </c>
      <c r="F164" s="52"/>
      <c r="G164" s="52"/>
      <c r="H164" s="52"/>
      <c r="I164" s="53"/>
      <c r="J164" s="52"/>
      <c r="K164" s="52"/>
    </row>
    <row r="165" spans="1:11" ht="15" customHeight="1" x14ac:dyDescent="0.2">
      <c r="A165" s="205"/>
      <c r="B165" s="205"/>
      <c r="C165" s="52" t="s">
        <v>342</v>
      </c>
      <c r="D165" s="53" t="s">
        <v>343</v>
      </c>
      <c r="E165" s="54" t="s">
        <v>344</v>
      </c>
      <c r="F165" s="52"/>
      <c r="G165" s="52"/>
      <c r="H165" s="52"/>
      <c r="I165" s="53"/>
      <c r="J165" s="52"/>
      <c r="K165" s="52"/>
    </row>
    <row r="166" spans="1:11" ht="15" customHeight="1" x14ac:dyDescent="0.2">
      <c r="A166" s="205"/>
      <c r="B166" s="205"/>
      <c r="C166" s="207" t="s">
        <v>345</v>
      </c>
      <c r="D166" s="53" t="s">
        <v>346</v>
      </c>
      <c r="E166" s="54" t="s">
        <v>347</v>
      </c>
      <c r="F166" s="52"/>
      <c r="G166" s="52"/>
      <c r="H166" s="52"/>
      <c r="I166" s="53"/>
      <c r="J166" s="52"/>
      <c r="K166" s="52"/>
    </row>
    <row r="167" spans="1:11" ht="15" customHeight="1" x14ac:dyDescent="0.2">
      <c r="A167" s="205"/>
      <c r="B167" s="205"/>
      <c r="C167" s="207"/>
      <c r="D167" s="53"/>
      <c r="E167" s="54" t="s">
        <v>348</v>
      </c>
      <c r="F167" s="52"/>
      <c r="G167" s="52"/>
      <c r="H167" s="52"/>
      <c r="I167" s="53"/>
      <c r="J167" s="52"/>
      <c r="K167" s="52"/>
    </row>
    <row r="168" spans="1:11" ht="15" customHeight="1" x14ac:dyDescent="0.2">
      <c r="A168" s="205"/>
      <c r="B168" s="205"/>
      <c r="C168" s="207"/>
      <c r="D168" s="53"/>
      <c r="E168" s="54" t="s">
        <v>349</v>
      </c>
      <c r="F168" s="52"/>
      <c r="G168" s="52"/>
      <c r="H168" s="52"/>
      <c r="I168" s="53"/>
      <c r="J168" s="52"/>
      <c r="K168" s="52"/>
    </row>
    <row r="169" spans="1:11" ht="15" customHeight="1" x14ac:dyDescent="0.2">
      <c r="A169" s="205"/>
      <c r="B169" s="206"/>
      <c r="C169" s="207"/>
      <c r="D169" s="53"/>
      <c r="E169" s="54" t="s">
        <v>350</v>
      </c>
      <c r="F169" s="52"/>
      <c r="G169" s="52"/>
      <c r="H169" s="52"/>
      <c r="I169" s="53"/>
      <c r="J169" s="52"/>
      <c r="K169" s="52"/>
    </row>
    <row r="170" spans="1:11" ht="15" customHeight="1" x14ac:dyDescent="0.2">
      <c r="A170" s="205"/>
      <c r="B170" s="208" t="s">
        <v>351</v>
      </c>
      <c r="C170" s="207" t="s">
        <v>352</v>
      </c>
      <c r="D170" s="53" t="s">
        <v>353</v>
      </c>
      <c r="E170" s="54" t="s">
        <v>354</v>
      </c>
      <c r="F170" s="52"/>
      <c r="G170" s="52"/>
      <c r="H170" s="52"/>
      <c r="I170" s="53"/>
      <c r="J170" s="52"/>
      <c r="K170" s="52"/>
    </row>
    <row r="171" spans="1:11" ht="15" customHeight="1" x14ac:dyDescent="0.2">
      <c r="A171" s="205"/>
      <c r="B171" s="205"/>
      <c r="C171" s="207"/>
      <c r="D171" s="53"/>
      <c r="E171" s="54" t="s">
        <v>355</v>
      </c>
      <c r="F171" s="52"/>
      <c r="G171" s="52"/>
      <c r="H171" s="52"/>
      <c r="I171" s="53"/>
      <c r="J171" s="52"/>
      <c r="K171" s="52"/>
    </row>
    <row r="172" spans="1:11" ht="15" customHeight="1" x14ac:dyDescent="0.2">
      <c r="A172" s="205"/>
      <c r="B172" s="205"/>
      <c r="C172" s="207" t="s">
        <v>356</v>
      </c>
      <c r="D172" s="53" t="s">
        <v>357</v>
      </c>
      <c r="E172" s="54" t="s">
        <v>358</v>
      </c>
      <c r="F172" s="52"/>
      <c r="G172" s="52"/>
      <c r="H172" s="52"/>
      <c r="I172" s="53"/>
      <c r="J172" s="52"/>
      <c r="K172" s="52"/>
    </row>
    <row r="173" spans="1:11" ht="15" customHeight="1" x14ac:dyDescent="0.2">
      <c r="A173" s="205"/>
      <c r="B173" s="205"/>
      <c r="C173" s="207"/>
      <c r="D173" s="53"/>
      <c r="E173" s="54" t="s">
        <v>359</v>
      </c>
      <c r="F173" s="52"/>
      <c r="G173" s="52"/>
      <c r="H173" s="52"/>
      <c r="I173" s="53"/>
      <c r="J173" s="52"/>
      <c r="K173" s="52"/>
    </row>
    <row r="174" spans="1:11" ht="15" customHeight="1" x14ac:dyDescent="0.2">
      <c r="A174" s="205"/>
      <c r="B174" s="205"/>
      <c r="C174" s="52" t="s">
        <v>360</v>
      </c>
      <c r="D174" s="53" t="s">
        <v>361</v>
      </c>
      <c r="E174" s="54" t="s">
        <v>362</v>
      </c>
      <c r="F174" s="52"/>
      <c r="G174" s="52"/>
      <c r="H174" s="52"/>
      <c r="I174" s="53"/>
      <c r="J174" s="52"/>
      <c r="K174" s="52"/>
    </row>
    <row r="175" spans="1:11" ht="15" customHeight="1" x14ac:dyDescent="0.2">
      <c r="A175" s="205"/>
      <c r="B175" s="205"/>
      <c r="C175" s="207" t="s">
        <v>363</v>
      </c>
      <c r="D175" s="53" t="s">
        <v>364</v>
      </c>
      <c r="E175" s="54" t="s">
        <v>365</v>
      </c>
      <c r="F175" s="52"/>
      <c r="G175" s="52"/>
      <c r="H175" s="52"/>
      <c r="I175" s="53"/>
      <c r="J175" s="52"/>
      <c r="K175" s="52"/>
    </row>
    <row r="176" spans="1:11" ht="15" customHeight="1" x14ac:dyDescent="0.2">
      <c r="A176" s="205"/>
      <c r="B176" s="205"/>
      <c r="C176" s="207"/>
      <c r="D176" s="53"/>
      <c r="E176" s="54" t="s">
        <v>366</v>
      </c>
      <c r="F176" s="52"/>
      <c r="G176" s="52"/>
      <c r="H176" s="52"/>
      <c r="I176" s="53"/>
      <c r="J176" s="52"/>
      <c r="K176" s="52"/>
    </row>
    <row r="177" spans="1:11" ht="15" customHeight="1" x14ac:dyDescent="0.2">
      <c r="A177" s="205"/>
      <c r="B177" s="205"/>
      <c r="C177" s="207" t="s">
        <v>367</v>
      </c>
      <c r="D177" s="53" t="s">
        <v>368</v>
      </c>
      <c r="E177" s="54" t="s">
        <v>369</v>
      </c>
      <c r="F177" s="52"/>
      <c r="G177" s="52"/>
      <c r="H177" s="52"/>
      <c r="I177" s="53"/>
      <c r="J177" s="52"/>
      <c r="K177" s="52"/>
    </row>
    <row r="178" spans="1:11" ht="15" customHeight="1" x14ac:dyDescent="0.2">
      <c r="A178" s="205"/>
      <c r="B178" s="205"/>
      <c r="C178" s="207"/>
      <c r="D178" s="53"/>
      <c r="E178" s="54" t="s">
        <v>370</v>
      </c>
      <c r="F178" s="52"/>
      <c r="G178" s="52"/>
      <c r="H178" s="52"/>
      <c r="I178" s="53"/>
      <c r="J178" s="52"/>
      <c r="K178" s="52"/>
    </row>
    <row r="179" spans="1:11" ht="15" customHeight="1" x14ac:dyDescent="0.2">
      <c r="A179" s="205"/>
      <c r="B179" s="205"/>
      <c r="C179" s="207" t="s">
        <v>371</v>
      </c>
      <c r="D179" s="53" t="s">
        <v>372</v>
      </c>
      <c r="E179" s="54" t="s">
        <v>373</v>
      </c>
      <c r="F179" s="52"/>
      <c r="G179" s="52"/>
      <c r="H179" s="52"/>
      <c r="I179" s="53"/>
      <c r="J179" s="55"/>
      <c r="K179" s="55"/>
    </row>
    <row r="180" spans="1:11" ht="15" customHeight="1" x14ac:dyDescent="0.2">
      <c r="A180" s="205"/>
      <c r="B180" s="208"/>
      <c r="C180" s="207"/>
      <c r="D180" s="53"/>
      <c r="E180" s="54" t="s">
        <v>374</v>
      </c>
      <c r="F180" s="52"/>
      <c r="G180" s="52"/>
      <c r="H180" s="52"/>
      <c r="I180" s="53"/>
      <c r="J180" s="55"/>
      <c r="K180" s="55"/>
    </row>
    <row r="181" spans="1:11" ht="15" customHeight="1" x14ac:dyDescent="0.2">
      <c r="A181" s="205"/>
      <c r="B181" s="206" t="s">
        <v>375</v>
      </c>
      <c r="C181" s="207" t="s">
        <v>376</v>
      </c>
      <c r="D181" s="53" t="s">
        <v>377</v>
      </c>
      <c r="E181" s="54" t="s">
        <v>378</v>
      </c>
      <c r="F181" s="52"/>
      <c r="G181" s="52"/>
      <c r="H181" s="52"/>
      <c r="I181" s="53"/>
      <c r="J181" s="52"/>
      <c r="K181" s="52"/>
    </row>
    <row r="182" spans="1:11" ht="15" customHeight="1" x14ac:dyDescent="0.2">
      <c r="A182" s="205"/>
      <c r="B182" s="205"/>
      <c r="C182" s="207"/>
      <c r="D182" s="53"/>
      <c r="E182" s="54" t="s">
        <v>379</v>
      </c>
      <c r="F182" s="52"/>
      <c r="G182" s="52"/>
      <c r="H182" s="52"/>
      <c r="I182" s="53"/>
      <c r="J182" s="52"/>
      <c r="K182" s="52"/>
    </row>
    <row r="183" spans="1:11" ht="15" customHeight="1" x14ac:dyDescent="0.2">
      <c r="A183" s="205"/>
      <c r="B183" s="205"/>
      <c r="C183" s="52" t="s">
        <v>380</v>
      </c>
      <c r="D183" s="53" t="s">
        <v>381</v>
      </c>
      <c r="E183" s="54" t="s">
        <v>382</v>
      </c>
      <c r="F183" s="52"/>
      <c r="G183" s="52"/>
      <c r="H183" s="52"/>
      <c r="I183" s="53"/>
      <c r="J183" s="52"/>
      <c r="K183" s="52"/>
    </row>
    <row r="184" spans="1:11" ht="15" customHeight="1" x14ac:dyDescent="0.2">
      <c r="A184" s="205"/>
      <c r="B184" s="205"/>
      <c r="C184" s="52" t="s">
        <v>383</v>
      </c>
      <c r="D184" s="53" t="s">
        <v>384</v>
      </c>
      <c r="E184" s="54" t="s">
        <v>385</v>
      </c>
      <c r="F184" s="52"/>
      <c r="G184" s="52"/>
      <c r="H184" s="52"/>
      <c r="I184" s="53"/>
      <c r="J184" s="52"/>
      <c r="K184" s="52"/>
    </row>
    <row r="185" spans="1:11" ht="15" customHeight="1" x14ac:dyDescent="0.2">
      <c r="A185" s="205"/>
      <c r="B185" s="205"/>
      <c r="C185" s="207" t="s">
        <v>386</v>
      </c>
      <c r="D185" s="53" t="s">
        <v>387</v>
      </c>
      <c r="E185" s="54" t="s">
        <v>388</v>
      </c>
      <c r="F185" s="52"/>
      <c r="G185" s="52"/>
      <c r="H185" s="52"/>
      <c r="I185" s="53"/>
      <c r="J185" s="52"/>
      <c r="K185" s="52"/>
    </row>
    <row r="186" spans="1:11" ht="15" customHeight="1" x14ac:dyDescent="0.2">
      <c r="A186" s="205"/>
      <c r="B186" s="205"/>
      <c r="C186" s="207"/>
      <c r="D186" s="53"/>
      <c r="E186" s="54" t="s">
        <v>389</v>
      </c>
      <c r="F186" s="52"/>
      <c r="G186" s="52"/>
      <c r="H186" s="52"/>
      <c r="I186" s="53"/>
      <c r="J186" s="52"/>
      <c r="K186" s="52"/>
    </row>
    <row r="187" spans="1:11" ht="15" customHeight="1" x14ac:dyDescent="0.2">
      <c r="A187" s="205"/>
      <c r="B187" s="205"/>
      <c r="C187" s="52" t="s">
        <v>390</v>
      </c>
      <c r="D187" s="53" t="s">
        <v>391</v>
      </c>
      <c r="E187" s="54" t="s">
        <v>392</v>
      </c>
      <c r="F187" s="52"/>
      <c r="G187" s="52"/>
      <c r="H187" s="52"/>
      <c r="I187" s="53"/>
      <c r="J187" s="52"/>
      <c r="K187" s="52"/>
    </row>
    <row r="188" spans="1:11" ht="15" customHeight="1" x14ac:dyDescent="0.2">
      <c r="A188" s="205"/>
      <c r="B188" s="205"/>
      <c r="C188" s="52" t="s">
        <v>393</v>
      </c>
      <c r="D188" s="53" t="s">
        <v>394</v>
      </c>
      <c r="E188" s="54" t="s">
        <v>395</v>
      </c>
      <c r="F188" s="52"/>
      <c r="G188" s="52"/>
      <c r="H188" s="52"/>
      <c r="I188" s="53"/>
      <c r="J188" s="52"/>
      <c r="K188" s="52"/>
    </row>
    <row r="189" spans="1:11" ht="15" customHeight="1" x14ac:dyDescent="0.2">
      <c r="A189" s="205"/>
      <c r="B189" s="205"/>
      <c r="C189" s="207" t="s">
        <v>396</v>
      </c>
      <c r="D189" s="53" t="s">
        <v>397</v>
      </c>
      <c r="E189" s="54" t="s">
        <v>398</v>
      </c>
      <c r="F189" s="52"/>
      <c r="G189" s="52"/>
      <c r="H189" s="52"/>
      <c r="I189" s="53"/>
      <c r="J189" s="52"/>
      <c r="K189" s="52"/>
    </row>
    <row r="190" spans="1:11" ht="15" customHeight="1" x14ac:dyDescent="0.2">
      <c r="A190" s="205"/>
      <c r="B190" s="205"/>
      <c r="C190" s="207"/>
      <c r="D190" s="53"/>
      <c r="E190" s="54" t="s">
        <v>399</v>
      </c>
      <c r="F190" s="52"/>
      <c r="G190" s="52"/>
      <c r="H190" s="52"/>
      <c r="I190" s="53"/>
      <c r="J190" s="52"/>
      <c r="K190" s="52"/>
    </row>
    <row r="191" spans="1:11" ht="15" customHeight="1" x14ac:dyDescent="0.2">
      <c r="A191" s="205"/>
      <c r="B191" s="206"/>
      <c r="C191" s="207"/>
      <c r="D191" s="53"/>
      <c r="E191" s="54" t="s">
        <v>400</v>
      </c>
      <c r="F191" s="52"/>
      <c r="G191" s="52"/>
      <c r="H191" s="52"/>
      <c r="I191" s="53"/>
      <c r="J191" s="52"/>
      <c r="K191" s="52"/>
    </row>
  </sheetData>
  <mergeCells count="63">
    <mergeCell ref="A161:A191"/>
    <mergeCell ref="B161:B169"/>
    <mergeCell ref="C162:C164"/>
    <mergeCell ref="C166:C169"/>
    <mergeCell ref="B170:B180"/>
    <mergeCell ref="C170:C171"/>
    <mergeCell ref="C172:C173"/>
    <mergeCell ref="C175:C176"/>
    <mergeCell ref="C177:C178"/>
    <mergeCell ref="C179:C180"/>
    <mergeCell ref="B181:B191"/>
    <mergeCell ref="C181:C182"/>
    <mergeCell ref="C185:C186"/>
    <mergeCell ref="C189:C191"/>
    <mergeCell ref="A121:A160"/>
    <mergeCell ref="B121:B129"/>
    <mergeCell ref="B130:B145"/>
    <mergeCell ref="C130:C132"/>
    <mergeCell ref="C134:C136"/>
    <mergeCell ref="C137:C138"/>
    <mergeCell ref="C140:C141"/>
    <mergeCell ref="C142:C145"/>
    <mergeCell ref="B146:B156"/>
    <mergeCell ref="B157:B160"/>
    <mergeCell ref="A87:A120"/>
    <mergeCell ref="B87:B115"/>
    <mergeCell ref="C87:C91"/>
    <mergeCell ref="C92:C94"/>
    <mergeCell ref="C95:C97"/>
    <mergeCell ref="C98:C106"/>
    <mergeCell ref="C107:C112"/>
    <mergeCell ref="C113:C114"/>
    <mergeCell ref="B116:B120"/>
    <mergeCell ref="C116:C118"/>
    <mergeCell ref="A61:A86"/>
    <mergeCell ref="B61:B74"/>
    <mergeCell ref="C61:C63"/>
    <mergeCell ref="C64:C67"/>
    <mergeCell ref="C68:C73"/>
    <mergeCell ref="B75:B81"/>
    <mergeCell ref="C75:C76"/>
    <mergeCell ref="C78:C81"/>
    <mergeCell ref="B82:B86"/>
    <mergeCell ref="A21:A60"/>
    <mergeCell ref="B21:B28"/>
    <mergeCell ref="B29:B43"/>
    <mergeCell ref="C29:C31"/>
    <mergeCell ref="C32:C41"/>
    <mergeCell ref="C42:C43"/>
    <mergeCell ref="B44:B51"/>
    <mergeCell ref="C45:C50"/>
    <mergeCell ref="B52:B60"/>
    <mergeCell ref="C55:C57"/>
    <mergeCell ref="C58:C60"/>
    <mergeCell ref="A2:A18"/>
    <mergeCell ref="B2:B5"/>
    <mergeCell ref="B6:B13"/>
    <mergeCell ref="C7:C10"/>
    <mergeCell ref="C12:C13"/>
    <mergeCell ref="B14:B20"/>
    <mergeCell ref="C14:C15"/>
    <mergeCell ref="C16:C17"/>
    <mergeCell ref="C18:C20"/>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7" sqref="C7:C8"/>
    </sheetView>
  </sheetViews>
  <sheetFormatPr baseColWidth="10" defaultColWidth="29.1640625" defaultRowHeight="14" x14ac:dyDescent="0.2"/>
  <cols>
    <col min="1" max="1" width="29.1640625" style="56"/>
    <col min="2" max="2" width="35.6640625" style="57" customWidth="1"/>
    <col min="3" max="3" width="38" style="56" customWidth="1"/>
    <col min="4" max="4" width="84.1640625" style="58" customWidth="1"/>
    <col min="5" max="5" width="68.33203125" style="56" customWidth="1"/>
    <col min="6" max="6" width="7.5" style="56" customWidth="1"/>
    <col min="7" max="7" width="8.1640625" style="59" customWidth="1"/>
    <col min="8" max="8" width="13.33203125" style="59" customWidth="1"/>
    <col min="9" max="9" width="10" style="59" customWidth="1"/>
    <col min="10" max="10" width="12.33203125" style="60" customWidth="1"/>
    <col min="11" max="11" width="75.5" style="60" customWidth="1"/>
    <col min="12" max="16384" width="29.1640625" style="60"/>
  </cols>
  <sheetData>
    <row r="1" spans="1:11" ht="15" customHeight="1" x14ac:dyDescent="0.2">
      <c r="A1" s="29" t="s">
        <v>401</v>
      </c>
      <c r="B1" s="29" t="s">
        <v>402</v>
      </c>
      <c r="C1" s="29" t="s">
        <v>29</v>
      </c>
      <c r="D1" s="28" t="s">
        <v>29</v>
      </c>
      <c r="E1" s="29" t="s">
        <v>403</v>
      </c>
      <c r="F1" s="28" t="s">
        <v>33</v>
      </c>
      <c r="G1" s="28" t="s">
        <v>34</v>
      </c>
      <c r="H1" s="28" t="s">
        <v>35</v>
      </c>
      <c r="I1" s="28" t="s">
        <v>36</v>
      </c>
      <c r="J1" s="29" t="s">
        <v>37</v>
      </c>
      <c r="K1" s="61" t="s">
        <v>404</v>
      </c>
    </row>
    <row r="2" spans="1:11" ht="15" customHeight="1" x14ac:dyDescent="0.2">
      <c r="A2" s="14" t="s">
        <v>405</v>
      </c>
      <c r="B2" s="13" t="s">
        <v>406</v>
      </c>
      <c r="C2" s="12" t="s">
        <v>407</v>
      </c>
      <c r="D2" s="11" t="s">
        <v>408</v>
      </c>
      <c r="E2" s="64" t="s">
        <v>409</v>
      </c>
      <c r="F2" s="63"/>
      <c r="G2" s="63"/>
      <c r="H2" s="63"/>
      <c r="I2" s="63"/>
      <c r="J2" s="63"/>
      <c r="K2" s="65"/>
    </row>
    <row r="3" spans="1:11" ht="15" customHeight="1" x14ac:dyDescent="0.2">
      <c r="A3" s="14"/>
      <c r="B3" s="13"/>
      <c r="C3" s="12"/>
      <c r="D3" s="11"/>
      <c r="E3" s="64" t="s">
        <v>410</v>
      </c>
      <c r="F3" s="63"/>
      <c r="G3" s="63"/>
      <c r="H3" s="63"/>
      <c r="I3" s="63"/>
      <c r="J3" s="63"/>
      <c r="K3" s="65"/>
    </row>
    <row r="4" spans="1:11" ht="15" customHeight="1" x14ac:dyDescent="0.2">
      <c r="A4" s="14"/>
      <c r="B4" s="13"/>
      <c r="C4" s="12"/>
      <c r="D4" s="11"/>
      <c r="E4" s="64" t="s">
        <v>411</v>
      </c>
      <c r="F4" s="63"/>
      <c r="G4" s="63"/>
      <c r="H4" s="63"/>
      <c r="I4" s="63"/>
      <c r="J4" s="63"/>
      <c r="K4" s="65"/>
    </row>
    <row r="5" spans="1:11" ht="15" customHeight="1" x14ac:dyDescent="0.2">
      <c r="A5" s="14"/>
      <c r="B5" s="13"/>
      <c r="C5" s="12"/>
      <c r="D5" s="11"/>
      <c r="E5" s="64" t="s">
        <v>412</v>
      </c>
      <c r="F5" s="63"/>
      <c r="G5" s="63"/>
      <c r="H5" s="63"/>
      <c r="I5" s="63"/>
      <c r="J5" s="63"/>
      <c r="K5" s="65"/>
    </row>
    <row r="6" spans="1:11" ht="15" customHeight="1" x14ac:dyDescent="0.2">
      <c r="A6" s="14"/>
      <c r="B6" s="13"/>
      <c r="C6" s="12"/>
      <c r="D6" s="12"/>
      <c r="E6" s="64" t="s">
        <v>413</v>
      </c>
      <c r="F6" s="63"/>
      <c r="G6" s="63"/>
      <c r="H6" s="63"/>
      <c r="I6" s="63"/>
      <c r="J6" s="63"/>
      <c r="K6" s="65"/>
    </row>
    <row r="7" spans="1:11" ht="15" customHeight="1" x14ac:dyDescent="0.2">
      <c r="A7" s="14"/>
      <c r="B7" s="13"/>
      <c r="C7" s="10" t="s">
        <v>414</v>
      </c>
      <c r="D7" s="9" t="s">
        <v>415</v>
      </c>
      <c r="E7" s="64" t="s">
        <v>179</v>
      </c>
      <c r="F7" s="63"/>
      <c r="G7" s="63"/>
      <c r="H7" s="63"/>
      <c r="I7" s="63"/>
      <c r="J7" s="63"/>
      <c r="K7" s="65"/>
    </row>
    <row r="8" spans="1:11" ht="15" customHeight="1" x14ac:dyDescent="0.2">
      <c r="A8" s="14"/>
      <c r="B8" s="13"/>
      <c r="C8" s="10"/>
      <c r="D8" s="10"/>
      <c r="E8" s="63" t="s">
        <v>416</v>
      </c>
      <c r="F8" s="63"/>
      <c r="G8" s="63"/>
      <c r="H8" s="63"/>
      <c r="I8" s="63"/>
      <c r="J8" s="63"/>
      <c r="K8" s="65"/>
    </row>
    <row r="9" spans="1:11" ht="15" customHeight="1" x14ac:dyDescent="0.2">
      <c r="A9" s="14"/>
      <c r="B9" s="13"/>
      <c r="C9" s="62" t="s">
        <v>417</v>
      </c>
      <c r="D9" s="63" t="s">
        <v>418</v>
      </c>
      <c r="E9" s="63"/>
      <c r="F9" s="63"/>
      <c r="G9" s="63"/>
      <c r="H9" s="63"/>
      <c r="I9" s="63"/>
      <c r="J9" s="63"/>
      <c r="K9" s="65"/>
    </row>
    <row r="10" spans="1:11" ht="15" customHeight="1" x14ac:dyDescent="0.2">
      <c r="A10" s="14"/>
      <c r="B10" s="13"/>
      <c r="C10" s="62" t="s">
        <v>419</v>
      </c>
      <c r="D10" s="65" t="s">
        <v>420</v>
      </c>
      <c r="E10" s="63"/>
      <c r="F10" s="63"/>
      <c r="G10" s="63"/>
      <c r="H10" s="63"/>
      <c r="I10" s="63"/>
      <c r="J10" s="63"/>
      <c r="K10" s="65"/>
    </row>
    <row r="11" spans="1:11" ht="15" customHeight="1" x14ac:dyDescent="0.2">
      <c r="A11" s="14"/>
      <c r="B11" s="13"/>
      <c r="C11" s="62" t="s">
        <v>421</v>
      </c>
      <c r="D11" s="63" t="s">
        <v>422</v>
      </c>
      <c r="E11" s="63"/>
      <c r="F11" s="63"/>
      <c r="G11" s="63"/>
      <c r="H11" s="63"/>
      <c r="I11" s="63"/>
      <c r="J11" s="63"/>
      <c r="K11" s="65"/>
    </row>
    <row r="12" spans="1:11" ht="48" customHeight="1" x14ac:dyDescent="0.2">
      <c r="A12" s="14"/>
      <c r="B12" s="13" t="s">
        <v>423</v>
      </c>
      <c r="C12" s="62" t="s">
        <v>419</v>
      </c>
      <c r="D12" s="65" t="s">
        <v>424</v>
      </c>
      <c r="E12" s="63"/>
      <c r="F12" s="63"/>
      <c r="G12" s="63"/>
      <c r="H12" s="63"/>
      <c r="I12" s="63"/>
      <c r="J12" s="63"/>
      <c r="K12" s="65"/>
    </row>
    <row r="13" spans="1:11" s="68" customFormat="1" ht="42" customHeight="1" x14ac:dyDescent="0.2">
      <c r="A13" s="14"/>
      <c r="B13" s="13"/>
      <c r="C13" s="62" t="s">
        <v>425</v>
      </c>
      <c r="D13" s="63" t="s">
        <v>426</v>
      </c>
      <c r="E13" s="66"/>
      <c r="F13" s="66"/>
      <c r="G13" s="66"/>
      <c r="H13" s="66"/>
      <c r="I13" s="66"/>
      <c r="J13" s="66"/>
      <c r="K13" s="67"/>
    </row>
    <row r="14" spans="1:11" ht="64.5" customHeight="1" x14ac:dyDescent="0.2">
      <c r="A14" s="14"/>
      <c r="B14" s="8" t="s">
        <v>427</v>
      </c>
      <c r="C14" s="62" t="s">
        <v>428</v>
      </c>
      <c r="D14" s="63" t="s">
        <v>429</v>
      </c>
      <c r="E14" s="63"/>
      <c r="F14" s="63"/>
      <c r="G14" s="63"/>
      <c r="H14" s="63"/>
      <c r="I14" s="63"/>
      <c r="J14" s="63"/>
      <c r="K14" s="65"/>
    </row>
    <row r="15" spans="1:11" ht="15" customHeight="1" x14ac:dyDescent="0.2">
      <c r="A15" s="14"/>
      <c r="B15" s="8"/>
      <c r="C15" s="62" t="s">
        <v>430</v>
      </c>
      <c r="D15" s="63" t="s">
        <v>431</v>
      </c>
      <c r="E15" s="63"/>
      <c r="F15" s="63"/>
      <c r="G15" s="63"/>
      <c r="H15" s="63"/>
      <c r="I15" s="63"/>
      <c r="J15" s="63"/>
      <c r="K15" s="65"/>
    </row>
    <row r="16" spans="1:11" ht="15" customHeight="1" x14ac:dyDescent="0.2">
      <c r="A16" s="7" t="s">
        <v>432</v>
      </c>
      <c r="B16" s="6" t="s">
        <v>433</v>
      </c>
      <c r="C16" s="5" t="s">
        <v>434</v>
      </c>
      <c r="D16" s="4" t="s">
        <v>435</v>
      </c>
      <c r="E16" s="64" t="s">
        <v>436</v>
      </c>
      <c r="F16" s="69"/>
      <c r="G16" s="69"/>
      <c r="H16" s="69"/>
      <c r="I16" s="69"/>
      <c r="J16" s="69"/>
      <c r="K16" s="70"/>
    </row>
    <row r="17" spans="1:11" ht="15" customHeight="1" x14ac:dyDescent="0.2">
      <c r="A17" s="7"/>
      <c r="B17" s="6"/>
      <c r="C17" s="5"/>
      <c r="D17" s="4"/>
      <c r="E17" s="69" t="s">
        <v>157</v>
      </c>
      <c r="F17" s="69"/>
      <c r="G17" s="69"/>
      <c r="H17" s="69"/>
      <c r="I17" s="69"/>
      <c r="J17" s="69"/>
      <c r="K17" s="70"/>
    </row>
    <row r="18" spans="1:11" ht="15" customHeight="1" x14ac:dyDescent="0.2">
      <c r="A18" s="7"/>
      <c r="B18" s="6"/>
      <c r="C18" s="5"/>
      <c r="D18" s="4"/>
      <c r="E18" s="69" t="s">
        <v>437</v>
      </c>
      <c r="F18" s="69"/>
      <c r="G18" s="69"/>
      <c r="H18" s="69"/>
      <c r="I18" s="69"/>
      <c r="J18" s="69"/>
      <c r="K18" s="70"/>
    </row>
    <row r="19" spans="1:11" ht="57" customHeight="1" x14ac:dyDescent="0.2">
      <c r="A19" s="7"/>
      <c r="B19" s="6"/>
      <c r="C19" s="5"/>
      <c r="D19" s="5"/>
      <c r="E19" s="69" t="s">
        <v>438</v>
      </c>
      <c r="F19" s="69"/>
      <c r="G19" s="69"/>
      <c r="H19" s="69"/>
      <c r="I19" s="69"/>
      <c r="J19" s="69"/>
      <c r="K19" s="70"/>
    </row>
    <row r="20" spans="1:11" ht="15" customHeight="1" x14ac:dyDescent="0.2">
      <c r="A20" s="7"/>
      <c r="B20" s="3" t="s">
        <v>439</v>
      </c>
      <c r="C20" s="5" t="s">
        <v>440</v>
      </c>
      <c r="D20" s="4" t="s">
        <v>441</v>
      </c>
      <c r="E20" s="69" t="s">
        <v>442</v>
      </c>
      <c r="F20" s="69"/>
      <c r="G20" s="69"/>
      <c r="H20" s="69"/>
      <c r="I20" s="69"/>
      <c r="J20" s="69"/>
      <c r="K20" s="70"/>
    </row>
    <row r="21" spans="1:11" ht="15" customHeight="1" x14ac:dyDescent="0.2">
      <c r="A21" s="7"/>
      <c r="B21" s="3"/>
      <c r="C21" s="5"/>
      <c r="D21" s="4"/>
      <c r="E21" s="69" t="s">
        <v>443</v>
      </c>
      <c r="F21" s="69"/>
      <c r="G21" s="69"/>
      <c r="H21" s="69"/>
      <c r="I21" s="69"/>
      <c r="J21" s="69"/>
      <c r="K21" s="70"/>
    </row>
    <row r="22" spans="1:11" ht="15" customHeight="1" x14ac:dyDescent="0.2">
      <c r="A22" s="7"/>
      <c r="B22" s="3"/>
      <c r="C22" s="5"/>
      <c r="D22" s="4"/>
      <c r="E22" s="64" t="s">
        <v>64</v>
      </c>
      <c r="F22" s="69"/>
      <c r="G22" s="69"/>
      <c r="H22" s="69"/>
      <c r="I22" s="69"/>
      <c r="J22" s="69"/>
      <c r="K22" s="70"/>
    </row>
    <row r="23" spans="1:11" ht="15" customHeight="1" x14ac:dyDescent="0.2">
      <c r="A23" s="7"/>
      <c r="B23" s="3"/>
      <c r="C23" s="5"/>
      <c r="D23" s="4"/>
      <c r="E23" s="64" t="s">
        <v>444</v>
      </c>
      <c r="F23" s="69"/>
      <c r="G23" s="69"/>
      <c r="H23" s="69"/>
      <c r="I23" s="69"/>
      <c r="J23" s="69"/>
      <c r="K23" s="70"/>
    </row>
    <row r="24" spans="1:11" ht="15" customHeight="1" x14ac:dyDescent="0.2">
      <c r="A24" s="7"/>
      <c r="B24" s="3"/>
      <c r="C24" s="5"/>
      <c r="D24" s="5"/>
      <c r="E24" s="69" t="s">
        <v>55</v>
      </c>
      <c r="F24" s="69"/>
      <c r="G24" s="69"/>
      <c r="H24" s="69"/>
      <c r="I24" s="69"/>
      <c r="J24" s="69"/>
      <c r="K24" s="70"/>
    </row>
    <row r="25" spans="1:11" ht="15" customHeight="1" x14ac:dyDescent="0.2">
      <c r="A25" s="7"/>
      <c r="B25" s="3"/>
      <c r="C25" s="5" t="s">
        <v>434</v>
      </c>
      <c r="D25" s="4" t="s">
        <v>445</v>
      </c>
      <c r="E25" s="69" t="s">
        <v>436</v>
      </c>
      <c r="F25" s="69"/>
      <c r="G25" s="69"/>
      <c r="H25" s="69"/>
      <c r="I25" s="69"/>
      <c r="J25" s="69"/>
      <c r="K25" s="70"/>
    </row>
    <row r="26" spans="1:11" ht="15" customHeight="1" x14ac:dyDescent="0.2">
      <c r="A26" s="7"/>
      <c r="B26" s="3"/>
      <c r="C26" s="5"/>
      <c r="D26" s="4"/>
      <c r="E26" s="69" t="s">
        <v>157</v>
      </c>
      <c r="F26" s="69"/>
      <c r="G26" s="69"/>
      <c r="H26" s="69"/>
      <c r="I26" s="69"/>
      <c r="J26" s="69"/>
      <c r="K26" s="70"/>
    </row>
    <row r="27" spans="1:11" ht="15" customHeight="1" x14ac:dyDescent="0.2">
      <c r="A27" s="7"/>
      <c r="B27" s="3"/>
      <c r="C27" s="5"/>
      <c r="D27" s="4"/>
      <c r="E27" s="64" t="s">
        <v>437</v>
      </c>
      <c r="F27" s="69"/>
      <c r="G27" s="69"/>
      <c r="H27" s="69"/>
      <c r="I27" s="69"/>
      <c r="J27" s="69"/>
      <c r="K27" s="70"/>
    </row>
    <row r="28" spans="1:11" ht="30" customHeight="1" x14ac:dyDescent="0.2">
      <c r="A28" s="7"/>
      <c r="B28" s="3"/>
      <c r="C28" s="5"/>
      <c r="D28" s="5"/>
      <c r="E28" s="64" t="s">
        <v>438</v>
      </c>
      <c r="F28" s="69"/>
      <c r="G28" s="69"/>
      <c r="H28" s="69"/>
      <c r="I28" s="69"/>
      <c r="J28" s="69"/>
      <c r="K28" s="70"/>
    </row>
    <row r="29" spans="1:11" ht="15" customHeight="1" x14ac:dyDescent="0.2">
      <c r="A29" s="7"/>
      <c r="B29" s="3"/>
      <c r="C29" s="2" t="s">
        <v>446</v>
      </c>
      <c r="D29" s="1" t="s">
        <v>447</v>
      </c>
      <c r="E29" s="69" t="s">
        <v>179</v>
      </c>
      <c r="F29" s="69"/>
      <c r="G29" s="69"/>
      <c r="H29" s="69"/>
      <c r="I29" s="69"/>
      <c r="J29" s="69"/>
      <c r="K29" s="70"/>
    </row>
    <row r="30" spans="1:11" ht="15" customHeight="1" x14ac:dyDescent="0.2">
      <c r="A30" s="7"/>
      <c r="B30" s="3"/>
      <c r="C30" s="2"/>
      <c r="D30" s="1"/>
      <c r="E30" s="64" t="s">
        <v>416</v>
      </c>
      <c r="F30" s="69"/>
      <c r="G30" s="69"/>
      <c r="H30" s="69"/>
      <c r="I30" s="69"/>
      <c r="J30" s="69"/>
      <c r="K30" s="70"/>
    </row>
    <row r="31" spans="1:11" ht="15" customHeight="1" x14ac:dyDescent="0.2">
      <c r="A31" s="7"/>
      <c r="B31" s="6" t="s">
        <v>448</v>
      </c>
      <c r="C31" s="5" t="s">
        <v>434</v>
      </c>
      <c r="D31" s="4" t="s">
        <v>449</v>
      </c>
      <c r="E31" s="69" t="s">
        <v>436</v>
      </c>
      <c r="F31" s="69"/>
      <c r="G31" s="69"/>
      <c r="H31" s="69"/>
      <c r="I31" s="69"/>
      <c r="J31" s="69"/>
      <c r="K31" s="70"/>
    </row>
    <row r="32" spans="1:11" ht="15" customHeight="1" x14ac:dyDescent="0.2">
      <c r="A32" s="7"/>
      <c r="B32" s="6"/>
      <c r="C32" s="5"/>
      <c r="D32" s="4"/>
      <c r="E32" s="64" t="s">
        <v>157</v>
      </c>
      <c r="F32" s="69"/>
      <c r="G32" s="69"/>
      <c r="H32" s="69"/>
      <c r="I32" s="69"/>
      <c r="J32" s="69"/>
      <c r="K32" s="70"/>
    </row>
    <row r="33" spans="1:11" ht="15" customHeight="1" x14ac:dyDescent="0.2">
      <c r="A33" s="7"/>
      <c r="B33" s="6"/>
      <c r="C33" s="5"/>
      <c r="D33" s="4"/>
      <c r="E33" s="69" t="s">
        <v>437</v>
      </c>
      <c r="F33" s="69"/>
      <c r="G33" s="69"/>
      <c r="H33" s="69"/>
      <c r="I33" s="69"/>
      <c r="J33" s="69"/>
      <c r="K33" s="70"/>
    </row>
    <row r="34" spans="1:11" ht="30" customHeight="1" x14ac:dyDescent="0.2">
      <c r="A34" s="7"/>
      <c r="B34" s="6"/>
      <c r="C34" s="5"/>
      <c r="D34" s="5"/>
      <c r="E34" s="69" t="s">
        <v>438</v>
      </c>
      <c r="F34" s="69"/>
      <c r="G34" s="69"/>
      <c r="H34" s="69"/>
      <c r="I34" s="69"/>
      <c r="J34" s="69"/>
      <c r="K34" s="70"/>
    </row>
    <row r="35" spans="1:11" ht="15" customHeight="1" x14ac:dyDescent="0.2">
      <c r="A35" s="7"/>
      <c r="B35" s="6"/>
      <c r="C35" s="2" t="s">
        <v>446</v>
      </c>
      <c r="D35" s="1" t="s">
        <v>450</v>
      </c>
      <c r="E35" s="64" t="s">
        <v>179</v>
      </c>
      <c r="F35" s="69"/>
      <c r="G35" s="69"/>
      <c r="H35" s="69"/>
      <c r="I35" s="69"/>
      <c r="J35" s="69"/>
      <c r="K35" s="70"/>
    </row>
    <row r="36" spans="1:11" ht="15" customHeight="1" x14ac:dyDescent="0.2">
      <c r="A36" s="7"/>
      <c r="B36" s="6"/>
      <c r="C36" s="2"/>
      <c r="D36" s="1"/>
      <c r="E36" s="69" t="s">
        <v>416</v>
      </c>
      <c r="F36" s="69"/>
      <c r="G36" s="69"/>
      <c r="H36" s="69"/>
      <c r="I36" s="69"/>
      <c r="J36" s="69"/>
      <c r="K36" s="70"/>
    </row>
    <row r="37" spans="1:11" ht="15" customHeight="1" x14ac:dyDescent="0.2">
      <c r="A37" s="165" t="s">
        <v>451</v>
      </c>
      <c r="B37" s="166" t="s">
        <v>452</v>
      </c>
      <c r="C37" s="71" t="s">
        <v>421</v>
      </c>
      <c r="D37" s="72" t="s">
        <v>453</v>
      </c>
      <c r="E37" s="72"/>
      <c r="F37" s="72"/>
      <c r="G37" s="72"/>
      <c r="H37" s="72"/>
      <c r="I37" s="72"/>
      <c r="J37" s="72"/>
      <c r="K37" s="73"/>
    </row>
    <row r="38" spans="1:11" ht="15" customHeight="1" x14ac:dyDescent="0.2">
      <c r="A38" s="165"/>
      <c r="B38" s="166"/>
      <c r="C38" s="167" t="s">
        <v>454</v>
      </c>
      <c r="D38" s="168" t="s">
        <v>455</v>
      </c>
      <c r="E38" s="64" t="s">
        <v>456</v>
      </c>
      <c r="F38" s="72"/>
      <c r="G38" s="72"/>
      <c r="H38" s="72"/>
      <c r="I38" s="72"/>
      <c r="J38" s="72"/>
      <c r="K38" s="73"/>
    </row>
    <row r="39" spans="1:11" ht="15" customHeight="1" x14ac:dyDescent="0.2">
      <c r="A39" s="165"/>
      <c r="B39" s="166"/>
      <c r="C39" s="167"/>
      <c r="D39" s="168"/>
      <c r="E39" s="72" t="s">
        <v>457</v>
      </c>
      <c r="F39" s="72"/>
      <c r="G39" s="72"/>
      <c r="H39" s="72"/>
      <c r="I39" s="72"/>
      <c r="J39" s="72"/>
      <c r="K39" s="73"/>
    </row>
    <row r="40" spans="1:11" ht="15" customHeight="1" x14ac:dyDescent="0.2">
      <c r="A40" s="165"/>
      <c r="B40" s="166"/>
      <c r="C40" s="167"/>
      <c r="D40" s="168"/>
      <c r="E40" s="72" t="s">
        <v>458</v>
      </c>
      <c r="F40" s="72"/>
      <c r="G40" s="72"/>
      <c r="H40" s="72"/>
      <c r="I40" s="72"/>
      <c r="J40" s="72"/>
      <c r="K40" s="73"/>
    </row>
    <row r="41" spans="1:11" ht="15" customHeight="1" x14ac:dyDescent="0.2">
      <c r="A41" s="165"/>
      <c r="B41" s="166"/>
      <c r="C41" s="167"/>
      <c r="D41" s="168"/>
      <c r="E41" s="64" t="s">
        <v>459</v>
      </c>
      <c r="F41" s="72"/>
      <c r="G41" s="72"/>
      <c r="H41" s="72"/>
      <c r="I41" s="72"/>
      <c r="J41" s="72"/>
      <c r="K41" s="73"/>
    </row>
    <row r="42" spans="1:11" ht="15" customHeight="1" x14ac:dyDescent="0.2">
      <c r="A42" s="165"/>
      <c r="B42" s="166"/>
      <c r="C42" s="167"/>
      <c r="D42" s="168"/>
      <c r="E42" s="72" t="s">
        <v>460</v>
      </c>
      <c r="F42" s="72"/>
      <c r="G42" s="72"/>
      <c r="H42" s="72"/>
      <c r="I42" s="72"/>
      <c r="J42" s="72"/>
      <c r="K42" s="73"/>
    </row>
    <row r="43" spans="1:11" ht="15" customHeight="1" x14ac:dyDescent="0.2">
      <c r="A43" s="165"/>
      <c r="B43" s="166"/>
      <c r="C43" s="167"/>
      <c r="D43" s="167"/>
      <c r="E43" s="64" t="s">
        <v>461</v>
      </c>
      <c r="F43" s="72"/>
      <c r="G43" s="72"/>
      <c r="H43" s="72"/>
      <c r="I43" s="72"/>
      <c r="J43" s="72"/>
      <c r="K43" s="73"/>
    </row>
    <row r="44" spans="1:11" ht="15" customHeight="1" x14ac:dyDescent="0.2">
      <c r="A44" s="165"/>
      <c r="B44" s="166"/>
      <c r="C44" s="71" t="s">
        <v>462</v>
      </c>
      <c r="D44" s="72" t="s">
        <v>463</v>
      </c>
      <c r="E44" s="64" t="s">
        <v>246</v>
      </c>
      <c r="F44" s="72"/>
      <c r="G44" s="72"/>
      <c r="H44" s="72"/>
      <c r="I44" s="72"/>
      <c r="J44" s="72"/>
      <c r="K44" s="73"/>
    </row>
    <row r="45" spans="1:11" ht="15" customHeight="1" x14ac:dyDescent="0.2">
      <c r="A45" s="165"/>
      <c r="B45" s="166" t="s">
        <v>464</v>
      </c>
      <c r="C45" s="167" t="s">
        <v>465</v>
      </c>
      <c r="D45" s="168" t="s">
        <v>466</v>
      </c>
      <c r="E45" s="64" t="s">
        <v>467</v>
      </c>
      <c r="F45" s="72"/>
      <c r="G45" s="72"/>
      <c r="H45" s="72"/>
      <c r="I45" s="72"/>
      <c r="J45" s="72"/>
      <c r="K45" s="73"/>
    </row>
    <row r="46" spans="1:11" ht="15" customHeight="1" x14ac:dyDescent="0.2">
      <c r="A46" s="165"/>
      <c r="B46" s="166"/>
      <c r="C46" s="167"/>
      <c r="D46" s="167"/>
      <c r="E46" s="64" t="s">
        <v>468</v>
      </c>
      <c r="F46" s="72"/>
      <c r="G46" s="72"/>
      <c r="H46" s="72"/>
      <c r="I46" s="72"/>
      <c r="J46" s="72"/>
      <c r="K46" s="73"/>
    </row>
    <row r="47" spans="1:11" ht="15" customHeight="1" x14ac:dyDescent="0.2">
      <c r="A47" s="165"/>
      <c r="B47" s="166"/>
      <c r="C47" s="167" t="s">
        <v>469</v>
      </c>
      <c r="D47" s="168" t="s">
        <v>470</v>
      </c>
      <c r="E47" s="64" t="s">
        <v>471</v>
      </c>
      <c r="F47" s="72"/>
      <c r="G47" s="72"/>
      <c r="H47" s="72"/>
      <c r="I47" s="72"/>
      <c r="J47" s="72"/>
      <c r="K47" s="73"/>
    </row>
    <row r="48" spans="1:11" ht="15" customHeight="1" x14ac:dyDescent="0.2">
      <c r="A48" s="165"/>
      <c r="B48" s="166"/>
      <c r="C48" s="167"/>
      <c r="D48" s="168"/>
      <c r="E48" s="72" t="s">
        <v>472</v>
      </c>
      <c r="F48" s="72"/>
      <c r="G48" s="72"/>
      <c r="H48" s="72"/>
      <c r="I48" s="72"/>
      <c r="J48" s="72"/>
      <c r="K48" s="73"/>
    </row>
    <row r="49" spans="1:11" ht="15" customHeight="1" x14ac:dyDescent="0.2">
      <c r="A49" s="165"/>
      <c r="B49" s="166"/>
      <c r="C49" s="167"/>
      <c r="D49" s="168"/>
      <c r="E49" s="64" t="s">
        <v>473</v>
      </c>
      <c r="F49" s="72"/>
      <c r="G49" s="72"/>
      <c r="H49" s="72"/>
      <c r="I49" s="72"/>
      <c r="J49" s="72"/>
      <c r="K49" s="73"/>
    </row>
    <row r="50" spans="1:11" ht="15" customHeight="1" x14ac:dyDescent="0.2">
      <c r="A50" s="165"/>
      <c r="B50" s="166"/>
      <c r="C50" s="167"/>
      <c r="D50" s="167"/>
      <c r="E50" s="72" t="s">
        <v>474</v>
      </c>
      <c r="F50" s="72"/>
      <c r="G50" s="72"/>
      <c r="H50" s="72"/>
      <c r="I50" s="72"/>
      <c r="J50" s="72"/>
      <c r="K50" s="73"/>
    </row>
    <row r="51" spans="1:11" ht="15" customHeight="1" x14ac:dyDescent="0.2">
      <c r="A51" s="165"/>
      <c r="B51" s="166" t="s">
        <v>475</v>
      </c>
      <c r="C51" s="169" t="s">
        <v>476</v>
      </c>
      <c r="D51" s="170" t="s">
        <v>477</v>
      </c>
      <c r="E51" s="64" t="s">
        <v>478</v>
      </c>
      <c r="F51" s="72"/>
      <c r="G51" s="72"/>
      <c r="H51" s="72"/>
      <c r="I51" s="72"/>
      <c r="J51" s="72"/>
      <c r="K51" s="73"/>
    </row>
    <row r="52" spans="1:11" ht="15" customHeight="1" x14ac:dyDescent="0.2">
      <c r="A52" s="165"/>
      <c r="B52" s="166"/>
      <c r="C52" s="169"/>
      <c r="D52" s="170"/>
      <c r="E52" s="64" t="s">
        <v>479</v>
      </c>
      <c r="F52" s="72"/>
      <c r="G52" s="72"/>
      <c r="H52" s="72"/>
      <c r="I52" s="72"/>
      <c r="J52" s="72"/>
      <c r="K52" s="73"/>
    </row>
    <row r="53" spans="1:11" ht="15" customHeight="1" x14ac:dyDescent="0.2">
      <c r="A53" s="165"/>
      <c r="B53" s="166"/>
      <c r="C53" s="169"/>
      <c r="D53" s="170"/>
      <c r="E53" s="64" t="s">
        <v>480</v>
      </c>
      <c r="F53" s="72"/>
      <c r="G53" s="72"/>
      <c r="H53" s="72"/>
      <c r="I53" s="72"/>
      <c r="J53" s="72"/>
      <c r="K53" s="73"/>
    </row>
    <row r="54" spans="1:11" ht="15" customHeight="1" x14ac:dyDescent="0.2">
      <c r="A54" s="171" t="s">
        <v>481</v>
      </c>
      <c r="B54" s="172" t="s">
        <v>482</v>
      </c>
      <c r="C54" s="173" t="s">
        <v>483</v>
      </c>
      <c r="D54" s="174" t="s">
        <v>484</v>
      </c>
      <c r="E54" s="75" t="s">
        <v>485</v>
      </c>
      <c r="F54" s="76"/>
      <c r="G54" s="76"/>
      <c r="H54" s="76"/>
      <c r="I54" s="76"/>
      <c r="J54" s="76"/>
      <c r="K54" s="77"/>
    </row>
    <row r="55" spans="1:11" ht="15" customHeight="1" x14ac:dyDescent="0.2">
      <c r="A55" s="171"/>
      <c r="B55" s="172"/>
      <c r="C55" s="173"/>
      <c r="D55" s="174"/>
      <c r="E55" s="75" t="s">
        <v>486</v>
      </c>
      <c r="F55" s="76"/>
      <c r="G55" s="76"/>
      <c r="H55" s="76"/>
      <c r="I55" s="76"/>
      <c r="J55" s="76"/>
      <c r="K55" s="77"/>
    </row>
    <row r="56" spans="1:11" ht="15" customHeight="1" x14ac:dyDescent="0.2">
      <c r="A56" s="171"/>
      <c r="B56" s="172"/>
      <c r="C56" s="173"/>
      <c r="D56" s="173"/>
      <c r="E56" s="76" t="s">
        <v>487</v>
      </c>
      <c r="F56" s="76"/>
      <c r="G56" s="76"/>
      <c r="H56" s="76"/>
      <c r="I56" s="76"/>
      <c r="J56" s="76"/>
      <c r="K56" s="77"/>
    </row>
    <row r="57" spans="1:11" ht="13.5" customHeight="1" x14ac:dyDescent="0.2">
      <c r="A57" s="171"/>
      <c r="B57" s="74" t="s">
        <v>488</v>
      </c>
      <c r="C57" s="78" t="s">
        <v>430</v>
      </c>
      <c r="D57" s="79" t="s">
        <v>489</v>
      </c>
      <c r="E57" s="76"/>
      <c r="F57" s="76"/>
      <c r="G57" s="76"/>
      <c r="H57" s="76"/>
      <c r="I57" s="76"/>
      <c r="J57" s="76"/>
      <c r="K57" s="77"/>
    </row>
    <row r="58" spans="1:11" ht="15" customHeight="1" x14ac:dyDescent="0.2">
      <c r="A58" s="171"/>
      <c r="B58" s="172" t="s">
        <v>490</v>
      </c>
      <c r="C58" s="78" t="s">
        <v>265</v>
      </c>
      <c r="D58" s="79" t="s">
        <v>491</v>
      </c>
      <c r="E58" s="76"/>
      <c r="F58" s="76"/>
      <c r="G58" s="76"/>
      <c r="H58" s="76"/>
      <c r="I58" s="76"/>
      <c r="J58" s="76"/>
      <c r="K58" s="77"/>
    </row>
    <row r="59" spans="1:11" ht="45" customHeight="1" x14ac:dyDescent="0.2">
      <c r="A59" s="171"/>
      <c r="B59" s="172"/>
      <c r="C59" s="78" t="s">
        <v>430</v>
      </c>
      <c r="D59" s="79" t="s">
        <v>492</v>
      </c>
      <c r="E59" s="76"/>
      <c r="F59" s="76"/>
      <c r="G59" s="76"/>
      <c r="H59" s="76"/>
      <c r="I59" s="76"/>
      <c r="J59" s="76"/>
      <c r="K59" s="77"/>
    </row>
    <row r="60" spans="1:11" ht="57" customHeight="1" x14ac:dyDescent="0.2">
      <c r="A60" s="171"/>
      <c r="B60" s="74" t="s">
        <v>493</v>
      </c>
      <c r="C60" s="78" t="s">
        <v>494</v>
      </c>
      <c r="D60" s="79" t="s">
        <v>495</v>
      </c>
      <c r="E60" s="76"/>
      <c r="F60" s="76"/>
      <c r="G60" s="76"/>
      <c r="H60" s="76"/>
      <c r="I60" s="76"/>
      <c r="J60" s="76"/>
      <c r="K60" s="77"/>
    </row>
    <row r="61" spans="1:11" ht="21" customHeight="1" x14ac:dyDescent="0.2">
      <c r="A61" s="171"/>
      <c r="B61" s="172" t="s">
        <v>496</v>
      </c>
      <c r="C61" s="78" t="s">
        <v>265</v>
      </c>
      <c r="D61" s="79" t="s">
        <v>497</v>
      </c>
      <c r="E61" s="76"/>
      <c r="F61" s="76"/>
      <c r="G61" s="76"/>
      <c r="H61" s="76"/>
      <c r="I61" s="76"/>
      <c r="J61" s="76"/>
      <c r="K61" s="77"/>
    </row>
    <row r="62" spans="1:11" ht="15" customHeight="1" x14ac:dyDescent="0.2">
      <c r="A62" s="171"/>
      <c r="B62" s="172"/>
      <c r="C62" s="173" t="s">
        <v>407</v>
      </c>
      <c r="D62" s="174" t="s">
        <v>498</v>
      </c>
      <c r="E62" s="75" t="s">
        <v>409</v>
      </c>
      <c r="F62" s="76"/>
      <c r="G62" s="76"/>
      <c r="H62" s="76"/>
      <c r="I62" s="76"/>
      <c r="J62" s="76"/>
      <c r="K62" s="77"/>
    </row>
    <row r="63" spans="1:11" ht="15" customHeight="1" x14ac:dyDescent="0.2">
      <c r="A63" s="171"/>
      <c r="B63" s="172"/>
      <c r="C63" s="173"/>
      <c r="D63" s="174"/>
      <c r="E63" s="75" t="s">
        <v>410</v>
      </c>
      <c r="F63" s="76"/>
      <c r="G63" s="76"/>
      <c r="H63" s="76"/>
      <c r="I63" s="76"/>
      <c r="J63" s="76"/>
      <c r="K63" s="77"/>
    </row>
    <row r="64" spans="1:11" ht="15" customHeight="1" x14ac:dyDescent="0.2">
      <c r="A64" s="171"/>
      <c r="B64" s="172"/>
      <c r="C64" s="173"/>
      <c r="D64" s="174"/>
      <c r="E64" s="76" t="s">
        <v>411</v>
      </c>
      <c r="F64" s="76"/>
      <c r="G64" s="76"/>
      <c r="H64" s="76"/>
      <c r="I64" s="76"/>
      <c r="J64" s="76"/>
      <c r="K64" s="77"/>
    </row>
    <row r="65" spans="1:11" ht="15" customHeight="1" x14ac:dyDescent="0.2">
      <c r="A65" s="171"/>
      <c r="B65" s="172"/>
      <c r="C65" s="173"/>
      <c r="D65" s="174"/>
      <c r="E65" s="76" t="s">
        <v>412</v>
      </c>
      <c r="F65" s="76"/>
      <c r="G65" s="76"/>
      <c r="H65" s="76"/>
      <c r="I65" s="76"/>
      <c r="J65" s="76"/>
      <c r="K65" s="77"/>
    </row>
    <row r="66" spans="1:11" ht="15" customHeight="1" x14ac:dyDescent="0.2">
      <c r="A66" s="171"/>
      <c r="B66" s="172"/>
      <c r="C66" s="173"/>
      <c r="D66" s="173"/>
      <c r="E66" s="76" t="s">
        <v>413</v>
      </c>
      <c r="F66" s="76"/>
      <c r="G66" s="76"/>
      <c r="H66" s="76"/>
      <c r="I66" s="76"/>
      <c r="J66" s="76"/>
      <c r="K66" s="77"/>
    </row>
    <row r="67" spans="1:11" ht="15" customHeight="1" x14ac:dyDescent="0.2">
      <c r="A67" s="171"/>
      <c r="B67" s="172" t="s">
        <v>499</v>
      </c>
      <c r="C67" s="78" t="s">
        <v>430</v>
      </c>
      <c r="D67" s="79" t="s">
        <v>500</v>
      </c>
      <c r="E67" s="76"/>
      <c r="F67" s="76"/>
      <c r="G67" s="76"/>
      <c r="H67" s="76"/>
      <c r="I67" s="76"/>
      <c r="J67" s="76"/>
      <c r="K67" s="77"/>
    </row>
    <row r="68" spans="1:11" ht="15" customHeight="1" x14ac:dyDescent="0.2">
      <c r="A68" s="171"/>
      <c r="B68" s="172"/>
      <c r="C68" s="173" t="s">
        <v>501</v>
      </c>
      <c r="D68" s="174" t="s">
        <v>502</v>
      </c>
      <c r="E68" s="75" t="s">
        <v>485</v>
      </c>
      <c r="F68" s="76"/>
      <c r="G68" s="76"/>
      <c r="H68" s="76"/>
      <c r="I68" s="76"/>
      <c r="J68" s="76"/>
      <c r="K68" s="77"/>
    </row>
    <row r="69" spans="1:11" ht="15" customHeight="1" x14ac:dyDescent="0.2">
      <c r="A69" s="171"/>
      <c r="B69" s="172"/>
      <c r="C69" s="173"/>
      <c r="D69" s="174"/>
      <c r="E69" s="76" t="s">
        <v>486</v>
      </c>
      <c r="F69" s="76"/>
      <c r="G69" s="76"/>
      <c r="H69" s="76"/>
      <c r="I69" s="76"/>
      <c r="J69" s="76"/>
      <c r="K69" s="77"/>
    </row>
    <row r="70" spans="1:11" ht="15" customHeight="1" x14ac:dyDescent="0.2">
      <c r="A70" s="171"/>
      <c r="B70" s="172"/>
      <c r="C70" s="173"/>
      <c r="D70" s="173"/>
      <c r="E70" s="75" t="s">
        <v>487</v>
      </c>
      <c r="F70" s="76"/>
      <c r="G70" s="76"/>
      <c r="H70" s="76"/>
      <c r="I70" s="76"/>
      <c r="J70" s="76"/>
      <c r="K70" s="77"/>
    </row>
    <row r="71" spans="1:11" ht="15" customHeight="1" x14ac:dyDescent="0.2">
      <c r="A71" s="175" t="s">
        <v>503</v>
      </c>
      <c r="B71" s="176" t="s">
        <v>504</v>
      </c>
      <c r="C71" s="80" t="s">
        <v>425</v>
      </c>
      <c r="D71" s="81" t="s">
        <v>505</v>
      </c>
      <c r="E71" s="82"/>
      <c r="F71" s="82"/>
      <c r="G71" s="82"/>
      <c r="H71" s="82"/>
      <c r="I71" s="82"/>
      <c r="J71" s="82"/>
      <c r="K71" s="83"/>
    </row>
    <row r="72" spans="1:11" ht="15" customHeight="1" x14ac:dyDescent="0.2">
      <c r="A72" s="175"/>
      <c r="B72" s="176"/>
      <c r="C72" s="177" t="s">
        <v>440</v>
      </c>
      <c r="D72" s="178" t="s">
        <v>506</v>
      </c>
      <c r="E72" s="82" t="s">
        <v>442</v>
      </c>
      <c r="F72" s="82"/>
      <c r="G72" s="82"/>
      <c r="H72" s="82"/>
      <c r="I72" s="82"/>
      <c r="J72" s="82"/>
      <c r="K72" s="83"/>
    </row>
    <row r="73" spans="1:11" ht="15" customHeight="1" x14ac:dyDescent="0.2">
      <c r="A73" s="175"/>
      <c r="B73" s="176"/>
      <c r="C73" s="177"/>
      <c r="D73" s="178"/>
      <c r="E73" s="75" t="s">
        <v>443</v>
      </c>
      <c r="F73" s="82"/>
      <c r="G73" s="82"/>
      <c r="H73" s="82"/>
      <c r="I73" s="82"/>
      <c r="J73" s="82"/>
      <c r="K73" s="83"/>
    </row>
    <row r="74" spans="1:11" ht="15" customHeight="1" x14ac:dyDescent="0.2">
      <c r="A74" s="175"/>
      <c r="B74" s="176"/>
      <c r="C74" s="177"/>
      <c r="D74" s="178"/>
      <c r="E74" s="82" t="s">
        <v>64</v>
      </c>
      <c r="F74" s="82"/>
      <c r="G74" s="82"/>
      <c r="H74" s="82"/>
      <c r="I74" s="82"/>
      <c r="J74" s="82"/>
      <c r="K74" s="83"/>
    </row>
    <row r="75" spans="1:11" ht="15" customHeight="1" x14ac:dyDescent="0.2">
      <c r="A75" s="175"/>
      <c r="B75" s="176"/>
      <c r="C75" s="177"/>
      <c r="D75" s="178"/>
      <c r="E75" s="82" t="s">
        <v>444</v>
      </c>
      <c r="F75" s="82"/>
      <c r="G75" s="82"/>
      <c r="H75" s="82"/>
      <c r="I75" s="82"/>
      <c r="J75" s="82"/>
      <c r="K75" s="83"/>
    </row>
    <row r="76" spans="1:11" ht="15" customHeight="1" x14ac:dyDescent="0.2">
      <c r="A76" s="175"/>
      <c r="B76" s="176"/>
      <c r="C76" s="177"/>
      <c r="D76" s="178"/>
      <c r="E76" s="75" t="s">
        <v>55</v>
      </c>
      <c r="F76" s="82"/>
      <c r="G76" s="82"/>
      <c r="H76" s="82"/>
      <c r="I76" s="82"/>
      <c r="J76" s="82"/>
      <c r="K76" s="83"/>
    </row>
    <row r="77" spans="1:11" ht="15" customHeight="1" x14ac:dyDescent="0.2">
      <c r="A77" s="175"/>
      <c r="B77" s="176" t="s">
        <v>507</v>
      </c>
      <c r="C77" s="179" t="s">
        <v>440</v>
      </c>
      <c r="D77" s="180" t="s">
        <v>508</v>
      </c>
      <c r="E77" s="75" t="s">
        <v>442</v>
      </c>
      <c r="F77" s="82"/>
      <c r="G77" s="82"/>
      <c r="H77" s="82"/>
      <c r="I77" s="82"/>
      <c r="J77" s="82"/>
      <c r="K77" s="83"/>
    </row>
    <row r="78" spans="1:11" ht="15" customHeight="1" x14ac:dyDescent="0.2">
      <c r="A78" s="175"/>
      <c r="B78" s="176"/>
      <c r="C78" s="179"/>
      <c r="D78" s="180"/>
      <c r="E78" s="75" t="s">
        <v>443</v>
      </c>
      <c r="F78" s="82"/>
      <c r="G78" s="82"/>
      <c r="H78" s="82"/>
      <c r="I78" s="82"/>
      <c r="J78" s="82"/>
      <c r="K78" s="83"/>
    </row>
    <row r="79" spans="1:11" ht="15" customHeight="1" x14ac:dyDescent="0.2">
      <c r="A79" s="175"/>
      <c r="B79" s="176"/>
      <c r="C79" s="179"/>
      <c r="D79" s="180"/>
      <c r="E79" s="82" t="s">
        <v>64</v>
      </c>
      <c r="F79" s="82"/>
      <c r="G79" s="82"/>
      <c r="H79" s="82"/>
      <c r="I79" s="82"/>
      <c r="J79" s="82"/>
      <c r="K79" s="83"/>
    </row>
    <row r="80" spans="1:11" ht="15" customHeight="1" x14ac:dyDescent="0.2">
      <c r="A80" s="175"/>
      <c r="B80" s="176"/>
      <c r="C80" s="179"/>
      <c r="D80" s="180"/>
      <c r="E80" s="82" t="s">
        <v>444</v>
      </c>
      <c r="F80" s="82"/>
      <c r="G80" s="82"/>
      <c r="H80" s="82"/>
      <c r="I80" s="82"/>
      <c r="J80" s="82"/>
      <c r="K80" s="83"/>
    </row>
    <row r="81" spans="1:11" ht="15" customHeight="1" x14ac:dyDescent="0.2">
      <c r="A81" s="175"/>
      <c r="B81" s="176"/>
      <c r="C81" s="179"/>
      <c r="D81" s="179"/>
      <c r="E81" s="82" t="s">
        <v>55</v>
      </c>
      <c r="F81" s="82"/>
      <c r="G81" s="82"/>
      <c r="H81" s="82"/>
      <c r="I81" s="82"/>
      <c r="J81" s="82"/>
      <c r="K81" s="83"/>
    </row>
    <row r="82" spans="1:11" ht="15" customHeight="1" x14ac:dyDescent="0.2">
      <c r="A82" s="175"/>
      <c r="B82" s="176"/>
      <c r="C82" s="80" t="s">
        <v>425</v>
      </c>
      <c r="D82" s="81" t="s">
        <v>509</v>
      </c>
      <c r="E82" s="82"/>
      <c r="F82" s="82"/>
      <c r="G82" s="82"/>
      <c r="H82" s="82"/>
      <c r="I82" s="82"/>
      <c r="J82" s="82"/>
      <c r="K82" s="83"/>
    </row>
    <row r="83" spans="1:11" ht="15" customHeight="1" x14ac:dyDescent="0.2">
      <c r="A83" s="175"/>
      <c r="B83" s="176"/>
      <c r="C83" s="177" t="s">
        <v>465</v>
      </c>
      <c r="D83" s="178" t="s">
        <v>510</v>
      </c>
      <c r="E83" s="75" t="s">
        <v>467</v>
      </c>
      <c r="F83" s="82"/>
      <c r="G83" s="82"/>
      <c r="H83" s="82"/>
      <c r="I83" s="82"/>
      <c r="J83" s="82"/>
      <c r="K83" s="83"/>
    </row>
    <row r="84" spans="1:11" ht="15" customHeight="1" x14ac:dyDescent="0.2">
      <c r="A84" s="175"/>
      <c r="B84" s="176"/>
      <c r="C84" s="177"/>
      <c r="D84" s="178"/>
      <c r="E84" s="75" t="s">
        <v>468</v>
      </c>
      <c r="F84" s="82"/>
      <c r="G84" s="82"/>
      <c r="H84" s="82"/>
      <c r="I84" s="82"/>
      <c r="J84" s="82"/>
      <c r="K84" s="83"/>
    </row>
    <row r="85" spans="1:11" ht="15" customHeight="1" x14ac:dyDescent="0.2">
      <c r="A85" s="175"/>
      <c r="B85" s="176"/>
      <c r="C85" s="80" t="s">
        <v>417</v>
      </c>
      <c r="D85" s="84" t="s">
        <v>511</v>
      </c>
      <c r="E85" s="82"/>
      <c r="F85" s="82"/>
      <c r="G85" s="82"/>
      <c r="H85" s="82"/>
      <c r="I85" s="82"/>
      <c r="J85" s="82"/>
      <c r="K85" s="83"/>
    </row>
    <row r="86" spans="1:11" ht="15" customHeight="1" x14ac:dyDescent="0.2">
      <c r="A86" s="181" t="s">
        <v>512</v>
      </c>
      <c r="B86" s="182" t="s">
        <v>513</v>
      </c>
      <c r="C86" s="183" t="s">
        <v>514</v>
      </c>
      <c r="D86" s="184" t="s">
        <v>515</v>
      </c>
      <c r="E86" s="75" t="s">
        <v>516</v>
      </c>
      <c r="F86" s="85"/>
      <c r="G86" s="85"/>
      <c r="H86" s="85"/>
      <c r="I86" s="85"/>
      <c r="J86" s="85"/>
      <c r="K86" s="86"/>
    </row>
    <row r="87" spans="1:11" ht="15" customHeight="1" x14ac:dyDescent="0.2">
      <c r="A87" s="181"/>
      <c r="B87" s="182"/>
      <c r="C87" s="183"/>
      <c r="D87" s="184"/>
      <c r="E87" s="75" t="s">
        <v>110</v>
      </c>
      <c r="F87" s="85"/>
      <c r="G87" s="85"/>
      <c r="H87" s="85"/>
      <c r="I87" s="85"/>
      <c r="J87" s="85"/>
      <c r="K87" s="86"/>
    </row>
    <row r="88" spans="1:11" ht="15" customHeight="1" x14ac:dyDescent="0.2">
      <c r="A88" s="181"/>
      <c r="B88" s="182"/>
      <c r="C88" s="183"/>
      <c r="D88" s="184"/>
      <c r="E88" s="85" t="s">
        <v>114</v>
      </c>
      <c r="F88" s="85"/>
      <c r="G88" s="85"/>
      <c r="H88" s="85"/>
      <c r="I88" s="85"/>
      <c r="J88" s="85"/>
      <c r="K88" s="86"/>
    </row>
    <row r="89" spans="1:11" ht="15" customHeight="1" x14ac:dyDescent="0.2">
      <c r="A89" s="181"/>
      <c r="B89" s="182"/>
      <c r="C89" s="183"/>
      <c r="D89" s="183"/>
      <c r="E89" s="75" t="s">
        <v>517</v>
      </c>
      <c r="F89" s="85"/>
      <c r="G89" s="85"/>
      <c r="H89" s="85"/>
      <c r="I89" s="85"/>
      <c r="J89" s="85"/>
      <c r="K89" s="86"/>
    </row>
    <row r="90" spans="1:11" ht="15" customHeight="1" x14ac:dyDescent="0.2">
      <c r="A90" s="181"/>
      <c r="B90" s="182"/>
      <c r="C90" s="183" t="s">
        <v>434</v>
      </c>
      <c r="D90" s="184" t="s">
        <v>518</v>
      </c>
      <c r="E90" s="85" t="s">
        <v>436</v>
      </c>
      <c r="F90" s="85"/>
      <c r="G90" s="85"/>
      <c r="H90" s="85"/>
      <c r="I90" s="85"/>
      <c r="J90" s="85"/>
      <c r="K90" s="86"/>
    </row>
    <row r="91" spans="1:11" ht="15" customHeight="1" x14ac:dyDescent="0.2">
      <c r="A91" s="181"/>
      <c r="B91" s="182"/>
      <c r="C91" s="183"/>
      <c r="D91" s="184"/>
      <c r="E91" s="85" t="s">
        <v>157</v>
      </c>
      <c r="F91" s="85"/>
      <c r="G91" s="85"/>
      <c r="H91" s="85"/>
      <c r="I91" s="85"/>
      <c r="J91" s="85"/>
      <c r="K91" s="86"/>
    </row>
    <row r="92" spans="1:11" ht="15" customHeight="1" x14ac:dyDescent="0.2">
      <c r="A92" s="181"/>
      <c r="B92" s="182"/>
      <c r="C92" s="183"/>
      <c r="D92" s="184"/>
      <c r="E92" s="85" t="s">
        <v>437</v>
      </c>
      <c r="F92" s="85"/>
      <c r="G92" s="85"/>
      <c r="H92" s="85"/>
      <c r="I92" s="85"/>
      <c r="J92" s="85"/>
      <c r="K92" s="86"/>
    </row>
    <row r="93" spans="1:11" ht="30" customHeight="1" x14ac:dyDescent="0.2">
      <c r="A93" s="181"/>
      <c r="B93" s="182"/>
      <c r="C93" s="182"/>
      <c r="D93" s="182"/>
      <c r="E93" s="85" t="s">
        <v>438</v>
      </c>
      <c r="F93" s="85"/>
      <c r="G93" s="85"/>
      <c r="H93" s="85"/>
      <c r="I93" s="85"/>
      <c r="J93" s="85"/>
      <c r="K93" s="86"/>
    </row>
    <row r="94" spans="1:11" ht="27" customHeight="1" x14ac:dyDescent="0.2">
      <c r="A94" s="181"/>
      <c r="B94" s="182" t="s">
        <v>519</v>
      </c>
      <c r="C94" s="87" t="s">
        <v>419</v>
      </c>
      <c r="D94" s="88" t="s">
        <v>520</v>
      </c>
      <c r="E94" s="85"/>
      <c r="F94" s="85"/>
      <c r="G94" s="85"/>
      <c r="H94" s="85"/>
      <c r="I94" s="85"/>
      <c r="J94" s="85"/>
      <c r="K94" s="86"/>
    </row>
    <row r="95" spans="1:11" ht="15" customHeight="1" x14ac:dyDescent="0.2">
      <c r="A95" s="181"/>
      <c r="B95" s="182"/>
      <c r="C95" s="183" t="s">
        <v>514</v>
      </c>
      <c r="D95" s="184" t="s">
        <v>521</v>
      </c>
      <c r="E95" s="75" t="s">
        <v>516</v>
      </c>
      <c r="F95" s="85"/>
      <c r="G95" s="85"/>
      <c r="H95" s="85"/>
      <c r="I95" s="85"/>
      <c r="J95" s="85"/>
      <c r="K95" s="86"/>
    </row>
    <row r="96" spans="1:11" ht="15" customHeight="1" x14ac:dyDescent="0.2">
      <c r="A96" s="181"/>
      <c r="B96" s="182"/>
      <c r="C96" s="183"/>
      <c r="D96" s="184"/>
      <c r="E96" s="85" t="s">
        <v>110</v>
      </c>
      <c r="F96" s="85"/>
      <c r="G96" s="85"/>
      <c r="H96" s="85"/>
      <c r="I96" s="85"/>
      <c r="J96" s="85"/>
      <c r="K96" s="86"/>
    </row>
    <row r="97" spans="1:11" ht="15" customHeight="1" x14ac:dyDescent="0.2">
      <c r="A97" s="181"/>
      <c r="B97" s="182"/>
      <c r="C97" s="183"/>
      <c r="D97" s="184"/>
      <c r="E97" s="75" t="s">
        <v>114</v>
      </c>
      <c r="F97" s="85"/>
      <c r="G97" s="85"/>
      <c r="H97" s="85"/>
      <c r="I97" s="85"/>
      <c r="J97" s="85"/>
      <c r="K97" s="86"/>
    </row>
    <row r="98" spans="1:11" ht="15" customHeight="1" x14ac:dyDescent="0.2">
      <c r="A98" s="181"/>
      <c r="B98" s="182"/>
      <c r="C98" s="182"/>
      <c r="D98" s="182"/>
      <c r="E98" s="85" t="s">
        <v>517</v>
      </c>
      <c r="F98" s="85"/>
      <c r="G98" s="85"/>
      <c r="H98" s="85"/>
      <c r="I98" s="85"/>
      <c r="J98" s="85"/>
      <c r="K98" s="86"/>
    </row>
    <row r="99" spans="1:11" ht="15" customHeight="1" x14ac:dyDescent="0.2">
      <c r="A99" s="181"/>
      <c r="B99" s="185" t="s">
        <v>522</v>
      </c>
      <c r="C99" s="183" t="s">
        <v>407</v>
      </c>
      <c r="D99" s="184" t="s">
        <v>523</v>
      </c>
      <c r="E99" s="75" t="s">
        <v>409</v>
      </c>
      <c r="F99" s="85"/>
      <c r="G99" s="85"/>
      <c r="H99" s="85"/>
      <c r="I99" s="85"/>
      <c r="J99" s="85"/>
      <c r="K99" s="86"/>
    </row>
    <row r="100" spans="1:11" ht="15" customHeight="1" x14ac:dyDescent="0.2">
      <c r="A100" s="181"/>
      <c r="B100" s="185"/>
      <c r="C100" s="183"/>
      <c r="D100" s="184"/>
      <c r="E100" s="75" t="s">
        <v>410</v>
      </c>
      <c r="F100" s="85"/>
      <c r="G100" s="85"/>
      <c r="H100" s="85"/>
      <c r="I100" s="85"/>
      <c r="J100" s="85"/>
      <c r="K100" s="86"/>
    </row>
    <row r="101" spans="1:11" ht="15" customHeight="1" x14ac:dyDescent="0.2">
      <c r="A101" s="181"/>
      <c r="B101" s="185"/>
      <c r="C101" s="183"/>
      <c r="D101" s="184"/>
      <c r="E101" s="75" t="s">
        <v>411</v>
      </c>
      <c r="F101" s="85"/>
      <c r="G101" s="85"/>
      <c r="H101" s="85"/>
      <c r="I101" s="85"/>
      <c r="J101" s="85"/>
      <c r="K101" s="86"/>
    </row>
    <row r="102" spans="1:11" ht="15" customHeight="1" x14ac:dyDescent="0.2">
      <c r="A102" s="181"/>
      <c r="B102" s="185"/>
      <c r="C102" s="183"/>
      <c r="D102" s="184"/>
      <c r="E102" s="75" t="s">
        <v>412</v>
      </c>
      <c r="F102" s="85"/>
      <c r="G102" s="85"/>
      <c r="H102" s="85"/>
      <c r="I102" s="85"/>
      <c r="J102" s="85"/>
      <c r="K102" s="86"/>
    </row>
    <row r="103" spans="1:11" ht="15" customHeight="1" x14ac:dyDescent="0.2">
      <c r="A103" s="181"/>
      <c r="B103" s="185"/>
      <c r="C103" s="183"/>
      <c r="D103" s="183"/>
      <c r="E103" s="75" t="s">
        <v>413</v>
      </c>
      <c r="F103" s="85"/>
      <c r="G103" s="85"/>
      <c r="H103" s="85"/>
      <c r="I103" s="85"/>
      <c r="J103" s="85"/>
      <c r="K103" s="86"/>
    </row>
    <row r="104" spans="1:11" ht="15" customHeight="1" x14ac:dyDescent="0.2">
      <c r="A104" s="181"/>
      <c r="B104" s="185"/>
      <c r="C104" s="87" t="s">
        <v>421</v>
      </c>
      <c r="D104" s="89" t="s">
        <v>524</v>
      </c>
      <c r="E104" s="85"/>
      <c r="F104" s="85"/>
      <c r="G104" s="85"/>
      <c r="H104" s="85"/>
      <c r="I104" s="85"/>
      <c r="J104" s="85"/>
      <c r="K104" s="86"/>
    </row>
    <row r="105" spans="1:11" ht="15" customHeight="1" x14ac:dyDescent="0.2">
      <c r="A105" s="181"/>
      <c r="B105" s="185"/>
      <c r="C105" s="87" t="s">
        <v>419</v>
      </c>
      <c r="D105" s="88" t="s">
        <v>525</v>
      </c>
      <c r="E105" s="85"/>
      <c r="F105" s="85"/>
      <c r="G105" s="85"/>
      <c r="H105" s="85"/>
      <c r="I105" s="85"/>
      <c r="J105" s="85"/>
      <c r="K105" s="86"/>
    </row>
    <row r="106" spans="1:11" ht="15" customHeight="1" x14ac:dyDescent="0.2">
      <c r="A106" s="181"/>
      <c r="B106" s="185"/>
      <c r="C106" s="183" t="s">
        <v>514</v>
      </c>
      <c r="D106" s="184" t="s">
        <v>526</v>
      </c>
      <c r="E106" s="75" t="s">
        <v>516</v>
      </c>
      <c r="F106" s="85"/>
      <c r="G106" s="85"/>
      <c r="H106" s="85"/>
      <c r="I106" s="85"/>
      <c r="J106" s="85"/>
      <c r="K106" s="86"/>
    </row>
    <row r="107" spans="1:11" ht="15" customHeight="1" x14ac:dyDescent="0.2">
      <c r="A107" s="181"/>
      <c r="B107" s="185"/>
      <c r="C107" s="183"/>
      <c r="D107" s="184"/>
      <c r="E107" s="75" t="s">
        <v>110</v>
      </c>
      <c r="F107" s="85"/>
      <c r="G107" s="85"/>
      <c r="H107" s="85"/>
      <c r="I107" s="85"/>
      <c r="J107" s="85"/>
      <c r="K107" s="86"/>
    </row>
    <row r="108" spans="1:11" ht="15" customHeight="1" x14ac:dyDescent="0.2">
      <c r="A108" s="181"/>
      <c r="B108" s="185"/>
      <c r="C108" s="183"/>
      <c r="D108" s="184"/>
      <c r="E108" s="85" t="s">
        <v>114</v>
      </c>
      <c r="F108" s="85"/>
      <c r="G108" s="85"/>
      <c r="H108" s="85"/>
      <c r="I108" s="85"/>
      <c r="J108" s="85"/>
      <c r="K108" s="86"/>
    </row>
    <row r="109" spans="1:11" ht="15" customHeight="1" x14ac:dyDescent="0.2">
      <c r="A109" s="181"/>
      <c r="B109" s="185"/>
      <c r="C109" s="183"/>
      <c r="D109" s="183"/>
      <c r="E109" s="85" t="s">
        <v>517</v>
      </c>
      <c r="F109" s="85"/>
      <c r="G109" s="85"/>
      <c r="H109" s="85"/>
      <c r="I109" s="85"/>
      <c r="J109" s="85"/>
      <c r="K109" s="86"/>
    </row>
    <row r="110" spans="1:11" ht="15" customHeight="1" x14ac:dyDescent="0.2">
      <c r="A110" s="181"/>
      <c r="B110" s="185"/>
      <c r="C110" s="87" t="s">
        <v>417</v>
      </c>
      <c r="D110" s="88" t="s">
        <v>527</v>
      </c>
      <c r="E110" s="85"/>
      <c r="F110" s="85"/>
      <c r="G110" s="85"/>
      <c r="H110" s="85"/>
      <c r="I110" s="85"/>
      <c r="J110" s="85"/>
      <c r="K110" s="86" t="s">
        <v>528</v>
      </c>
    </row>
    <row r="111" spans="1:11" ht="13.5" customHeight="1" x14ac:dyDescent="0.2">
      <c r="A111" s="60"/>
      <c r="B111" s="90"/>
      <c r="C111" s="91"/>
      <c r="D111" s="59"/>
      <c r="E111" s="60"/>
      <c r="F111" s="60"/>
      <c r="G111" s="60"/>
      <c r="H111" s="60"/>
      <c r="I111" s="60"/>
    </row>
    <row r="112" spans="1:11" ht="13.5" customHeight="1" x14ac:dyDescent="0.2">
      <c r="A112" s="60"/>
      <c r="B112" s="90"/>
      <c r="C112" s="91"/>
      <c r="D112" s="59"/>
      <c r="E112" s="60"/>
      <c r="F112" s="60"/>
      <c r="G112" s="60"/>
      <c r="H112" s="60"/>
      <c r="I112" s="60"/>
    </row>
    <row r="113" spans="2:5" s="60" customFormat="1" ht="13.5" customHeight="1" x14ac:dyDescent="0.2">
      <c r="B113" s="90"/>
      <c r="C113" s="91"/>
      <c r="D113" s="59"/>
    </row>
    <row r="114" spans="2:5" s="60" customFormat="1" ht="13.5" customHeight="1" x14ac:dyDescent="0.2">
      <c r="B114" s="90"/>
      <c r="C114" s="91"/>
      <c r="D114" s="59"/>
    </row>
    <row r="115" spans="2:5" s="60" customFormat="1" ht="13.5" customHeight="1" x14ac:dyDescent="0.2">
      <c r="B115" s="90"/>
      <c r="C115" s="91"/>
      <c r="D115" s="59"/>
      <c r="E115" s="56"/>
    </row>
    <row r="116" spans="2:5" s="60" customFormat="1" ht="13.5" customHeight="1" x14ac:dyDescent="0.2">
      <c r="B116" s="90"/>
      <c r="C116" s="91"/>
      <c r="D116" s="59"/>
    </row>
    <row r="117" spans="2:5" s="60" customFormat="1" ht="13.5" customHeight="1" x14ac:dyDescent="0.2">
      <c r="B117" s="90"/>
      <c r="C117" s="91"/>
      <c r="D117" s="59"/>
      <c r="E117" s="56"/>
    </row>
    <row r="118" spans="2:5" s="60" customFormat="1" ht="13.5" customHeight="1" x14ac:dyDescent="0.2">
      <c r="B118" s="90"/>
      <c r="C118" s="91"/>
      <c r="D118" s="59"/>
    </row>
    <row r="119" spans="2:5" s="60" customFormat="1" ht="13.5" customHeight="1" x14ac:dyDescent="0.2">
      <c r="B119" s="90"/>
      <c r="C119" s="91"/>
      <c r="D119" s="59"/>
      <c r="E119" s="56"/>
    </row>
    <row r="120" spans="2:5" s="60" customFormat="1" ht="13.5" customHeight="1" x14ac:dyDescent="0.2">
      <c r="B120" s="90"/>
      <c r="C120" s="91"/>
      <c r="D120" s="59"/>
    </row>
    <row r="121" spans="2:5" s="60" customFormat="1" ht="13.5" customHeight="1" x14ac:dyDescent="0.2">
      <c r="B121" s="90"/>
      <c r="C121" s="91"/>
      <c r="D121" s="59"/>
      <c r="E121" s="56"/>
    </row>
    <row r="122" spans="2:5" s="60" customFormat="1" ht="13.5" customHeight="1" x14ac:dyDescent="0.2">
      <c r="B122" s="90"/>
      <c r="C122" s="91"/>
      <c r="D122" s="59"/>
    </row>
    <row r="123" spans="2:5" s="60" customFormat="1" ht="13.5" customHeight="1" x14ac:dyDescent="0.2">
      <c r="B123" s="90"/>
      <c r="C123" s="91"/>
      <c r="D123" s="59"/>
    </row>
    <row r="124" spans="2:5" s="60" customFormat="1" ht="13.5" customHeight="1" x14ac:dyDescent="0.2">
      <c r="B124" s="90"/>
      <c r="C124" s="91"/>
      <c r="D124" s="59"/>
    </row>
    <row r="125" spans="2:5" s="60" customFormat="1" ht="13.5" customHeight="1" x14ac:dyDescent="0.2">
      <c r="B125" s="90"/>
      <c r="C125" s="91"/>
      <c r="D125" s="59"/>
    </row>
    <row r="126" spans="2:5" s="60" customFormat="1" ht="13.5" customHeight="1" x14ac:dyDescent="0.2">
      <c r="B126" s="90"/>
      <c r="C126" s="91"/>
      <c r="D126" s="59"/>
    </row>
    <row r="127" spans="2:5" s="60" customFormat="1" ht="13.5" customHeight="1" x14ac:dyDescent="0.2">
      <c r="B127" s="90"/>
      <c r="C127" s="91"/>
      <c r="D127" s="59"/>
    </row>
    <row r="128" spans="2:5" s="60" customFormat="1" ht="13.5" customHeight="1" x14ac:dyDescent="0.2">
      <c r="B128" s="90"/>
      <c r="C128" s="91"/>
      <c r="D128" s="59"/>
    </row>
    <row r="129" spans="2:4" s="60" customFormat="1" ht="13.5" customHeight="1" x14ac:dyDescent="0.2">
      <c r="B129" s="90"/>
      <c r="C129" s="91"/>
      <c r="D129" s="59"/>
    </row>
    <row r="130" spans="2:4" s="60" customFormat="1" ht="13.5" customHeight="1" x14ac:dyDescent="0.2">
      <c r="B130" s="90"/>
      <c r="C130" s="91"/>
      <c r="D130" s="59"/>
    </row>
    <row r="131" spans="2:4" s="60" customFormat="1" ht="13.5" customHeight="1" x14ac:dyDescent="0.2">
      <c r="B131" s="90"/>
      <c r="C131" s="91"/>
      <c r="D131" s="59"/>
    </row>
    <row r="132" spans="2:4" s="60" customFormat="1" ht="13.5" customHeight="1" x14ac:dyDescent="0.2">
      <c r="B132" s="90"/>
      <c r="C132" s="91"/>
      <c r="D132" s="59"/>
    </row>
    <row r="133" spans="2:4" s="60" customFormat="1" ht="13.5" customHeight="1" x14ac:dyDescent="0.2">
      <c r="B133" s="90"/>
      <c r="C133" s="91"/>
      <c r="D133" s="59"/>
    </row>
    <row r="134" spans="2:4" s="60" customFormat="1" ht="13.5" customHeight="1" x14ac:dyDescent="0.2">
      <c r="B134" s="90"/>
      <c r="C134" s="91"/>
      <c r="D134" s="59"/>
    </row>
    <row r="135" spans="2:4" s="60" customFormat="1" ht="13.5" customHeight="1" x14ac:dyDescent="0.2">
      <c r="B135" s="90"/>
      <c r="C135" s="91"/>
      <c r="D135" s="59"/>
    </row>
    <row r="136" spans="2:4" s="60" customFormat="1" ht="13.5" customHeight="1" x14ac:dyDescent="0.2">
      <c r="B136" s="90"/>
      <c r="C136" s="91"/>
      <c r="D136" s="59"/>
    </row>
    <row r="137" spans="2:4" s="60" customFormat="1" ht="13.5" customHeight="1" x14ac:dyDescent="0.2">
      <c r="B137" s="90"/>
      <c r="C137" s="91"/>
      <c r="D137" s="59"/>
    </row>
    <row r="138" spans="2:4" s="60" customFormat="1" ht="13.5" customHeight="1" x14ac:dyDescent="0.2">
      <c r="B138" s="90"/>
      <c r="C138" s="91"/>
      <c r="D138" s="59"/>
    </row>
    <row r="139" spans="2:4" s="60" customFormat="1" ht="13.5" customHeight="1" x14ac:dyDescent="0.2">
      <c r="B139" s="90"/>
      <c r="C139" s="91"/>
      <c r="D139" s="59"/>
    </row>
    <row r="140" spans="2:4" s="60" customFormat="1" ht="13.5" customHeight="1" x14ac:dyDescent="0.2">
      <c r="B140" s="90"/>
      <c r="C140" s="91"/>
      <c r="D140" s="59"/>
    </row>
    <row r="141" spans="2:4" s="60" customFormat="1" ht="13.5" customHeight="1" x14ac:dyDescent="0.2">
      <c r="B141" s="90"/>
      <c r="C141" s="91"/>
      <c r="D141" s="59"/>
    </row>
    <row r="142" spans="2:4" s="60" customFormat="1" ht="13.5" customHeight="1" x14ac:dyDescent="0.2">
      <c r="B142" s="90"/>
      <c r="C142" s="91"/>
      <c r="D142" s="59"/>
    </row>
    <row r="143" spans="2:4" s="60" customFormat="1" ht="13.5" customHeight="1" x14ac:dyDescent="0.2">
      <c r="B143" s="90"/>
      <c r="C143" s="91"/>
      <c r="D143" s="59"/>
    </row>
    <row r="144" spans="2:4" s="60" customFormat="1" ht="13.5" customHeight="1" x14ac:dyDescent="0.2">
      <c r="B144" s="90"/>
      <c r="C144" s="91"/>
      <c r="D144" s="59"/>
    </row>
    <row r="145" spans="2:4" s="60" customFormat="1" ht="13.5" customHeight="1" x14ac:dyDescent="0.2">
      <c r="B145" s="90"/>
      <c r="C145" s="91"/>
      <c r="D145" s="59"/>
    </row>
    <row r="146" spans="2:4" s="60" customFormat="1" ht="13.5" customHeight="1" x14ac:dyDescent="0.2">
      <c r="B146" s="90"/>
      <c r="C146" s="91"/>
      <c r="D146" s="59"/>
    </row>
    <row r="147" spans="2:4" s="60" customFormat="1" ht="13.5" customHeight="1" x14ac:dyDescent="0.2">
      <c r="B147" s="90"/>
      <c r="C147" s="91"/>
      <c r="D147" s="59"/>
    </row>
    <row r="148" spans="2:4" s="60" customFormat="1" ht="13.5" customHeight="1" x14ac:dyDescent="0.2">
      <c r="B148" s="90"/>
      <c r="C148" s="91"/>
      <c r="D148" s="59"/>
    </row>
    <row r="149" spans="2:4" s="60" customFormat="1" ht="13.5" customHeight="1" x14ac:dyDescent="0.2">
      <c r="B149" s="90"/>
      <c r="C149" s="91"/>
      <c r="D149" s="59"/>
    </row>
    <row r="150" spans="2:4" s="60" customFormat="1" ht="13.5" customHeight="1" x14ac:dyDescent="0.2">
      <c r="B150" s="90"/>
      <c r="C150" s="91"/>
      <c r="D150" s="59"/>
    </row>
    <row r="151" spans="2:4" s="60" customFormat="1" ht="13.5" customHeight="1" x14ac:dyDescent="0.2">
      <c r="B151" s="90"/>
      <c r="C151" s="91"/>
      <c r="D151" s="59"/>
    </row>
    <row r="152" spans="2:4" s="60" customFormat="1" ht="13.5" customHeight="1" x14ac:dyDescent="0.2">
      <c r="B152" s="90"/>
      <c r="C152" s="91"/>
      <c r="D152" s="59"/>
    </row>
    <row r="153" spans="2:4" s="60" customFormat="1" ht="13.5" customHeight="1" x14ac:dyDescent="0.2">
      <c r="B153" s="90"/>
      <c r="C153" s="91"/>
      <c r="D153" s="59"/>
    </row>
    <row r="154" spans="2:4" s="60" customFormat="1" ht="13.5" customHeight="1" x14ac:dyDescent="0.2">
      <c r="B154" s="90"/>
      <c r="C154" s="91"/>
      <c r="D154" s="59"/>
    </row>
    <row r="155" spans="2:4" s="60" customFormat="1" ht="13.5" customHeight="1" x14ac:dyDescent="0.2">
      <c r="B155" s="90"/>
      <c r="C155" s="91"/>
      <c r="D155" s="59"/>
    </row>
    <row r="156" spans="2:4" s="60" customFormat="1" ht="13.5" customHeight="1" x14ac:dyDescent="0.2">
      <c r="B156" s="90"/>
      <c r="C156" s="91"/>
      <c r="D156" s="59"/>
    </row>
    <row r="157" spans="2:4" s="60" customFormat="1" ht="13.5" customHeight="1" x14ac:dyDescent="0.2">
      <c r="B157" s="90"/>
      <c r="C157" s="91"/>
      <c r="D157" s="59"/>
    </row>
    <row r="158" spans="2:4" s="60" customFormat="1" ht="13.5" customHeight="1" x14ac:dyDescent="0.2">
      <c r="B158" s="90"/>
      <c r="C158" s="91"/>
      <c r="D158" s="59"/>
    </row>
    <row r="159" spans="2:4" s="60" customFormat="1" ht="13.5" customHeight="1" x14ac:dyDescent="0.2">
      <c r="B159" s="90"/>
      <c r="C159" s="91"/>
      <c r="D159" s="59"/>
    </row>
    <row r="160" spans="2:4" s="60" customFormat="1" ht="13.5" customHeight="1" x14ac:dyDescent="0.2">
      <c r="B160" s="90"/>
      <c r="C160" s="91"/>
      <c r="D160" s="59"/>
    </row>
    <row r="161" spans="2:4" s="60" customFormat="1" ht="13.5" customHeight="1" x14ac:dyDescent="0.2">
      <c r="B161" s="90"/>
      <c r="C161" s="91"/>
      <c r="D161" s="59"/>
    </row>
    <row r="162" spans="2:4" s="60" customFormat="1" ht="13.5" customHeight="1" x14ac:dyDescent="0.2">
      <c r="B162" s="90"/>
      <c r="C162" s="91"/>
      <c r="D162" s="59"/>
    </row>
    <row r="163" spans="2:4" s="60" customFormat="1" ht="13.5" customHeight="1" x14ac:dyDescent="0.2">
      <c r="B163" s="90"/>
      <c r="C163" s="91"/>
      <c r="D163" s="59"/>
    </row>
    <row r="164" spans="2:4" s="60" customFormat="1" ht="13.5" customHeight="1" x14ac:dyDescent="0.2">
      <c r="B164" s="90"/>
      <c r="C164" s="91"/>
      <c r="D164" s="59"/>
    </row>
    <row r="165" spans="2:4" s="60" customFormat="1" ht="13.5" customHeight="1" x14ac:dyDescent="0.2">
      <c r="B165" s="90"/>
      <c r="C165" s="91"/>
      <c r="D165" s="59"/>
    </row>
    <row r="166" spans="2:4" s="60" customFormat="1" ht="13.5" customHeight="1" x14ac:dyDescent="0.2">
      <c r="B166" s="90"/>
      <c r="C166" s="91"/>
      <c r="D166" s="59"/>
    </row>
  </sheetData>
  <mergeCells count="70">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 ref="A71:A85"/>
    <mergeCell ref="B71:B76"/>
    <mergeCell ref="C72:C76"/>
    <mergeCell ref="D72:D76"/>
    <mergeCell ref="B77:B85"/>
    <mergeCell ref="C77:C81"/>
    <mergeCell ref="D77:D81"/>
    <mergeCell ref="C83:C84"/>
    <mergeCell ref="D83:D84"/>
    <mergeCell ref="A54:A70"/>
    <mergeCell ref="B54:B56"/>
    <mergeCell ref="C54:C56"/>
    <mergeCell ref="D54:D56"/>
    <mergeCell ref="B58:B59"/>
    <mergeCell ref="B61:B66"/>
    <mergeCell ref="C62:C66"/>
    <mergeCell ref="D62:D66"/>
    <mergeCell ref="B67:B70"/>
    <mergeCell ref="C68:C70"/>
    <mergeCell ref="D68:D70"/>
    <mergeCell ref="A37:A53"/>
    <mergeCell ref="B37:B44"/>
    <mergeCell ref="C38:C43"/>
    <mergeCell ref="D38:D43"/>
    <mergeCell ref="B45:B50"/>
    <mergeCell ref="C45:C46"/>
    <mergeCell ref="D45:D46"/>
    <mergeCell ref="C47:C50"/>
    <mergeCell ref="D47:D50"/>
    <mergeCell ref="B51:B53"/>
    <mergeCell ref="C51:C53"/>
    <mergeCell ref="D51:D53"/>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2:A15"/>
    <mergeCell ref="B2:B11"/>
    <mergeCell ref="C2:C6"/>
    <mergeCell ref="D2:D6"/>
    <mergeCell ref="C7:C8"/>
    <mergeCell ref="D7:D8"/>
    <mergeCell ref="B12:B13"/>
    <mergeCell ref="B14:B15"/>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23" customWidth="1"/>
    <col min="2" max="2" width="21.6640625" style="23" customWidth="1"/>
    <col min="3" max="3" width="67.5" style="23" customWidth="1"/>
    <col min="4" max="4" width="10.33203125" style="23" customWidth="1"/>
    <col min="5" max="5" width="16.33203125" style="23" customWidth="1"/>
    <col min="6" max="6" width="36.5" style="23" customWidth="1"/>
    <col min="7" max="7" width="15.1640625" style="23" customWidth="1"/>
    <col min="8" max="8" width="47.5" style="23" customWidth="1"/>
    <col min="9" max="9" width="7" style="23" customWidth="1"/>
    <col min="10" max="10" width="8.83203125" style="23" customWidth="1"/>
    <col min="11" max="11" width="13.83203125" style="23" customWidth="1"/>
    <col min="12" max="12" width="14.83203125" style="23" customWidth="1"/>
    <col min="13" max="13" width="16.33203125" style="23" customWidth="1"/>
    <col min="14" max="14" width="17.5" style="23" customWidth="1"/>
    <col min="15" max="15" width="12.1640625" style="23" customWidth="1"/>
    <col min="16" max="16" width="16" style="23" customWidth="1"/>
    <col min="17" max="17" width="21.6640625" style="23" customWidth="1"/>
    <col min="18" max="18" width="31.83203125" style="23" customWidth="1"/>
    <col min="19" max="19" width="77.33203125" style="23" customWidth="1"/>
    <col min="20" max="20" width="8.1640625" style="23" customWidth="1"/>
    <col min="21" max="16384" width="34" style="23"/>
  </cols>
  <sheetData>
    <row r="1" spans="1:21" ht="15" customHeight="1" x14ac:dyDescent="0.2">
      <c r="A1" s="92" t="s">
        <v>0</v>
      </c>
      <c r="B1" s="92" t="s">
        <v>529</v>
      </c>
      <c r="C1" s="92" t="s">
        <v>530</v>
      </c>
      <c r="D1" s="92" t="s">
        <v>531</v>
      </c>
      <c r="E1" s="92" t="s">
        <v>532</v>
      </c>
      <c r="F1" s="92" t="s">
        <v>533</v>
      </c>
      <c r="G1" s="92" t="s">
        <v>534</v>
      </c>
      <c r="H1" s="92" t="s">
        <v>535</v>
      </c>
      <c r="I1" s="92" t="s">
        <v>536</v>
      </c>
      <c r="J1" s="92" t="s">
        <v>537</v>
      </c>
      <c r="K1" s="92" t="s">
        <v>538</v>
      </c>
      <c r="L1" s="92" t="s">
        <v>539</v>
      </c>
      <c r="M1" s="92" t="s">
        <v>540</v>
      </c>
      <c r="N1" s="92" t="s">
        <v>541</v>
      </c>
      <c r="O1" s="92" t="s">
        <v>542</v>
      </c>
      <c r="P1" s="92" t="s">
        <v>543</v>
      </c>
      <c r="Q1" s="92" t="s">
        <v>544</v>
      </c>
      <c r="R1" s="92" t="s">
        <v>545</v>
      </c>
      <c r="S1" s="92" t="s">
        <v>546</v>
      </c>
      <c r="T1" s="92" t="s">
        <v>547</v>
      </c>
      <c r="U1" s="93" t="s">
        <v>548</v>
      </c>
    </row>
    <row r="2" spans="1:21" s="94" customFormat="1" ht="16.5" customHeight="1" x14ac:dyDescent="0.2">
      <c r="A2" s="94" t="str">
        <f t="shared" ref="A2:A33" si="0">LEFT(B2, FIND("-", B2) - 1)</f>
        <v>911</v>
      </c>
      <c r="B2" s="95" t="s">
        <v>549</v>
      </c>
      <c r="C2" s="96" t="s">
        <v>215</v>
      </c>
      <c r="D2" s="95" t="s">
        <v>30</v>
      </c>
      <c r="E2" s="95" t="s">
        <v>212</v>
      </c>
      <c r="F2" s="97"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98"/>
      <c r="H2" s="97" t="str">
        <f>IF(G2="","",IF(ISNUMBER(SEARCH(",",G2)),"Several items (the script lists them)",IFERROR(INDEX('Dashboard Items'!$B$2:$B$495,MATCH(G2,'Dashboard Items'!$A$2:$A$495,0))&amp;": "&amp;INDEX('Dashboard Items'!$C$2:$C$495,MATCH(G2,'Dashboard Items'!$A$2:$A$495,0)),"ID not found")))</f>
        <v/>
      </c>
      <c r="I2" s="95" t="s">
        <v>550</v>
      </c>
      <c r="J2" s="95">
        <v>2</v>
      </c>
      <c r="K2" s="95" t="s">
        <v>551</v>
      </c>
      <c r="L2" s="95" t="s">
        <v>552</v>
      </c>
      <c r="M2" s="95">
        <v>0</v>
      </c>
      <c r="N2" s="95">
        <v>0</v>
      </c>
      <c r="O2" s="95" t="s">
        <v>551</v>
      </c>
      <c r="P2" s="95" t="s">
        <v>553</v>
      </c>
      <c r="Q2" s="95" t="s">
        <v>554</v>
      </c>
      <c r="R2" s="95"/>
      <c r="S2" s="95"/>
      <c r="T2" s="95"/>
      <c r="U2" s="99"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94" customFormat="1" ht="15.75" customHeight="1" x14ac:dyDescent="0.2">
      <c r="A3" s="94" t="str">
        <f t="shared" si="0"/>
        <v>911</v>
      </c>
      <c r="B3" s="95" t="s">
        <v>555</v>
      </c>
      <c r="C3" s="100" t="s">
        <v>223</v>
      </c>
      <c r="D3" s="95" t="s">
        <v>30</v>
      </c>
      <c r="E3" s="95" t="s">
        <v>217</v>
      </c>
      <c r="F3" s="97"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98" t="s">
        <v>217</v>
      </c>
      <c r="H3" s="97" t="str">
        <f>IF(G3="","",IF(ISNUMBER(SEARCH(",",G3)),"Several items (the script lists them)",IFERROR(INDEX('Dashboard Items'!$B$2:$B$495,MATCH(G3,'Dashboard Items'!$A$2:$A$495,0))&amp;": "&amp;INDEX('Dashboard Items'!$C$2:$C$495,MATCH(G3,'Dashboard Items'!$A$2:$A$495,0)),"ID not found")))</f>
        <v>Program: Administrative Public Safety Services</v>
      </c>
      <c r="I3" s="95" t="s">
        <v>550</v>
      </c>
      <c r="J3" s="95">
        <v>2</v>
      </c>
      <c r="K3" s="95" t="s">
        <v>551</v>
      </c>
      <c r="L3" s="95" t="s">
        <v>552</v>
      </c>
      <c r="M3" s="95">
        <v>0</v>
      </c>
      <c r="N3" s="95">
        <v>0</v>
      </c>
      <c r="O3" s="95" t="s">
        <v>551</v>
      </c>
      <c r="P3" s="95" t="s">
        <v>553</v>
      </c>
      <c r="Q3" s="95" t="s">
        <v>554</v>
      </c>
      <c r="R3" s="95"/>
      <c r="S3" s="95"/>
      <c r="T3" s="95"/>
      <c r="U3" s="99"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94" customFormat="1" ht="15.75" customHeight="1" x14ac:dyDescent="0.2">
      <c r="A4" s="94" t="str">
        <f t="shared" si="0"/>
        <v>911</v>
      </c>
      <c r="B4" s="95" t="s">
        <v>556</v>
      </c>
      <c r="C4" s="96" t="s">
        <v>557</v>
      </c>
      <c r="D4" s="95" t="s">
        <v>29</v>
      </c>
      <c r="E4" s="95" t="s">
        <v>558</v>
      </c>
      <c r="F4" s="97"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98" t="s">
        <v>212</v>
      </c>
      <c r="H4" s="97" t="str">
        <f>IF(G4="","",IF(ISNUMBER(SEARCH(",",G4)),"Several items (the script lists them)",IFERROR(INDEX('Dashboard Items'!$B$2:$B$495,MATCH(G4,'Dashboard Items'!$A$2:$A$495,0))&amp;": "&amp;INDEX('Dashboard Items'!$C$2:$C$495,MATCH(G4,'Dashboard Items'!$A$2:$A$495,0)),"ID not found")))</f>
        <v>Program: 911 Emergency Services</v>
      </c>
      <c r="I4" s="95" t="s">
        <v>550</v>
      </c>
      <c r="J4" s="95">
        <v>2</v>
      </c>
      <c r="K4" s="95" t="s">
        <v>551</v>
      </c>
      <c r="L4" s="95" t="s">
        <v>552</v>
      </c>
      <c r="M4" s="95">
        <v>0</v>
      </c>
      <c r="N4" s="95">
        <v>0</v>
      </c>
      <c r="O4" s="95" t="s">
        <v>551</v>
      </c>
      <c r="P4" s="95" t="s">
        <v>553</v>
      </c>
      <c r="Q4" s="95" t="s">
        <v>554</v>
      </c>
      <c r="R4" s="95"/>
      <c r="S4" s="95"/>
      <c r="T4" s="95"/>
      <c r="U4" s="99"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94" customFormat="1" ht="15.75" customHeight="1" x14ac:dyDescent="0.2">
      <c r="A5" s="94" t="str">
        <f t="shared" si="0"/>
        <v>911</v>
      </c>
      <c r="B5" s="95" t="s">
        <v>559</v>
      </c>
      <c r="C5" s="96" t="s">
        <v>214</v>
      </c>
      <c r="D5" s="95" t="s">
        <v>30</v>
      </c>
      <c r="E5" s="95" t="s">
        <v>212</v>
      </c>
      <c r="F5" s="97"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98"/>
      <c r="H5" s="97" t="str">
        <f>IF(G5="","",IF(ISNUMBER(SEARCH(",",G5)),"Several items (the script lists them)",IFERROR(INDEX('Dashboard Items'!$B$2:$B$495,MATCH(G5,'Dashboard Items'!$A$2:$A$495,0))&amp;": "&amp;INDEX('Dashboard Items'!$C$2:$C$495,MATCH(G5,'Dashboard Items'!$A$2:$A$495,0)),"ID not found")))</f>
        <v/>
      </c>
      <c r="I5" s="95" t="s">
        <v>550</v>
      </c>
      <c r="J5" s="95">
        <v>2</v>
      </c>
      <c r="K5" s="95" t="s">
        <v>551</v>
      </c>
      <c r="L5" s="95" t="s">
        <v>552</v>
      </c>
      <c r="M5" s="95">
        <v>0</v>
      </c>
      <c r="N5" s="95">
        <v>0</v>
      </c>
      <c r="O5" s="95" t="s">
        <v>551</v>
      </c>
      <c r="P5" s="95" t="s">
        <v>553</v>
      </c>
      <c r="Q5" s="95" t="s">
        <v>554</v>
      </c>
      <c r="R5" s="95"/>
      <c r="S5" s="95"/>
      <c r="T5" s="95"/>
      <c r="U5" s="99"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94" customFormat="1" ht="15.75" customHeight="1" x14ac:dyDescent="0.2">
      <c r="A6" s="94" t="str">
        <f t="shared" si="0"/>
        <v>911</v>
      </c>
      <c r="B6" s="95" t="s">
        <v>560</v>
      </c>
      <c r="C6" s="96" t="s">
        <v>213</v>
      </c>
      <c r="D6" s="95" t="s">
        <v>30</v>
      </c>
      <c r="E6" s="95" t="s">
        <v>212</v>
      </c>
      <c r="F6" s="97"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98" t="s">
        <v>217</v>
      </c>
      <c r="H6" s="97" t="str">
        <f>IF(G6="","",IF(ISNUMBER(SEARCH(",",G6)),"Several items (the script lists them)",IFERROR(INDEX('Dashboard Items'!$B$2:$B$495,MATCH(G6,'Dashboard Items'!$A$2:$A$495,0))&amp;": "&amp;INDEX('Dashboard Items'!$C$2:$C$495,MATCH(G6,'Dashboard Items'!$A$2:$A$495,0)),"ID not found")))</f>
        <v>Program: Administrative Public Safety Services</v>
      </c>
      <c r="I6" s="95" t="s">
        <v>550</v>
      </c>
      <c r="J6" s="95">
        <v>2</v>
      </c>
      <c r="K6" s="95" t="s">
        <v>551</v>
      </c>
      <c r="L6" s="95" t="s">
        <v>552</v>
      </c>
      <c r="M6" s="95">
        <v>0</v>
      </c>
      <c r="N6" s="95">
        <v>0</v>
      </c>
      <c r="O6" s="95" t="s">
        <v>551</v>
      </c>
      <c r="P6" s="95" t="s">
        <v>553</v>
      </c>
      <c r="Q6" s="95" t="s">
        <v>554</v>
      </c>
      <c r="R6" s="95"/>
      <c r="S6" s="95"/>
      <c r="T6" s="95"/>
      <c r="U6" s="99"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94" customFormat="1" ht="15.75" customHeight="1" x14ac:dyDescent="0.2">
      <c r="A7" s="94" t="str">
        <f t="shared" si="0"/>
        <v>911</v>
      </c>
      <c r="B7" s="95" t="s">
        <v>561</v>
      </c>
      <c r="C7" s="100" t="s">
        <v>562</v>
      </c>
      <c r="D7" s="95" t="s">
        <v>30</v>
      </c>
      <c r="E7" s="95" t="s">
        <v>233</v>
      </c>
      <c r="F7" s="97"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98"/>
      <c r="H7" s="97" t="str">
        <f>IF(G7="","",IF(ISNUMBER(SEARCH(",",G7)),"Several items (the script lists them)",IFERROR(INDEX('Dashboard Items'!$B$2:$B$495,MATCH(G7,'Dashboard Items'!$A$2:$A$495,0))&amp;": "&amp;INDEX('Dashboard Items'!$C$2:$C$495,MATCH(G7,'Dashboard Items'!$A$2:$A$495,0)),"ID not found")))</f>
        <v/>
      </c>
      <c r="I7" s="95" t="s">
        <v>550</v>
      </c>
      <c r="J7" s="95">
        <v>2</v>
      </c>
      <c r="K7" s="95" t="s">
        <v>551</v>
      </c>
      <c r="L7" s="95" t="s">
        <v>552</v>
      </c>
      <c r="M7" s="95">
        <v>0</v>
      </c>
      <c r="N7" s="95">
        <v>0</v>
      </c>
      <c r="O7" s="95" t="s">
        <v>551</v>
      </c>
      <c r="P7" s="95" t="s">
        <v>553</v>
      </c>
      <c r="Q7" s="95" t="s">
        <v>554</v>
      </c>
      <c r="R7" s="95"/>
      <c r="S7" s="95"/>
      <c r="T7" s="95"/>
      <c r="U7" s="99"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94" customFormat="1" ht="15.75" customHeight="1" x14ac:dyDescent="0.2">
      <c r="A8" s="94" t="str">
        <f t="shared" si="0"/>
        <v>911</v>
      </c>
      <c r="B8" s="95" t="s">
        <v>563</v>
      </c>
      <c r="C8" s="100" t="s">
        <v>564</v>
      </c>
      <c r="D8" s="95" t="s">
        <v>29</v>
      </c>
      <c r="E8" s="95" t="s">
        <v>558</v>
      </c>
      <c r="F8" s="97"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98"/>
      <c r="H8" s="97" t="str">
        <f>IF(G8="","",IF(ISNUMBER(SEARCH(",",G8)),"Several items (the script lists them)",IFERROR(INDEX('Dashboard Items'!$B$2:$B$495,MATCH(G8,'Dashboard Items'!$A$2:$A$495,0))&amp;": "&amp;INDEX('Dashboard Items'!$C$2:$C$495,MATCH(G8,'Dashboard Items'!$A$2:$A$495,0)),"ID not found")))</f>
        <v/>
      </c>
      <c r="I8" s="95" t="s">
        <v>550</v>
      </c>
      <c r="J8" s="95">
        <v>2</v>
      </c>
      <c r="K8" s="95" t="s">
        <v>551</v>
      </c>
      <c r="L8" s="95" t="s">
        <v>552</v>
      </c>
      <c r="M8" s="95">
        <v>0</v>
      </c>
      <c r="N8" s="95">
        <v>0</v>
      </c>
      <c r="O8" s="95" t="s">
        <v>551</v>
      </c>
      <c r="P8" s="95" t="s">
        <v>553</v>
      </c>
      <c r="Q8" s="95" t="s">
        <v>554</v>
      </c>
      <c r="R8" s="95"/>
      <c r="S8" s="95"/>
      <c r="T8" s="95"/>
      <c r="U8" s="99"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94" customFormat="1" ht="15.75" customHeight="1" x14ac:dyDescent="0.2">
      <c r="A9" s="101" t="str">
        <f t="shared" si="0"/>
        <v>CLERK</v>
      </c>
      <c r="B9" s="101" t="s">
        <v>565</v>
      </c>
      <c r="C9" s="102" t="s">
        <v>61</v>
      </c>
      <c r="D9" s="101" t="s">
        <v>30</v>
      </c>
      <c r="E9" s="101" t="s">
        <v>60</v>
      </c>
      <c r="F9" s="103"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04" t="s">
        <v>566</v>
      </c>
      <c r="H9" s="103" t="str">
        <f>IF(G9="","",IF(ISNUMBER(SEARCH(",",G9)),"Several items (the script lists them)",IFERROR(INDEX('Dashboard Items'!$B$2:$B$495,MATCH(G9,'Dashboard Items'!$A$2:$A$495,0))&amp;": "&amp;INDEX('Dashboard Items'!$C$2:$C$495,MATCH(G9,'Dashboard Items'!$A$2:$A$495,0)),"ID not found")))</f>
        <v>Key Service: City Clerk &amp; Records Management</v>
      </c>
      <c r="I9" s="101"/>
      <c r="J9" s="101"/>
      <c r="K9" s="101"/>
      <c r="L9" s="101"/>
      <c r="M9" s="101"/>
      <c r="N9" s="101"/>
      <c r="O9" s="101"/>
      <c r="P9" s="101"/>
      <c r="Q9" s="101"/>
      <c r="R9" s="101"/>
      <c r="S9" s="101"/>
      <c r="T9" s="101"/>
      <c r="U9" s="99"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94" customFormat="1" ht="15.75" customHeight="1" x14ac:dyDescent="0.2">
      <c r="A10" s="101" t="str">
        <f t="shared" si="0"/>
        <v>CLERK</v>
      </c>
      <c r="B10" s="101" t="s">
        <v>567</v>
      </c>
      <c r="C10" s="102" t="s">
        <v>65</v>
      </c>
      <c r="D10" s="101" t="s">
        <v>30</v>
      </c>
      <c r="E10" s="101" t="s">
        <v>63</v>
      </c>
      <c r="F10" s="103"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04" t="s">
        <v>566</v>
      </c>
      <c r="H10" s="103" t="str">
        <f>IF(G10="","",IF(ISNUMBER(SEARCH(",",G10)),"Several items (the script lists them)",IFERROR(INDEX('Dashboard Items'!$B$2:$B$495,MATCH(G10,'Dashboard Items'!$A$2:$A$495,0))&amp;": "&amp;INDEX('Dashboard Items'!$C$2:$C$495,MATCH(G10,'Dashboard Items'!$A$2:$A$495,0)),"ID not found")))</f>
        <v>Key Service: City Clerk &amp; Records Management</v>
      </c>
      <c r="I10" s="101"/>
      <c r="J10" s="101"/>
      <c r="K10" s="101"/>
      <c r="L10" s="101"/>
      <c r="M10" s="101"/>
      <c r="N10" s="101"/>
      <c r="O10" s="101"/>
      <c r="P10" s="101"/>
      <c r="Q10" s="101"/>
      <c r="R10" s="101"/>
      <c r="S10" s="101"/>
      <c r="T10" s="101"/>
      <c r="U10" s="99"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94" customFormat="1" ht="15.75" customHeight="1" x14ac:dyDescent="0.2">
      <c r="A11" s="101" t="str">
        <f t="shared" si="0"/>
        <v>CLERK</v>
      </c>
      <c r="B11" s="101" t="s">
        <v>568</v>
      </c>
      <c r="C11" s="102" t="s">
        <v>58</v>
      </c>
      <c r="D11" s="101" t="s">
        <v>30</v>
      </c>
      <c r="E11" s="101" t="s">
        <v>54</v>
      </c>
      <c r="F11" s="103"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04"/>
      <c r="H11" s="103" t="str">
        <f>IF(G11="","",IF(ISNUMBER(SEARCH(",",G11)),"Several items (the script lists them)",IFERROR(INDEX('Dashboard Items'!$B$2:$B$495,MATCH(G11,'Dashboard Items'!$A$2:$A$495,0))&amp;": "&amp;INDEX('Dashboard Items'!$C$2:$C$495,MATCH(G11,'Dashboard Items'!$A$2:$A$495,0)),"ID not found")))</f>
        <v/>
      </c>
      <c r="I11" s="101"/>
      <c r="J11" s="101"/>
      <c r="K11" s="101"/>
      <c r="L11" s="101"/>
      <c r="M11" s="101"/>
      <c r="N11" s="101"/>
      <c r="O11" s="101"/>
      <c r="P11" s="101"/>
      <c r="Q11" s="101"/>
      <c r="R11" s="101"/>
      <c r="S11" s="101"/>
      <c r="T11" s="101"/>
      <c r="U11" s="99"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94" customFormat="1" ht="15.75" customHeight="1" x14ac:dyDescent="0.2">
      <c r="A12" s="101" t="str">
        <f t="shared" si="0"/>
        <v>CLERK</v>
      </c>
      <c r="B12" s="101" t="s">
        <v>569</v>
      </c>
      <c r="C12" s="102" t="s">
        <v>52</v>
      </c>
      <c r="D12" s="101" t="s">
        <v>30</v>
      </c>
      <c r="E12" s="101" t="s">
        <v>51</v>
      </c>
      <c r="F12" s="103"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04" t="s">
        <v>566</v>
      </c>
      <c r="H12" s="103" t="str">
        <f>IF(G12="","",IF(ISNUMBER(SEARCH(",",G12)),"Several items (the script lists them)",IFERROR(INDEX('Dashboard Items'!$B$2:$B$495,MATCH(G12,'Dashboard Items'!$A$2:$A$495,0))&amp;": "&amp;INDEX('Dashboard Items'!$C$2:$C$495,MATCH(G12,'Dashboard Items'!$A$2:$A$495,0)),"ID not found")))</f>
        <v>Key Service: City Clerk &amp; Records Management</v>
      </c>
      <c r="I12" s="101"/>
      <c r="J12" s="101"/>
      <c r="K12" s="101"/>
      <c r="L12" s="101"/>
      <c r="M12" s="101"/>
      <c r="N12" s="101"/>
      <c r="O12" s="101"/>
      <c r="P12" s="101"/>
      <c r="Q12" s="101"/>
      <c r="R12" s="101"/>
      <c r="S12" s="101"/>
      <c r="T12" s="101"/>
      <c r="U12" s="99"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94" customFormat="1" ht="15.75" customHeight="1" x14ac:dyDescent="0.2">
      <c r="A13" s="101" t="str">
        <f t="shared" si="0"/>
        <v>CLERK</v>
      </c>
      <c r="B13" s="101" t="s">
        <v>570</v>
      </c>
      <c r="C13" s="102" t="s">
        <v>64</v>
      </c>
      <c r="D13" s="101" t="s">
        <v>30</v>
      </c>
      <c r="E13" s="101" t="s">
        <v>63</v>
      </c>
      <c r="F13" s="103"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04" t="s">
        <v>566</v>
      </c>
      <c r="H13" s="103" t="str">
        <f>IF(G13="","",IF(ISNUMBER(SEARCH(",",G13)),"Several items (the script lists them)",IFERROR(INDEX('Dashboard Items'!$B$2:$B$495,MATCH(G13,'Dashboard Items'!$A$2:$A$495,0))&amp;": "&amp;INDEX('Dashboard Items'!$C$2:$C$495,MATCH(G13,'Dashboard Items'!$A$2:$A$495,0)),"ID not found")))</f>
        <v>Key Service: City Clerk &amp; Records Management</v>
      </c>
      <c r="I13" s="101"/>
      <c r="J13" s="101"/>
      <c r="K13" s="101"/>
      <c r="L13" s="101"/>
      <c r="M13" s="101"/>
      <c r="N13" s="101"/>
      <c r="O13" s="101"/>
      <c r="P13" s="101"/>
      <c r="Q13" s="101"/>
      <c r="R13" s="101"/>
      <c r="S13" s="101"/>
      <c r="T13" s="101"/>
      <c r="U13" s="99"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94" customFormat="1" ht="15.75" customHeight="1" x14ac:dyDescent="0.2">
      <c r="A14" s="101" t="str">
        <f t="shared" si="0"/>
        <v>CLERK</v>
      </c>
      <c r="B14" s="101" t="s">
        <v>571</v>
      </c>
      <c r="C14" s="102" t="s">
        <v>57</v>
      </c>
      <c r="D14" s="101" t="s">
        <v>30</v>
      </c>
      <c r="E14" s="101" t="s">
        <v>54</v>
      </c>
      <c r="F14" s="103"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04"/>
      <c r="H14" s="103" t="str">
        <f>IF(G14="","",IF(ISNUMBER(SEARCH(",",G14)),"Several items (the script lists them)",IFERROR(INDEX('Dashboard Items'!$B$2:$B$495,MATCH(G14,'Dashboard Items'!$A$2:$A$495,0))&amp;": "&amp;INDEX('Dashboard Items'!$C$2:$C$495,MATCH(G14,'Dashboard Items'!$A$2:$A$495,0)),"ID not found")))</f>
        <v/>
      </c>
      <c r="I14" s="101"/>
      <c r="J14" s="101"/>
      <c r="K14" s="101"/>
      <c r="L14" s="101"/>
      <c r="M14" s="101"/>
      <c r="N14" s="101"/>
      <c r="O14" s="101"/>
      <c r="P14" s="101"/>
      <c r="Q14" s="101"/>
      <c r="R14" s="101"/>
      <c r="S14" s="101"/>
      <c r="T14" s="101"/>
      <c r="U14" s="99"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94" customFormat="1" ht="15.75" customHeight="1" x14ac:dyDescent="0.2">
      <c r="A15" s="101" t="str">
        <f t="shared" si="0"/>
        <v>CLERK</v>
      </c>
      <c r="B15" s="101" t="s">
        <v>572</v>
      </c>
      <c r="C15" s="102" t="s">
        <v>56</v>
      </c>
      <c r="D15" s="101" t="s">
        <v>30</v>
      </c>
      <c r="E15" s="101" t="s">
        <v>54</v>
      </c>
      <c r="F15" s="103"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04"/>
      <c r="H15" s="103" t="str">
        <f>IF(G15="","",IF(ISNUMBER(SEARCH(",",G15)),"Several items (the script lists them)",IFERROR(INDEX('Dashboard Items'!$B$2:$B$495,MATCH(G15,'Dashboard Items'!$A$2:$A$495,0))&amp;": "&amp;INDEX('Dashboard Items'!$C$2:$C$495,MATCH(G15,'Dashboard Items'!$A$2:$A$495,0)),"ID not found")))</f>
        <v/>
      </c>
      <c r="I15" s="101"/>
      <c r="J15" s="101"/>
      <c r="K15" s="101"/>
      <c r="L15" s="101"/>
      <c r="M15" s="101"/>
      <c r="N15" s="101"/>
      <c r="O15" s="101"/>
      <c r="P15" s="101"/>
      <c r="Q15" s="101"/>
      <c r="R15" s="101"/>
      <c r="S15" s="101"/>
      <c r="T15" s="101"/>
      <c r="U15" s="99"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94" customFormat="1" ht="15.75" customHeight="1" x14ac:dyDescent="0.2">
      <c r="A16" s="101" t="str">
        <f t="shared" si="0"/>
        <v>CLERK</v>
      </c>
      <c r="B16" s="101" t="s">
        <v>573</v>
      </c>
      <c r="C16" s="102" t="s">
        <v>574</v>
      </c>
      <c r="D16" s="101" t="s">
        <v>30</v>
      </c>
      <c r="E16" s="101" t="s">
        <v>245</v>
      </c>
      <c r="F16" s="103"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04" t="s">
        <v>575</v>
      </c>
      <c r="H16" s="103" t="str">
        <f>IF(G16="","",IF(ISNUMBER(SEARCH(",",G16)),"Several items (the script lists them)",IFERROR(INDEX('Dashboard Items'!$B$2:$B$495,MATCH(G16,'Dashboard Items'!$A$2:$A$495,0))&amp;": "&amp;INDEX('Dashboard Items'!$C$2:$C$495,MATCH(G16,'Dashboard Items'!$A$2:$A$495,0)),"ID not found")))</f>
        <v>Key Service: Municipal Court</v>
      </c>
      <c r="I16" s="101"/>
      <c r="J16" s="101"/>
      <c r="K16" s="101"/>
      <c r="L16" s="101"/>
      <c r="M16" s="101"/>
      <c r="N16" s="101"/>
      <c r="O16" s="101"/>
      <c r="P16" s="101"/>
      <c r="Q16" s="101"/>
      <c r="R16" s="101"/>
      <c r="S16" s="101"/>
      <c r="T16" s="101"/>
      <c r="U16" s="99"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94" customFormat="1" ht="15.75" customHeight="1" x14ac:dyDescent="0.2">
      <c r="A17" s="101" t="str">
        <f t="shared" si="0"/>
        <v>CLERK</v>
      </c>
      <c r="B17" s="101" t="s">
        <v>576</v>
      </c>
      <c r="C17" s="102" t="s">
        <v>55</v>
      </c>
      <c r="D17" s="101" t="s">
        <v>30</v>
      </c>
      <c r="E17" s="101" t="s">
        <v>54</v>
      </c>
      <c r="F17" s="103"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04" t="s">
        <v>566</v>
      </c>
      <c r="H17" s="103" t="str">
        <f>IF(G17="","",IF(ISNUMBER(SEARCH(",",G17)),"Several items (the script lists them)",IFERROR(INDEX('Dashboard Items'!$B$2:$B$495,MATCH(G17,'Dashboard Items'!$A$2:$A$495,0))&amp;": "&amp;INDEX('Dashboard Items'!$C$2:$C$495,MATCH(G17,'Dashboard Items'!$A$2:$A$495,0)),"ID not found")))</f>
        <v>Key Service: City Clerk &amp; Records Management</v>
      </c>
      <c r="I17" s="101"/>
      <c r="J17" s="101"/>
      <c r="K17" s="101"/>
      <c r="L17" s="101"/>
      <c r="M17" s="101"/>
      <c r="N17" s="101"/>
      <c r="O17" s="101"/>
      <c r="P17" s="101"/>
      <c r="Q17" s="101"/>
      <c r="R17" s="101"/>
      <c r="S17" s="101"/>
      <c r="T17" s="101"/>
      <c r="U17" s="99"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94" customFormat="1" ht="15.75" customHeight="1" x14ac:dyDescent="0.2">
      <c r="A18" s="95" t="str">
        <f t="shared" si="0"/>
        <v>HR</v>
      </c>
      <c r="B18" s="95" t="s">
        <v>577</v>
      </c>
      <c r="C18" s="105" t="s">
        <v>129</v>
      </c>
      <c r="D18" s="95" t="s">
        <v>30</v>
      </c>
      <c r="E18" s="95" t="s">
        <v>124</v>
      </c>
      <c r="F18" s="97"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98"/>
      <c r="H18" s="97" t="str">
        <f>IF(G18="","",IF(ISNUMBER(SEARCH(",",G18)),"Several items (the script lists them)",IFERROR(INDEX('Dashboard Items'!$B$2:$B$495,MATCH(G18,'Dashboard Items'!$A$2:$A$495,0))&amp;": "&amp;INDEX('Dashboard Items'!$C$2:$C$495,MATCH(G18,'Dashboard Items'!$A$2:$A$495,0)),"ID not found")))</f>
        <v/>
      </c>
      <c r="I18" s="95"/>
      <c r="J18" s="95"/>
      <c r="K18" s="95"/>
      <c r="L18" s="95"/>
      <c r="M18" s="95"/>
      <c r="N18" s="95"/>
      <c r="O18" s="95"/>
      <c r="P18" s="95"/>
      <c r="Q18" s="95"/>
      <c r="R18" s="95"/>
      <c r="S18" s="95"/>
      <c r="T18" s="95"/>
      <c r="U18" s="99"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94" customFormat="1" ht="15.75" customHeight="1" x14ac:dyDescent="0.2">
      <c r="A19" s="95" t="str">
        <f t="shared" si="0"/>
        <v>HR</v>
      </c>
      <c r="B19" s="95" t="s">
        <v>578</v>
      </c>
      <c r="C19" s="105" t="s">
        <v>108</v>
      </c>
      <c r="D19" s="95" t="s">
        <v>30</v>
      </c>
      <c r="E19" s="95" t="s">
        <v>105</v>
      </c>
      <c r="F19" s="97"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98"/>
      <c r="H19" s="97" t="str">
        <f>IF(G19="","",IF(ISNUMBER(SEARCH(",",G19)),"Several items (the script lists them)",IFERROR(INDEX('Dashboard Items'!$B$2:$B$495,MATCH(G19,'Dashboard Items'!$A$2:$A$495,0))&amp;": "&amp;INDEX('Dashboard Items'!$C$2:$C$495,MATCH(G19,'Dashboard Items'!$A$2:$A$495,0)),"ID not found")))</f>
        <v/>
      </c>
      <c r="I19" s="95"/>
      <c r="J19" s="95"/>
      <c r="K19" s="95"/>
      <c r="L19" s="95"/>
      <c r="M19" s="95"/>
      <c r="N19" s="95"/>
      <c r="O19" s="95"/>
      <c r="P19" s="95"/>
      <c r="Q19" s="95" t="s">
        <v>579</v>
      </c>
      <c r="R19" s="95"/>
      <c r="S19" s="95"/>
      <c r="T19" s="95"/>
      <c r="U19" s="99"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94" customFormat="1" ht="15.75" customHeight="1" x14ac:dyDescent="0.2">
      <c r="A20" s="95" t="str">
        <f t="shared" si="0"/>
        <v>HR</v>
      </c>
      <c r="B20" s="95" t="s">
        <v>580</v>
      </c>
      <c r="C20" s="105" t="s">
        <v>101</v>
      </c>
      <c r="D20" s="95" t="s">
        <v>30</v>
      </c>
      <c r="E20" s="95" t="s">
        <v>100</v>
      </c>
      <c r="F20" s="97"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98"/>
      <c r="H20" s="97" t="str">
        <f>IF(G20="","",IF(ISNUMBER(SEARCH(",",G20)),"Several items (the script lists them)",IFERROR(INDEX('Dashboard Items'!$B$2:$B$495,MATCH(G20,'Dashboard Items'!$A$2:$A$495,0))&amp;": "&amp;INDEX('Dashboard Items'!$C$2:$C$495,MATCH(G20,'Dashboard Items'!$A$2:$A$495,0)),"ID not found")))</f>
        <v/>
      </c>
      <c r="I20" s="95"/>
      <c r="J20" s="95"/>
      <c r="K20" s="95"/>
      <c r="L20" s="95"/>
      <c r="M20" s="95"/>
      <c r="N20" s="95"/>
      <c r="O20" s="95"/>
      <c r="P20" s="95"/>
      <c r="Q20" s="95"/>
      <c r="R20" s="95"/>
      <c r="S20" s="95"/>
      <c r="T20" s="95"/>
      <c r="U20" s="99"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94" customFormat="1" ht="15.75" customHeight="1" x14ac:dyDescent="0.2">
      <c r="A21" s="95" t="str">
        <f t="shared" si="0"/>
        <v>HR</v>
      </c>
      <c r="B21" s="95" t="s">
        <v>581</v>
      </c>
      <c r="C21" s="105" t="s">
        <v>119</v>
      </c>
      <c r="D21" s="95" t="s">
        <v>30</v>
      </c>
      <c r="E21" s="95" t="s">
        <v>117</v>
      </c>
      <c r="F21" s="97"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98"/>
      <c r="H21" s="97" t="str">
        <f>IF(G21="","",IF(ISNUMBER(SEARCH(",",G21)),"Several items (the script lists them)",IFERROR(INDEX('Dashboard Items'!$B$2:$B$495,MATCH(G21,'Dashboard Items'!$A$2:$A$495,0))&amp;": "&amp;INDEX('Dashboard Items'!$C$2:$C$495,MATCH(G21,'Dashboard Items'!$A$2:$A$495,0)),"ID not found")))</f>
        <v/>
      </c>
      <c r="I21" s="95"/>
      <c r="J21" s="95"/>
      <c r="K21" s="95"/>
      <c r="L21" s="95"/>
      <c r="M21" s="95"/>
      <c r="N21" s="95"/>
      <c r="O21" s="95"/>
      <c r="P21" s="95"/>
      <c r="Q21" s="95"/>
      <c r="R21" s="95"/>
      <c r="S21" s="95"/>
      <c r="T21" s="95"/>
      <c r="U21" s="99"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107" customFormat="1" ht="15.75" customHeight="1" x14ac:dyDescent="0.2">
      <c r="A22" s="95" t="str">
        <f t="shared" si="0"/>
        <v>HR</v>
      </c>
      <c r="B22" s="106" t="s">
        <v>582</v>
      </c>
      <c r="C22" s="105" t="s">
        <v>125</v>
      </c>
      <c r="D22" s="95" t="s">
        <v>30</v>
      </c>
      <c r="E22" s="95" t="s">
        <v>124</v>
      </c>
      <c r="F22" s="97"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98"/>
      <c r="H22" s="97" t="str">
        <f>IF(G22="","",IF(ISNUMBER(SEARCH(",",G22)),"Several items (the script lists them)",IFERROR(INDEX('Dashboard Items'!$B$2:$B$495,MATCH(G22,'Dashboard Items'!$A$2:$A$495,0))&amp;": "&amp;INDEX('Dashboard Items'!$C$2:$C$495,MATCH(G22,'Dashboard Items'!$A$2:$A$495,0)),"ID not found")))</f>
        <v/>
      </c>
      <c r="I22" s="95"/>
      <c r="J22" s="95"/>
      <c r="K22" s="95"/>
      <c r="L22" s="95"/>
      <c r="M22" s="95"/>
      <c r="N22" s="95"/>
      <c r="O22" s="95"/>
      <c r="P22" s="95"/>
      <c r="Q22" s="95"/>
      <c r="R22" s="95"/>
      <c r="S22" s="95"/>
      <c r="T22" s="95"/>
      <c r="U22" s="99"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107" customFormat="1" ht="15.75" customHeight="1" x14ac:dyDescent="0.2">
      <c r="A23" s="95" t="str">
        <f t="shared" si="0"/>
        <v>HR</v>
      </c>
      <c r="B23" s="108" t="s">
        <v>583</v>
      </c>
      <c r="C23" s="105" t="s">
        <v>126</v>
      </c>
      <c r="D23" s="95" t="s">
        <v>30</v>
      </c>
      <c r="E23" s="95" t="s">
        <v>124</v>
      </c>
      <c r="F23" s="97"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98"/>
      <c r="H23" s="97" t="str">
        <f>IF(G23="","",IF(ISNUMBER(SEARCH(",",G23)),"Several items (the script lists them)",IFERROR(INDEX('Dashboard Items'!$B$2:$B$495,MATCH(G23,'Dashboard Items'!$A$2:$A$495,0))&amp;": "&amp;INDEX('Dashboard Items'!$C$2:$C$495,MATCH(G23,'Dashboard Items'!$A$2:$A$495,0)),"ID not found")))</f>
        <v/>
      </c>
      <c r="I23" s="95"/>
      <c r="J23" s="95"/>
      <c r="K23" s="95"/>
      <c r="L23" s="95"/>
      <c r="M23" s="95"/>
      <c r="N23" s="95"/>
      <c r="O23" s="95"/>
      <c r="P23" s="95"/>
      <c r="Q23" s="95"/>
      <c r="R23" s="95"/>
      <c r="S23" s="95"/>
      <c r="T23" s="95"/>
      <c r="U23" s="99"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107" customFormat="1" ht="15" customHeight="1" x14ac:dyDescent="0.2">
      <c r="A24" s="95" t="str">
        <f t="shared" si="0"/>
        <v>HR</v>
      </c>
      <c r="B24" s="95" t="s">
        <v>584</v>
      </c>
      <c r="C24" s="105" t="s">
        <v>585</v>
      </c>
      <c r="D24" s="95" t="s">
        <v>29</v>
      </c>
      <c r="E24" s="95" t="s">
        <v>586</v>
      </c>
      <c r="F24" s="97"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98" t="s">
        <v>587</v>
      </c>
      <c r="H24" s="97" t="str">
        <f>IF(G24="","",IF(ISNUMBER(SEARCH(",",G24)),"Several items (the script lists them)",IFERROR(INDEX('Dashboard Items'!$B$2:$B$495,MATCH(G24,'Dashboard Items'!$A$2:$A$495,0))&amp;": "&amp;INDEX('Dashboard Items'!$C$2:$C$495,MATCH(G24,'Dashboard Items'!$A$2:$A$495,0)),"ID not found")))</f>
        <v>Several items (the script lists them)</v>
      </c>
      <c r="I24" s="95" t="s">
        <v>588</v>
      </c>
      <c r="J24" s="95">
        <v>1</v>
      </c>
      <c r="K24" s="95" t="s">
        <v>551</v>
      </c>
      <c r="L24" s="95" t="s">
        <v>552</v>
      </c>
      <c r="M24" s="95">
        <v>5</v>
      </c>
      <c r="N24" s="95">
        <v>15</v>
      </c>
      <c r="O24" s="95" t="s">
        <v>551</v>
      </c>
      <c r="P24" s="95" t="s">
        <v>589</v>
      </c>
      <c r="Q24" s="95" t="s">
        <v>590</v>
      </c>
      <c r="R24" s="95" t="s">
        <v>591</v>
      </c>
      <c r="S24" s="95" t="s">
        <v>592</v>
      </c>
      <c r="T24" s="95"/>
      <c r="U24" s="99"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107" customFormat="1" ht="15" customHeight="1" x14ac:dyDescent="0.2">
      <c r="A25" s="95" t="str">
        <f t="shared" si="0"/>
        <v>HR</v>
      </c>
      <c r="B25" s="95" t="s">
        <v>593</v>
      </c>
      <c r="C25" s="105" t="s">
        <v>114</v>
      </c>
      <c r="D25" s="95" t="s">
        <v>29</v>
      </c>
      <c r="E25" s="95" t="s">
        <v>586</v>
      </c>
      <c r="F25" s="97"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95" t="s">
        <v>105</v>
      </c>
      <c r="H25" s="97" t="str">
        <f>IF(G25="","",IF(ISNUMBER(SEARCH(",",G25)),"Several items (the script lists them)",IFERROR(INDEX('Dashboard Items'!$B$2:$B$495,MATCH(G25,'Dashboard Items'!$A$2:$A$495,0))&amp;": "&amp;INDEX('Dashboard Items'!$C$2:$C$495,MATCH(G25,'Dashboard Items'!$A$2:$A$495,0)),"ID not found")))</f>
        <v>Program: Recruitment &amp; Retention</v>
      </c>
      <c r="I25" s="95"/>
      <c r="J25" s="95"/>
      <c r="K25" s="95"/>
      <c r="L25" s="95"/>
      <c r="M25" s="95"/>
      <c r="N25" s="95"/>
      <c r="O25" s="95"/>
      <c r="P25" s="95"/>
      <c r="Q25" s="95"/>
      <c r="R25" s="95"/>
      <c r="S25" s="95"/>
      <c r="T25" s="95"/>
      <c r="U25" s="99"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109" customFormat="1" ht="15.75" customHeight="1" x14ac:dyDescent="0.2">
      <c r="A26" s="95" t="str">
        <f t="shared" si="0"/>
        <v>HR</v>
      </c>
      <c r="B26" s="95" t="s">
        <v>594</v>
      </c>
      <c r="C26" s="105" t="s">
        <v>107</v>
      </c>
      <c r="D26" s="95" t="s">
        <v>30</v>
      </c>
      <c r="E26" s="95" t="s">
        <v>105</v>
      </c>
      <c r="F26" s="97"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98"/>
      <c r="H26" s="97" t="str">
        <f>IF(G26="","",IF(ISNUMBER(SEARCH(",",G26)),"Several items (the script lists them)",IFERROR(INDEX('Dashboard Items'!$B$2:$B$495,MATCH(G26,'Dashboard Items'!$A$2:$A$495,0))&amp;": "&amp;INDEX('Dashboard Items'!$C$2:$C$495,MATCH(G26,'Dashboard Items'!$A$2:$A$495,0)),"ID not found")))</f>
        <v/>
      </c>
      <c r="I26" s="95"/>
      <c r="J26" s="95"/>
      <c r="K26" s="95" t="s">
        <v>595</v>
      </c>
      <c r="L26" s="95"/>
      <c r="M26" s="95"/>
      <c r="N26" s="95"/>
      <c r="O26" s="95"/>
      <c r="P26" s="95"/>
      <c r="Q26" s="95" t="s">
        <v>579</v>
      </c>
      <c r="R26" s="95"/>
      <c r="S26" s="95"/>
      <c r="T26" s="95"/>
      <c r="U26" s="99"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109" customFormat="1" ht="15.75" customHeight="1" x14ac:dyDescent="0.2">
      <c r="A27" s="95" t="str">
        <f t="shared" si="0"/>
        <v>HR</v>
      </c>
      <c r="B27" s="108" t="s">
        <v>596</v>
      </c>
      <c r="C27" s="105" t="s">
        <v>127</v>
      </c>
      <c r="D27" s="95" t="s">
        <v>30</v>
      </c>
      <c r="E27" s="95" t="s">
        <v>124</v>
      </c>
      <c r="F27" s="97"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98"/>
      <c r="H27" s="97" t="str">
        <f>IF(G27="","",IF(ISNUMBER(SEARCH(",",G27)),"Several items (the script lists them)",IFERROR(INDEX('Dashboard Items'!$B$2:$B$495,MATCH(G27,'Dashboard Items'!$A$2:$A$495,0))&amp;": "&amp;INDEX('Dashboard Items'!$C$2:$C$495,MATCH(G27,'Dashboard Items'!$A$2:$A$495,0)),"ID not found")))</f>
        <v/>
      </c>
      <c r="I27" s="95"/>
      <c r="J27" s="95"/>
      <c r="K27" s="95"/>
      <c r="L27" s="95"/>
      <c r="M27" s="95"/>
      <c r="N27" s="95"/>
      <c r="O27" s="95"/>
      <c r="P27" s="95"/>
      <c r="Q27" s="95"/>
      <c r="R27" s="95"/>
      <c r="S27" s="95"/>
      <c r="T27" s="95"/>
      <c r="U27" s="99"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109" customFormat="1" ht="15.75" customHeight="1" x14ac:dyDescent="0.2">
      <c r="A28" s="95" t="str">
        <f t="shared" si="0"/>
        <v>HR</v>
      </c>
      <c r="B28" s="95" t="s">
        <v>597</v>
      </c>
      <c r="C28" s="105" t="s">
        <v>111</v>
      </c>
      <c r="D28" s="95" t="s">
        <v>30</v>
      </c>
      <c r="E28" s="95" t="s">
        <v>105</v>
      </c>
      <c r="F28" s="97"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98"/>
      <c r="H28" s="97" t="str">
        <f>IF(G28="","",IF(ISNUMBER(SEARCH(",",G28)),"Several items (the script lists them)",IFERROR(INDEX('Dashboard Items'!$B$2:$B$495,MATCH(G28,'Dashboard Items'!$A$2:$A$495,0))&amp;": "&amp;INDEX('Dashboard Items'!$C$2:$C$495,MATCH(G28,'Dashboard Items'!$A$2:$A$495,0)),"ID not found")))</f>
        <v/>
      </c>
      <c r="I28" s="95"/>
      <c r="J28" s="95"/>
      <c r="K28" s="95" t="s">
        <v>595</v>
      </c>
      <c r="L28" s="95"/>
      <c r="M28" s="95"/>
      <c r="N28" s="95"/>
      <c r="O28" s="95"/>
      <c r="P28" s="95"/>
      <c r="Q28" s="95" t="s">
        <v>579</v>
      </c>
      <c r="R28" s="95"/>
      <c r="S28" s="95"/>
      <c r="T28" s="95"/>
      <c r="U28" s="99"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109" customFormat="1" ht="15.75" customHeight="1" x14ac:dyDescent="0.2">
      <c r="A29" s="95" t="str">
        <f t="shared" si="0"/>
        <v>HR</v>
      </c>
      <c r="B29" s="95" t="s">
        <v>598</v>
      </c>
      <c r="C29" s="105" t="s">
        <v>103</v>
      </c>
      <c r="D29" s="95" t="s">
        <v>30</v>
      </c>
      <c r="E29" s="95" t="s">
        <v>100</v>
      </c>
      <c r="F29" s="97"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98"/>
      <c r="H29" s="97" t="str">
        <f>IF(G29="","",IF(ISNUMBER(SEARCH(",",G29)),"Several items (the script lists them)",IFERROR(INDEX('Dashboard Items'!$B$2:$B$495,MATCH(G29,'Dashboard Items'!$A$2:$A$495,0))&amp;": "&amp;INDEX('Dashboard Items'!$C$2:$C$495,MATCH(G29,'Dashboard Items'!$A$2:$A$495,0)),"ID not found")))</f>
        <v/>
      </c>
      <c r="I29" s="95"/>
      <c r="J29" s="95"/>
      <c r="K29" s="95"/>
      <c r="L29" s="95"/>
      <c r="M29" s="95"/>
      <c r="N29" s="95"/>
      <c r="O29" s="95"/>
      <c r="P29" s="95"/>
      <c r="Q29" s="95"/>
      <c r="R29" s="95"/>
      <c r="S29" s="95"/>
      <c r="T29" s="95"/>
      <c r="U29" s="99"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109" customFormat="1" ht="15.75" customHeight="1" x14ac:dyDescent="0.2">
      <c r="A30" s="95" t="str">
        <f t="shared" si="0"/>
        <v>HR</v>
      </c>
      <c r="B30" s="108" t="s">
        <v>599</v>
      </c>
      <c r="C30" s="105" t="s">
        <v>128</v>
      </c>
      <c r="D30" s="95" t="s">
        <v>30</v>
      </c>
      <c r="E30" s="95" t="s">
        <v>124</v>
      </c>
      <c r="F30" s="97"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98"/>
      <c r="H30" s="97" t="str">
        <f>IF(G30="","",IF(ISNUMBER(SEARCH(",",G30)),"Several items (the script lists them)",IFERROR(INDEX('Dashboard Items'!$B$2:$B$495,MATCH(G30,'Dashboard Items'!$A$2:$A$495,0))&amp;": "&amp;INDEX('Dashboard Items'!$C$2:$C$495,MATCH(G30,'Dashboard Items'!$A$2:$A$495,0)),"ID not found")))</f>
        <v/>
      </c>
      <c r="I30" s="95"/>
      <c r="J30" s="95"/>
      <c r="K30" s="95"/>
      <c r="L30" s="95"/>
      <c r="M30" s="95"/>
      <c r="N30" s="95"/>
      <c r="O30" s="95"/>
      <c r="P30" s="95"/>
      <c r="Q30" s="95"/>
      <c r="R30" s="95"/>
      <c r="S30" s="95"/>
      <c r="T30" s="95"/>
      <c r="U30" s="99"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109" customFormat="1" ht="15.75" customHeight="1" x14ac:dyDescent="0.2">
      <c r="A31" s="95" t="str">
        <f t="shared" si="0"/>
        <v>HR</v>
      </c>
      <c r="B31" s="95" t="s">
        <v>600</v>
      </c>
      <c r="C31" s="105" t="s">
        <v>113</v>
      </c>
      <c r="D31" s="95" t="s">
        <v>30</v>
      </c>
      <c r="E31" s="95" t="s">
        <v>105</v>
      </c>
      <c r="F31" s="97"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98"/>
      <c r="H31" s="97" t="str">
        <f>IF(G31="","",IF(ISNUMBER(SEARCH(",",G31)),"Several items (the script lists them)",IFERROR(INDEX('Dashboard Items'!$B$2:$B$495,MATCH(G31,'Dashboard Items'!$A$2:$A$495,0))&amp;": "&amp;INDEX('Dashboard Items'!$C$2:$C$495,MATCH(G31,'Dashboard Items'!$A$2:$A$495,0)),"ID not found")))</f>
        <v/>
      </c>
      <c r="I31" s="95"/>
      <c r="J31" s="95"/>
      <c r="K31" s="95"/>
      <c r="L31" s="95"/>
      <c r="M31" s="95"/>
      <c r="N31" s="95"/>
      <c r="O31" s="95"/>
      <c r="P31" s="95"/>
      <c r="Q31" s="95"/>
      <c r="R31" s="95"/>
      <c r="S31" s="95"/>
      <c r="T31" s="95"/>
      <c r="U31" s="99"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109" customFormat="1" ht="15.75" customHeight="1" x14ac:dyDescent="0.2">
      <c r="A32" s="95" t="str">
        <f t="shared" si="0"/>
        <v>HR</v>
      </c>
      <c r="B32" s="95" t="s">
        <v>601</v>
      </c>
      <c r="C32" s="105" t="s">
        <v>130</v>
      </c>
      <c r="D32" s="95" t="s">
        <v>30</v>
      </c>
      <c r="E32" s="95" t="s">
        <v>124</v>
      </c>
      <c r="F32" s="97"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98"/>
      <c r="H32" s="97" t="str">
        <f>IF(G32="","",IF(ISNUMBER(SEARCH(",",G32)),"Several items (the script lists them)",IFERROR(INDEX('Dashboard Items'!$B$2:$B$495,MATCH(G32,'Dashboard Items'!$A$2:$A$495,0))&amp;": "&amp;INDEX('Dashboard Items'!$C$2:$C$495,MATCH(G32,'Dashboard Items'!$A$2:$A$495,0)),"ID not found")))</f>
        <v/>
      </c>
      <c r="I32" s="95"/>
      <c r="J32" s="95"/>
      <c r="K32" s="95"/>
      <c r="L32" s="95"/>
      <c r="M32" s="95"/>
      <c r="N32" s="95"/>
      <c r="O32" s="95"/>
      <c r="P32" s="95"/>
      <c r="Q32" s="95"/>
      <c r="R32" s="95"/>
      <c r="S32" s="95"/>
      <c r="T32" s="95"/>
      <c r="U32" s="99"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109" customFormat="1" ht="15.75" customHeight="1" x14ac:dyDescent="0.2">
      <c r="A33" s="95" t="str">
        <f t="shared" si="0"/>
        <v>HR</v>
      </c>
      <c r="B33" s="95" t="s">
        <v>602</v>
      </c>
      <c r="C33" s="105" t="s">
        <v>110</v>
      </c>
      <c r="D33" s="95" t="s">
        <v>29</v>
      </c>
      <c r="E33" s="95" t="s">
        <v>586</v>
      </c>
      <c r="F33" s="97"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98" t="s">
        <v>105</v>
      </c>
      <c r="H33" s="97" t="str">
        <f>IF(G33="","",IF(ISNUMBER(SEARCH(",",G33)),"Several items (the script lists them)",IFERROR(INDEX('Dashboard Items'!$B$2:$B$495,MATCH(G33,'Dashboard Items'!$A$2:$A$495,0))&amp;": "&amp;INDEX('Dashboard Items'!$C$2:$C$495,MATCH(G33,'Dashboard Items'!$A$2:$A$495,0)),"ID not found")))</f>
        <v>Program: Recruitment &amp; Retention</v>
      </c>
      <c r="I33" s="95"/>
      <c r="J33" s="95"/>
      <c r="K33" s="95"/>
      <c r="L33" s="95"/>
      <c r="M33" s="95"/>
      <c r="N33" s="95"/>
      <c r="O33" s="95"/>
      <c r="P33" s="95"/>
      <c r="Q33" s="95" t="s">
        <v>579</v>
      </c>
      <c r="R33" s="95"/>
      <c r="S33" s="95"/>
      <c r="T33" s="95"/>
      <c r="U33" s="99"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109" customFormat="1" ht="15.75" customHeight="1" x14ac:dyDescent="0.2">
      <c r="A34" s="95" t="str">
        <f t="shared" ref="A34:A65" si="1">LEFT(B34, FIND("-", B34) - 1)</f>
        <v>HR</v>
      </c>
      <c r="B34" s="95" t="s">
        <v>603</v>
      </c>
      <c r="C34" s="105" t="s">
        <v>109</v>
      </c>
      <c r="D34" s="95" t="s">
        <v>30</v>
      </c>
      <c r="E34" s="95" t="s">
        <v>105</v>
      </c>
      <c r="F34" s="97"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98"/>
      <c r="H34" s="97" t="str">
        <f>IF(G34="","",IF(ISNUMBER(SEARCH(",",G34)),"Several items (the script lists them)",IFERROR(INDEX('Dashboard Items'!$B$2:$B$495,MATCH(G34,'Dashboard Items'!$A$2:$A$495,0))&amp;": "&amp;INDEX('Dashboard Items'!$C$2:$C$495,MATCH(G34,'Dashboard Items'!$A$2:$A$495,0)),"ID not found")))</f>
        <v/>
      </c>
      <c r="I34" s="95"/>
      <c r="J34" s="95"/>
      <c r="K34" s="95"/>
      <c r="L34" s="95"/>
      <c r="M34" s="95"/>
      <c r="N34" s="95"/>
      <c r="O34" s="95"/>
      <c r="P34" s="95"/>
      <c r="Q34" s="95" t="s">
        <v>579</v>
      </c>
      <c r="R34" s="95"/>
      <c r="S34" s="95"/>
      <c r="T34" s="95"/>
      <c r="U34" s="99"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110" customFormat="1" ht="15.75" customHeight="1" x14ac:dyDescent="0.2">
      <c r="A35" s="95" t="str">
        <f t="shared" si="1"/>
        <v>HR</v>
      </c>
      <c r="B35" s="95" t="s">
        <v>604</v>
      </c>
      <c r="C35" s="105" t="s">
        <v>102</v>
      </c>
      <c r="D35" s="95" t="s">
        <v>30</v>
      </c>
      <c r="E35" s="95" t="s">
        <v>100</v>
      </c>
      <c r="F35" s="97"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98"/>
      <c r="H35" s="97" t="str">
        <f>IF(G35="","",IF(ISNUMBER(SEARCH(",",G35)),"Several items (the script lists them)",IFERROR(INDEX('Dashboard Items'!$B$2:$B$495,MATCH(G35,'Dashboard Items'!$A$2:$A$495,0))&amp;": "&amp;INDEX('Dashboard Items'!$C$2:$C$495,MATCH(G35,'Dashboard Items'!$A$2:$A$495,0)),"ID not found")))</f>
        <v/>
      </c>
      <c r="I35" s="95"/>
      <c r="J35" s="95"/>
      <c r="K35" s="95"/>
      <c r="L35" s="95"/>
      <c r="M35" s="95"/>
      <c r="N35" s="95"/>
      <c r="O35" s="95"/>
      <c r="P35" s="95"/>
      <c r="Q35" s="95"/>
      <c r="R35" s="95"/>
      <c r="S35" s="95"/>
      <c r="T35" s="95"/>
      <c r="U35" s="99"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110" customFormat="1" ht="15.75" customHeight="1" x14ac:dyDescent="0.2">
      <c r="A36" s="95" t="str">
        <f t="shared" si="1"/>
        <v>HR</v>
      </c>
      <c r="B36" s="95" t="s">
        <v>605</v>
      </c>
      <c r="C36" s="105" t="s">
        <v>606</v>
      </c>
      <c r="D36" s="95" t="s">
        <v>29</v>
      </c>
      <c r="E36" s="95" t="s">
        <v>586</v>
      </c>
      <c r="F36" s="97"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98" t="s">
        <v>105</v>
      </c>
      <c r="H36" s="97" t="str">
        <f>IF(G36="","",IF(ISNUMBER(SEARCH(",",G36)),"Several items (the script lists them)",IFERROR(INDEX('Dashboard Items'!$B$2:$B$495,MATCH(G36,'Dashboard Items'!$A$2:$A$495,0))&amp;": "&amp;INDEX('Dashboard Items'!$C$2:$C$495,MATCH(G36,'Dashboard Items'!$A$2:$A$495,0)),"ID not found")))</f>
        <v>Program: Recruitment &amp; Retention</v>
      </c>
      <c r="I36" s="95"/>
      <c r="J36" s="95"/>
      <c r="K36" s="95"/>
      <c r="L36" s="95"/>
      <c r="M36" s="95"/>
      <c r="N36" s="95"/>
      <c r="O36" s="95"/>
      <c r="P36" s="95"/>
      <c r="Q36" s="95"/>
      <c r="R36" s="95"/>
      <c r="S36" s="95"/>
      <c r="T36" s="95"/>
      <c r="U36" s="99"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110" customFormat="1" ht="15.75" customHeight="1" x14ac:dyDescent="0.2">
      <c r="A37" s="95" t="str">
        <f t="shared" si="1"/>
        <v>HR</v>
      </c>
      <c r="B37" s="95" t="s">
        <v>607</v>
      </c>
      <c r="C37" s="105" t="s">
        <v>112</v>
      </c>
      <c r="D37" s="95" t="s">
        <v>30</v>
      </c>
      <c r="E37" s="95" t="s">
        <v>105</v>
      </c>
      <c r="F37" s="97"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98"/>
      <c r="H37" s="97" t="str">
        <f>IF(G37="","",IF(ISNUMBER(SEARCH(",",G37)),"Several items (the script lists them)",IFERROR(INDEX('Dashboard Items'!$B$2:$B$495,MATCH(G37,'Dashboard Items'!$A$2:$A$495,0))&amp;": "&amp;INDEX('Dashboard Items'!$C$2:$C$495,MATCH(G37,'Dashboard Items'!$A$2:$A$495,0)),"ID not found")))</f>
        <v/>
      </c>
      <c r="I37" s="95"/>
      <c r="J37" s="95"/>
      <c r="K37" s="95" t="s">
        <v>551</v>
      </c>
      <c r="L37" s="95"/>
      <c r="M37" s="95"/>
      <c r="N37" s="95"/>
      <c r="O37" s="95"/>
      <c r="P37" s="95"/>
      <c r="Q37" s="95" t="s">
        <v>579</v>
      </c>
      <c r="R37" s="95"/>
      <c r="S37" s="95"/>
      <c r="T37" s="95"/>
      <c r="U37" s="99"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110" customFormat="1" ht="15.75" customHeight="1" x14ac:dyDescent="0.2">
      <c r="A38" s="111" t="str">
        <f t="shared" si="1"/>
        <v>IT</v>
      </c>
      <c r="B38" s="111" t="s">
        <v>608</v>
      </c>
      <c r="C38" s="111" t="s">
        <v>139</v>
      </c>
      <c r="D38" s="111" t="s">
        <v>30</v>
      </c>
      <c r="E38" s="111" t="s">
        <v>138</v>
      </c>
      <c r="F38" s="112"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13" t="s">
        <v>609</v>
      </c>
      <c r="H38" s="112" t="str">
        <f>IF(G38="","",IF(ISNUMBER(SEARCH(",",G38)),"Several items (the script lists them)",IFERROR(INDEX('Dashboard Items'!$B$2:$B$495,MATCH(G38,'Dashboard Items'!$A$2:$A$495,0))&amp;": "&amp;INDEX('Dashboard Items'!$C$2:$C$495,MATCH(G38,'Dashboard Items'!$A$2:$A$495,0)),"ID not found")))</f>
        <v>Key Service: Information Technology Services</v>
      </c>
      <c r="I38" s="111" t="s">
        <v>588</v>
      </c>
      <c r="J38" s="111">
        <v>2</v>
      </c>
      <c r="K38" s="111" t="s">
        <v>595</v>
      </c>
      <c r="L38" s="111" t="s">
        <v>552</v>
      </c>
      <c r="M38" s="111">
        <v>5</v>
      </c>
      <c r="N38" s="111">
        <v>15</v>
      </c>
      <c r="O38" s="111" t="s">
        <v>551</v>
      </c>
      <c r="P38" s="111" t="s">
        <v>610</v>
      </c>
      <c r="Q38" s="111" t="s">
        <v>611</v>
      </c>
      <c r="R38" s="111" t="s">
        <v>612</v>
      </c>
      <c r="S38" s="111"/>
      <c r="T38" s="111"/>
      <c r="U38" s="99"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110" customFormat="1" ht="15.75" customHeight="1" x14ac:dyDescent="0.2">
      <c r="A39" s="111" t="str">
        <f t="shared" si="1"/>
        <v>IT</v>
      </c>
      <c r="B39" s="111" t="s">
        <v>613</v>
      </c>
      <c r="C39" s="114" t="s">
        <v>614</v>
      </c>
      <c r="D39" s="111" t="s">
        <v>30</v>
      </c>
      <c r="E39" s="111" t="s">
        <v>149</v>
      </c>
      <c r="F39" s="112"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13" t="s">
        <v>609</v>
      </c>
      <c r="H39" s="112" t="str">
        <f>IF(G39="","",IF(ISNUMBER(SEARCH(",",G39)),"Several items (the script lists them)",IFERROR(INDEX('Dashboard Items'!$B$2:$B$495,MATCH(G39,'Dashboard Items'!$A$2:$A$495,0))&amp;": "&amp;INDEX('Dashboard Items'!$C$2:$C$495,MATCH(G39,'Dashboard Items'!$A$2:$A$495,0)),"ID not found")))</f>
        <v>Key Service: Information Technology Services</v>
      </c>
      <c r="I39" s="111" t="s">
        <v>588</v>
      </c>
      <c r="J39" s="111">
        <v>1</v>
      </c>
      <c r="K39" s="111" t="s">
        <v>551</v>
      </c>
      <c r="L39" s="111" t="s">
        <v>552</v>
      </c>
      <c r="M39" s="111">
        <v>5</v>
      </c>
      <c r="N39" s="111">
        <v>15</v>
      </c>
      <c r="O39" s="111" t="s">
        <v>551</v>
      </c>
      <c r="P39" s="111" t="s">
        <v>553</v>
      </c>
      <c r="Q39" s="111" t="s">
        <v>611</v>
      </c>
      <c r="R39" s="111" t="s">
        <v>615</v>
      </c>
      <c r="S39" s="111"/>
      <c r="T39" s="111"/>
      <c r="U39" s="99"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110" customFormat="1" ht="15.75" customHeight="1" x14ac:dyDescent="0.2">
      <c r="A40" s="111" t="str">
        <f t="shared" si="1"/>
        <v>IT</v>
      </c>
      <c r="B40" s="111" t="s">
        <v>616</v>
      </c>
      <c r="C40" s="111" t="s">
        <v>617</v>
      </c>
      <c r="D40" s="111" t="s">
        <v>30</v>
      </c>
      <c r="E40" s="111" t="s">
        <v>149</v>
      </c>
      <c r="F40" s="112"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13" t="s">
        <v>609</v>
      </c>
      <c r="H40" s="112" t="str">
        <f>IF(G40="","",IF(ISNUMBER(SEARCH(",",G40)),"Several items (the script lists them)",IFERROR(INDEX('Dashboard Items'!$B$2:$B$495,MATCH(G40,'Dashboard Items'!$A$2:$A$495,0))&amp;": "&amp;INDEX('Dashboard Items'!$C$2:$C$495,MATCH(G40,'Dashboard Items'!$A$2:$A$495,0)),"ID not found")))</f>
        <v>Key Service: Information Technology Services</v>
      </c>
      <c r="I40" s="111" t="s">
        <v>588</v>
      </c>
      <c r="J40" s="111">
        <v>2</v>
      </c>
      <c r="K40" s="111" t="s">
        <v>551</v>
      </c>
      <c r="L40" s="111" t="s">
        <v>552</v>
      </c>
      <c r="M40" s="111">
        <v>5</v>
      </c>
      <c r="N40" s="111">
        <v>15</v>
      </c>
      <c r="O40" s="111" t="s">
        <v>551</v>
      </c>
      <c r="P40" s="111" t="s">
        <v>553</v>
      </c>
      <c r="Q40" s="111" t="s">
        <v>611</v>
      </c>
      <c r="R40" s="111" t="s">
        <v>615</v>
      </c>
      <c r="S40" s="111"/>
      <c r="T40" s="111"/>
      <c r="U40" s="99"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110" customFormat="1" ht="15.75" customHeight="1" x14ac:dyDescent="0.2">
      <c r="A41" s="111" t="str">
        <f t="shared" si="1"/>
        <v>IT</v>
      </c>
      <c r="B41" s="111" t="s">
        <v>618</v>
      </c>
      <c r="C41" s="114" t="s">
        <v>619</v>
      </c>
      <c r="D41" s="111" t="s">
        <v>30</v>
      </c>
      <c r="E41" s="111" t="s">
        <v>135</v>
      </c>
      <c r="F41" s="112"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13" t="s">
        <v>620</v>
      </c>
      <c r="H41" s="112" t="str">
        <f>IF(G41="","",IF(ISNUMBER(SEARCH(",",G41)),"Several items (the script lists them)",IFERROR(INDEX('Dashboard Items'!$B$2:$B$495,MATCH(G41,'Dashboard Items'!$A$2:$A$495,0))&amp;": "&amp;INDEX('Dashboard Items'!$C$2:$C$495,MATCH(G41,'Dashboard Items'!$A$2:$A$495,0)),"ID not found")))</f>
        <v>Several items (the script lists them)</v>
      </c>
      <c r="I41" s="111" t="s">
        <v>588</v>
      </c>
      <c r="J41" s="111">
        <v>2</v>
      </c>
      <c r="K41" s="111" t="s">
        <v>551</v>
      </c>
      <c r="L41" s="111" t="s">
        <v>552</v>
      </c>
      <c r="M41" s="111">
        <v>5</v>
      </c>
      <c r="N41" s="111">
        <v>15</v>
      </c>
      <c r="O41" s="111" t="s">
        <v>551</v>
      </c>
      <c r="P41" s="111" t="s">
        <v>553</v>
      </c>
      <c r="Q41" s="111" t="s">
        <v>611</v>
      </c>
      <c r="R41" s="111" t="s">
        <v>621</v>
      </c>
      <c r="S41" s="111"/>
      <c r="T41" s="111"/>
      <c r="U41" s="99"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110" customFormat="1" ht="15.75" customHeight="1" x14ac:dyDescent="0.2">
      <c r="A42" s="115" t="str">
        <f t="shared" si="1"/>
        <v>LIB</v>
      </c>
      <c r="B42" s="115" t="s">
        <v>622</v>
      </c>
      <c r="C42" s="116" t="s">
        <v>336</v>
      </c>
      <c r="D42" s="115" t="s">
        <v>30</v>
      </c>
      <c r="E42" s="115" t="s">
        <v>335</v>
      </c>
      <c r="F42" s="117"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18" t="s">
        <v>623</v>
      </c>
      <c r="H42" s="117" t="str">
        <f>IF(G42="","",IF(ISNUMBER(SEARCH(",",G42)),"Several items (the script lists them)",IFERROR(INDEX('Dashboard Items'!$B$2:$B$495,MATCH(G42,'Dashboard Items'!$A$2:$A$495,0))&amp;": "&amp;INDEX('Dashboard Items'!$C$2:$C$495,MATCH(G42,'Dashboard Items'!$A$2:$A$495,0)),"ID not found")))</f>
        <v>Key Service: Library &amp; Learning Services</v>
      </c>
      <c r="I42" s="115" t="s">
        <v>550</v>
      </c>
      <c r="J42" s="115">
        <v>0</v>
      </c>
      <c r="K42" s="115" t="s">
        <v>551</v>
      </c>
      <c r="L42" s="115" t="s">
        <v>552</v>
      </c>
      <c r="M42" s="115">
        <v>0</v>
      </c>
      <c r="N42" s="115">
        <v>0</v>
      </c>
      <c r="O42" s="115" t="s">
        <v>551</v>
      </c>
      <c r="P42" s="115" t="s">
        <v>624</v>
      </c>
      <c r="Q42" s="115" t="s">
        <v>625</v>
      </c>
      <c r="R42" s="115"/>
      <c r="S42" s="115"/>
      <c r="T42" s="115"/>
      <c r="U42" s="99"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110" customFormat="1" ht="15.75" customHeight="1" x14ac:dyDescent="0.2">
      <c r="A43" s="115" t="str">
        <f t="shared" si="1"/>
        <v>LIB</v>
      </c>
      <c r="B43" s="115" t="s">
        <v>626</v>
      </c>
      <c r="C43" s="116" t="s">
        <v>341</v>
      </c>
      <c r="D43" s="115" t="s">
        <v>30</v>
      </c>
      <c r="E43" s="115" t="s">
        <v>338</v>
      </c>
      <c r="F43" s="117"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18"/>
      <c r="H43" s="117" t="str">
        <f>IF(G43="","",IF(ISNUMBER(SEARCH(",",G43)),"Several items (the script lists them)",IFERROR(INDEX('Dashboard Items'!$B$2:$B$495,MATCH(G43,'Dashboard Items'!$A$2:$A$495,0))&amp;": "&amp;INDEX('Dashboard Items'!$C$2:$C$495,MATCH(G43,'Dashboard Items'!$A$2:$A$495,0)),"ID not found")))</f>
        <v/>
      </c>
      <c r="I43" s="115" t="s">
        <v>550</v>
      </c>
      <c r="J43" s="115">
        <v>2</v>
      </c>
      <c r="K43" s="115" t="s">
        <v>551</v>
      </c>
      <c r="L43" s="115" t="s">
        <v>552</v>
      </c>
      <c r="M43" s="115">
        <v>0</v>
      </c>
      <c r="N43" s="115">
        <v>0</v>
      </c>
      <c r="O43" s="115" t="s">
        <v>551</v>
      </c>
      <c r="P43" s="115" t="s">
        <v>624</v>
      </c>
      <c r="Q43" s="115" t="s">
        <v>625</v>
      </c>
      <c r="R43" s="115"/>
      <c r="S43" s="115"/>
      <c r="T43" s="115"/>
      <c r="U43" s="99"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19" customFormat="1" ht="15" customHeight="1" x14ac:dyDescent="0.2">
      <c r="A44" s="115" t="str">
        <f t="shared" si="1"/>
        <v>LIB</v>
      </c>
      <c r="B44" s="115" t="s">
        <v>627</v>
      </c>
      <c r="C44" s="116" t="s">
        <v>350</v>
      </c>
      <c r="D44" s="115" t="s">
        <v>30</v>
      </c>
      <c r="E44" s="115" t="s">
        <v>346</v>
      </c>
      <c r="F44" s="117"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18"/>
      <c r="H44" s="117" t="str">
        <f>IF(G44="","",IF(ISNUMBER(SEARCH(",",G44)),"Several items (the script lists them)",IFERROR(INDEX('Dashboard Items'!$B$2:$B$495,MATCH(G44,'Dashboard Items'!$A$2:$A$495,0))&amp;": "&amp;INDEX('Dashboard Items'!$C$2:$C$495,MATCH(G44,'Dashboard Items'!$A$2:$A$495,0)),"ID not found")))</f>
        <v/>
      </c>
      <c r="I44" s="115" t="s">
        <v>550</v>
      </c>
      <c r="J44" s="115">
        <v>2</v>
      </c>
      <c r="K44" s="115" t="s">
        <v>551</v>
      </c>
      <c r="L44" s="115" t="s">
        <v>552</v>
      </c>
      <c r="M44" s="115">
        <v>0</v>
      </c>
      <c r="N44" s="115">
        <v>0</v>
      </c>
      <c r="O44" s="115" t="s">
        <v>551</v>
      </c>
      <c r="P44" s="115" t="s">
        <v>624</v>
      </c>
      <c r="Q44" s="115" t="s">
        <v>625</v>
      </c>
      <c r="R44" s="115"/>
      <c r="S44" s="115"/>
      <c r="T44" s="115"/>
      <c r="U44" s="99"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19" customFormat="1" ht="15" customHeight="1" x14ac:dyDescent="0.2">
      <c r="A45" s="115" t="str">
        <f t="shared" si="1"/>
        <v>LIB</v>
      </c>
      <c r="B45" s="115" t="s">
        <v>628</v>
      </c>
      <c r="C45" s="116" t="s">
        <v>349</v>
      </c>
      <c r="D45" s="115" t="s">
        <v>30</v>
      </c>
      <c r="E45" s="115" t="s">
        <v>346</v>
      </c>
      <c r="F45" s="117"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18"/>
      <c r="H45" s="117" t="str">
        <f>IF(G45="","",IF(ISNUMBER(SEARCH(",",G45)),"Several items (the script lists them)",IFERROR(INDEX('Dashboard Items'!$B$2:$B$495,MATCH(G45,'Dashboard Items'!$A$2:$A$495,0))&amp;": "&amp;INDEX('Dashboard Items'!$C$2:$C$495,MATCH(G45,'Dashboard Items'!$A$2:$A$495,0)),"ID not found")))</f>
        <v/>
      </c>
      <c r="I45" s="115" t="s">
        <v>550</v>
      </c>
      <c r="J45" s="115">
        <v>2</v>
      </c>
      <c r="K45" s="115" t="s">
        <v>551</v>
      </c>
      <c r="L45" s="115" t="s">
        <v>552</v>
      </c>
      <c r="M45" s="115">
        <v>0</v>
      </c>
      <c r="N45" s="115">
        <v>0</v>
      </c>
      <c r="O45" s="115" t="s">
        <v>551</v>
      </c>
      <c r="P45" s="115" t="s">
        <v>624</v>
      </c>
      <c r="Q45" s="115" t="s">
        <v>625</v>
      </c>
      <c r="R45" s="115"/>
      <c r="S45" s="115"/>
      <c r="T45" s="115"/>
      <c r="U45" s="99"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19" customFormat="1" ht="15" customHeight="1" x14ac:dyDescent="0.2">
      <c r="A46" s="115" t="str">
        <f t="shared" si="1"/>
        <v>LIB</v>
      </c>
      <c r="B46" s="115" t="s">
        <v>629</v>
      </c>
      <c r="C46" s="116" t="s">
        <v>348</v>
      </c>
      <c r="D46" s="115" t="s">
        <v>30</v>
      </c>
      <c r="E46" s="115" t="s">
        <v>346</v>
      </c>
      <c r="F46" s="117"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18"/>
      <c r="H46" s="117" t="str">
        <f>IF(G46="","",IF(ISNUMBER(SEARCH(",",G46)),"Several items (the script lists them)",IFERROR(INDEX('Dashboard Items'!$B$2:$B$495,MATCH(G46,'Dashboard Items'!$A$2:$A$495,0))&amp;": "&amp;INDEX('Dashboard Items'!$C$2:$C$495,MATCH(G46,'Dashboard Items'!$A$2:$A$495,0)),"ID not found")))</f>
        <v/>
      </c>
      <c r="I46" s="115" t="s">
        <v>550</v>
      </c>
      <c r="J46" s="115">
        <v>2</v>
      </c>
      <c r="K46" s="115" t="s">
        <v>551</v>
      </c>
      <c r="L46" s="115" t="s">
        <v>552</v>
      </c>
      <c r="M46" s="115">
        <v>0</v>
      </c>
      <c r="N46" s="115">
        <v>0</v>
      </c>
      <c r="O46" s="115" t="s">
        <v>551</v>
      </c>
      <c r="P46" s="115" t="s">
        <v>624</v>
      </c>
      <c r="Q46" s="115" t="s">
        <v>625</v>
      </c>
      <c r="R46" s="115"/>
      <c r="S46" s="115"/>
      <c r="T46" s="115"/>
      <c r="U46" s="99"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19" customFormat="1" ht="15" customHeight="1" x14ac:dyDescent="0.2">
      <c r="A47" s="115" t="str">
        <f t="shared" si="1"/>
        <v>LIB</v>
      </c>
      <c r="B47" s="115" t="s">
        <v>630</v>
      </c>
      <c r="C47" s="116" t="s">
        <v>344</v>
      </c>
      <c r="D47" s="115" t="s">
        <v>30</v>
      </c>
      <c r="E47" s="115" t="s">
        <v>343</v>
      </c>
      <c r="F47" s="117"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18"/>
      <c r="H47" s="117" t="str">
        <f>IF(G47="","",IF(ISNUMBER(SEARCH(",",G47)),"Several items (the script lists them)",IFERROR(INDEX('Dashboard Items'!$B$2:$B$495,MATCH(G47,'Dashboard Items'!$A$2:$A$495,0))&amp;": "&amp;INDEX('Dashboard Items'!$C$2:$C$495,MATCH(G47,'Dashboard Items'!$A$2:$A$495,0)),"ID not found")))</f>
        <v/>
      </c>
      <c r="I47" s="115" t="s">
        <v>550</v>
      </c>
      <c r="J47" s="115">
        <v>2</v>
      </c>
      <c r="K47" s="115" t="s">
        <v>551</v>
      </c>
      <c r="L47" s="115" t="s">
        <v>552</v>
      </c>
      <c r="M47" s="115">
        <v>0</v>
      </c>
      <c r="N47" s="115">
        <v>0</v>
      </c>
      <c r="O47" s="115" t="s">
        <v>551</v>
      </c>
      <c r="P47" s="115" t="s">
        <v>624</v>
      </c>
      <c r="Q47" s="115" t="s">
        <v>625</v>
      </c>
      <c r="R47" s="115"/>
      <c r="S47" s="115"/>
      <c r="T47" s="115"/>
      <c r="U47" s="99"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20" customFormat="1" ht="15" customHeight="1" x14ac:dyDescent="0.2">
      <c r="A48" s="115" t="str">
        <f t="shared" si="1"/>
        <v>LIB</v>
      </c>
      <c r="B48" s="115" t="s">
        <v>631</v>
      </c>
      <c r="C48" s="116" t="s">
        <v>340</v>
      </c>
      <c r="D48" s="115" t="s">
        <v>30</v>
      </c>
      <c r="E48" s="115" t="s">
        <v>338</v>
      </c>
      <c r="F48" s="117"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18"/>
      <c r="H48" s="117" t="str">
        <f>IF(G48="","",IF(ISNUMBER(SEARCH(",",G48)),"Several items (the script lists them)",IFERROR(INDEX('Dashboard Items'!$B$2:$B$495,MATCH(G48,'Dashboard Items'!$A$2:$A$495,0))&amp;": "&amp;INDEX('Dashboard Items'!$C$2:$C$495,MATCH(G48,'Dashboard Items'!$A$2:$A$495,0)),"ID not found")))</f>
        <v/>
      </c>
      <c r="I48" s="115" t="s">
        <v>550</v>
      </c>
      <c r="J48" s="115">
        <v>2</v>
      </c>
      <c r="K48" s="115" t="s">
        <v>551</v>
      </c>
      <c r="L48" s="115" t="s">
        <v>552</v>
      </c>
      <c r="M48" s="115">
        <v>0</v>
      </c>
      <c r="N48" s="115">
        <v>0</v>
      </c>
      <c r="O48" s="115" t="s">
        <v>551</v>
      </c>
      <c r="P48" s="115" t="s">
        <v>624</v>
      </c>
      <c r="Q48" s="115" t="s">
        <v>625</v>
      </c>
      <c r="R48" s="115"/>
      <c r="S48" s="115"/>
      <c r="T48" s="115"/>
      <c r="U48" s="99"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20" customFormat="1" ht="15" customHeight="1" x14ac:dyDescent="0.2">
      <c r="A49" s="115" t="str">
        <f t="shared" si="1"/>
        <v>LIB</v>
      </c>
      <c r="B49" s="115" t="s">
        <v>632</v>
      </c>
      <c r="C49" s="116" t="s">
        <v>347</v>
      </c>
      <c r="D49" s="115" t="s">
        <v>30</v>
      </c>
      <c r="E49" s="115" t="s">
        <v>346</v>
      </c>
      <c r="F49" s="117"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18"/>
      <c r="H49" s="117" t="str">
        <f>IF(G49="","",IF(ISNUMBER(SEARCH(",",G49)),"Several items (the script lists them)",IFERROR(INDEX('Dashboard Items'!$B$2:$B$495,MATCH(G49,'Dashboard Items'!$A$2:$A$495,0))&amp;": "&amp;INDEX('Dashboard Items'!$C$2:$C$495,MATCH(G49,'Dashboard Items'!$A$2:$A$495,0)),"ID not found")))</f>
        <v/>
      </c>
      <c r="I49" s="115" t="s">
        <v>550</v>
      </c>
      <c r="J49" s="115">
        <v>2</v>
      </c>
      <c r="K49" s="115" t="s">
        <v>551</v>
      </c>
      <c r="L49" s="115" t="s">
        <v>552</v>
      </c>
      <c r="M49" s="115">
        <v>0</v>
      </c>
      <c r="N49" s="115">
        <v>0</v>
      </c>
      <c r="O49" s="115" t="s">
        <v>551</v>
      </c>
      <c r="P49" s="115" t="s">
        <v>624</v>
      </c>
      <c r="Q49" s="115" t="s">
        <v>625</v>
      </c>
      <c r="R49" s="115"/>
      <c r="S49" s="115"/>
      <c r="T49" s="115"/>
      <c r="U49" s="99"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20" customFormat="1" ht="15" customHeight="1" x14ac:dyDescent="0.2">
      <c r="A50" s="115" t="str">
        <f t="shared" si="1"/>
        <v>LIB</v>
      </c>
      <c r="B50" s="115" t="s">
        <v>633</v>
      </c>
      <c r="C50" s="116" t="s">
        <v>339</v>
      </c>
      <c r="D50" s="115" t="s">
        <v>30</v>
      </c>
      <c r="E50" s="115" t="s">
        <v>338</v>
      </c>
      <c r="F50" s="117"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18" t="s">
        <v>623</v>
      </c>
      <c r="H50" s="117" t="str">
        <f>IF(G50="","",IF(ISNUMBER(SEARCH(",",G50)),"Several items (the script lists them)",IFERROR(INDEX('Dashboard Items'!$B$2:$B$495,MATCH(G50,'Dashboard Items'!$A$2:$A$495,0))&amp;": "&amp;INDEX('Dashboard Items'!$C$2:$C$495,MATCH(G50,'Dashboard Items'!$A$2:$A$495,0)),"ID not found")))</f>
        <v>Key Service: Library &amp; Learning Services</v>
      </c>
      <c r="I50" s="115" t="s">
        <v>550</v>
      </c>
      <c r="J50" s="115">
        <v>0</v>
      </c>
      <c r="K50" s="115" t="s">
        <v>551</v>
      </c>
      <c r="L50" s="115" t="s">
        <v>552</v>
      </c>
      <c r="M50" s="115">
        <v>0</v>
      </c>
      <c r="N50" s="115">
        <v>0</v>
      </c>
      <c r="O50" s="115" t="s">
        <v>551</v>
      </c>
      <c r="P50" s="115" t="s">
        <v>624</v>
      </c>
      <c r="Q50" s="115" t="s">
        <v>625</v>
      </c>
      <c r="R50" s="115"/>
      <c r="S50" s="115"/>
      <c r="T50" s="115"/>
      <c r="U50" s="99"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20" customFormat="1" ht="15" customHeight="1" x14ac:dyDescent="0.2">
      <c r="A51" s="121" t="str">
        <f t="shared" si="1"/>
        <v>PD</v>
      </c>
      <c r="B51" s="122" t="s">
        <v>634</v>
      </c>
      <c r="C51" s="123" t="s">
        <v>222</v>
      </c>
      <c r="D51" s="122" t="s">
        <v>30</v>
      </c>
      <c r="E51" s="124" t="s">
        <v>217</v>
      </c>
      <c r="F51" s="125"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24"/>
      <c r="H51" s="125" t="str">
        <f>IF(G51="","",IF(ISNUMBER(SEARCH(",",G51)),"Several items (the script lists them)",IFERROR(INDEX('Dashboard Items'!$B$2:$B$495,MATCH(G51,'Dashboard Items'!$A$2:$A$495,0))&amp;": "&amp;INDEX('Dashboard Items'!$C$2:$C$495,MATCH(G51,'Dashboard Items'!$A$2:$A$495,0)),"ID not found")))</f>
        <v/>
      </c>
      <c r="I51" s="122" t="s">
        <v>550</v>
      </c>
      <c r="J51" s="122">
        <v>2</v>
      </c>
      <c r="K51" s="122" t="s">
        <v>551</v>
      </c>
      <c r="L51" s="122" t="s">
        <v>552</v>
      </c>
      <c r="M51" s="122">
        <v>0</v>
      </c>
      <c r="N51" s="122">
        <v>0</v>
      </c>
      <c r="O51" s="122" t="s">
        <v>551</v>
      </c>
      <c r="P51" s="122" t="s">
        <v>553</v>
      </c>
      <c r="Q51" s="122" t="s">
        <v>554</v>
      </c>
      <c r="R51" s="122"/>
      <c r="S51" s="122"/>
      <c r="T51" s="122"/>
      <c r="U51" s="99"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20" customFormat="1" ht="15" customHeight="1" x14ac:dyDescent="0.2">
      <c r="A52" s="121" t="str">
        <f t="shared" si="1"/>
        <v>PD</v>
      </c>
      <c r="B52" s="122" t="s">
        <v>635</v>
      </c>
      <c r="C52" s="123" t="s">
        <v>460</v>
      </c>
      <c r="D52" s="122" t="s">
        <v>29</v>
      </c>
      <c r="E52" s="122" t="s">
        <v>558</v>
      </c>
      <c r="F52" s="125"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24"/>
      <c r="H52" s="125" t="str">
        <f>IF(G52="","",IF(ISNUMBER(SEARCH(",",G52)),"Several items (the script lists them)",IFERROR(INDEX('Dashboard Items'!$B$2:$B$495,MATCH(G52,'Dashboard Items'!$A$2:$A$495,0))&amp;": "&amp;INDEX('Dashboard Items'!$C$2:$C$495,MATCH(G52,'Dashboard Items'!$A$2:$A$495,0)),"ID not found")))</f>
        <v/>
      </c>
      <c r="I52" s="122" t="s">
        <v>550</v>
      </c>
      <c r="J52" s="122">
        <v>2</v>
      </c>
      <c r="K52" s="122" t="s">
        <v>551</v>
      </c>
      <c r="L52" s="122" t="s">
        <v>552</v>
      </c>
      <c r="M52" s="122">
        <v>0</v>
      </c>
      <c r="N52" s="122">
        <v>0</v>
      </c>
      <c r="O52" s="122" t="s">
        <v>551</v>
      </c>
      <c r="P52" s="122" t="s">
        <v>553</v>
      </c>
      <c r="Q52" s="122" t="s">
        <v>554</v>
      </c>
      <c r="R52" s="122"/>
      <c r="S52" s="122"/>
      <c r="T52" s="122"/>
      <c r="U52" s="99"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20" customFormat="1" ht="15" customHeight="1" x14ac:dyDescent="0.2">
      <c r="A53" s="121" t="str">
        <f t="shared" si="1"/>
        <v>PD</v>
      </c>
      <c r="B53" s="122" t="s">
        <v>636</v>
      </c>
      <c r="C53" s="123" t="s">
        <v>209</v>
      </c>
      <c r="D53" s="122" t="s">
        <v>30</v>
      </c>
      <c r="E53" s="124" t="s">
        <v>217</v>
      </c>
      <c r="F53" s="125"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24" t="s">
        <v>207</v>
      </c>
      <c r="H53" s="125" t="str">
        <f>IF(G53="","",IF(ISNUMBER(SEARCH(",",G53)),"Several items (the script lists them)",IFERROR(INDEX('Dashboard Items'!$B$2:$B$495,MATCH(G53,'Dashboard Items'!$A$2:$A$495,0))&amp;": "&amp;INDEX('Dashboard Items'!$C$2:$C$495,MATCH(G53,'Dashboard Items'!$A$2:$A$495,0)),"ID not found")))</f>
        <v>Program: Criminal Investigations</v>
      </c>
      <c r="I53" s="122" t="s">
        <v>550</v>
      </c>
      <c r="J53" s="122">
        <v>2</v>
      </c>
      <c r="K53" s="122" t="s">
        <v>551</v>
      </c>
      <c r="L53" s="122" t="s">
        <v>552</v>
      </c>
      <c r="M53" s="122">
        <v>0</v>
      </c>
      <c r="N53" s="122">
        <v>0</v>
      </c>
      <c r="O53" s="122" t="s">
        <v>551</v>
      </c>
      <c r="P53" s="122" t="s">
        <v>553</v>
      </c>
      <c r="Q53" s="122" t="s">
        <v>554</v>
      </c>
      <c r="R53" s="122"/>
      <c r="S53" s="122"/>
      <c r="T53" s="122"/>
      <c r="U53" s="99"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20" customFormat="1" ht="15" customHeight="1" x14ac:dyDescent="0.2">
      <c r="A54" s="121" t="str">
        <f t="shared" si="1"/>
        <v>PD</v>
      </c>
      <c r="B54" s="122" t="s">
        <v>637</v>
      </c>
      <c r="C54" s="123" t="s">
        <v>221</v>
      </c>
      <c r="D54" s="122" t="s">
        <v>30</v>
      </c>
      <c r="E54" s="124" t="s">
        <v>217</v>
      </c>
      <c r="F54" s="125"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24"/>
      <c r="H54" s="125" t="str">
        <f>IF(G54="","",IF(ISNUMBER(SEARCH(",",G54)),"Several items (the script lists them)",IFERROR(INDEX('Dashboard Items'!$B$2:$B$495,MATCH(G54,'Dashboard Items'!$A$2:$A$495,0))&amp;": "&amp;INDEX('Dashboard Items'!$C$2:$C$495,MATCH(G54,'Dashboard Items'!$A$2:$A$495,0)),"ID not found")))</f>
        <v/>
      </c>
      <c r="I54" s="122" t="s">
        <v>550</v>
      </c>
      <c r="J54" s="122">
        <v>2</v>
      </c>
      <c r="K54" s="122" t="s">
        <v>551</v>
      </c>
      <c r="L54" s="122" t="s">
        <v>552</v>
      </c>
      <c r="M54" s="122">
        <v>0</v>
      </c>
      <c r="N54" s="122">
        <v>0</v>
      </c>
      <c r="O54" s="122" t="s">
        <v>551</v>
      </c>
      <c r="P54" s="122" t="s">
        <v>553</v>
      </c>
      <c r="Q54" s="122" t="s">
        <v>554</v>
      </c>
      <c r="R54" s="122"/>
      <c r="S54" s="122"/>
      <c r="T54" s="122"/>
      <c r="U54" s="99"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20" customFormat="1" ht="15" customHeight="1" x14ac:dyDescent="0.2">
      <c r="A55" s="121" t="str">
        <f t="shared" si="1"/>
        <v>PD</v>
      </c>
      <c r="B55" s="122" t="s">
        <v>638</v>
      </c>
      <c r="C55" s="123" t="s">
        <v>228</v>
      </c>
      <c r="D55" s="122" t="s">
        <v>30</v>
      </c>
      <c r="E55" s="122" t="s">
        <v>225</v>
      </c>
      <c r="F55" s="125"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24"/>
      <c r="H55" s="125" t="str">
        <f>IF(G55="","",IF(ISNUMBER(SEARCH(",",G55)),"Several items (the script lists them)",IFERROR(INDEX('Dashboard Items'!$B$2:$B$495,MATCH(G55,'Dashboard Items'!$A$2:$A$495,0))&amp;": "&amp;INDEX('Dashboard Items'!$C$2:$C$495,MATCH(G55,'Dashboard Items'!$A$2:$A$495,0)),"ID not found")))</f>
        <v/>
      </c>
      <c r="I55" s="122" t="s">
        <v>550</v>
      </c>
      <c r="J55" s="122">
        <v>2</v>
      </c>
      <c r="K55" s="122" t="s">
        <v>551</v>
      </c>
      <c r="L55" s="122" t="s">
        <v>552</v>
      </c>
      <c r="M55" s="122">
        <v>0</v>
      </c>
      <c r="N55" s="122">
        <v>0</v>
      </c>
      <c r="O55" s="122" t="s">
        <v>551</v>
      </c>
      <c r="P55" s="122" t="s">
        <v>553</v>
      </c>
      <c r="Q55" s="122" t="s">
        <v>554</v>
      </c>
      <c r="R55" s="122"/>
      <c r="S55" s="122"/>
      <c r="T55" s="122"/>
      <c r="U55" s="99"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20" customFormat="1" ht="15" customHeight="1" x14ac:dyDescent="0.2">
      <c r="A56" s="121" t="str">
        <f t="shared" si="1"/>
        <v>PD</v>
      </c>
      <c r="B56" s="122" t="s">
        <v>639</v>
      </c>
      <c r="C56" s="123" t="s">
        <v>227</v>
      </c>
      <c r="D56" s="122" t="s">
        <v>30</v>
      </c>
      <c r="E56" s="122" t="s">
        <v>225</v>
      </c>
      <c r="F56" s="125"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24"/>
      <c r="H56" s="125" t="str">
        <f>IF(G56="","",IF(ISNUMBER(SEARCH(",",G56)),"Several items (the script lists them)",IFERROR(INDEX('Dashboard Items'!$B$2:$B$495,MATCH(G56,'Dashboard Items'!$A$2:$A$495,0))&amp;": "&amp;INDEX('Dashboard Items'!$C$2:$C$495,MATCH(G56,'Dashboard Items'!$A$2:$A$495,0)),"ID not found")))</f>
        <v/>
      </c>
      <c r="I56" s="122" t="s">
        <v>550</v>
      </c>
      <c r="J56" s="122">
        <v>2</v>
      </c>
      <c r="K56" s="122" t="s">
        <v>551</v>
      </c>
      <c r="L56" s="122" t="s">
        <v>552</v>
      </c>
      <c r="M56" s="122">
        <v>0</v>
      </c>
      <c r="N56" s="122">
        <v>0</v>
      </c>
      <c r="O56" s="122" t="s">
        <v>551</v>
      </c>
      <c r="P56" s="122" t="s">
        <v>553</v>
      </c>
      <c r="Q56" s="122" t="s">
        <v>554</v>
      </c>
      <c r="R56" s="122"/>
      <c r="S56" s="122"/>
      <c r="T56" s="122"/>
      <c r="U56" s="99"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20" customFormat="1" ht="15" customHeight="1" x14ac:dyDescent="0.2">
      <c r="A57" s="121" t="str">
        <f t="shared" si="1"/>
        <v>PD</v>
      </c>
      <c r="B57" s="122" t="s">
        <v>640</v>
      </c>
      <c r="C57" s="123" t="s">
        <v>220</v>
      </c>
      <c r="D57" s="122" t="s">
        <v>30</v>
      </c>
      <c r="E57" s="124" t="s">
        <v>217</v>
      </c>
      <c r="F57" s="125"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24"/>
      <c r="H57" s="125" t="str">
        <f>IF(G57="","",IF(ISNUMBER(SEARCH(",",G57)),"Several items (the script lists them)",IFERROR(INDEX('Dashboard Items'!$B$2:$B$495,MATCH(G57,'Dashboard Items'!$A$2:$A$495,0))&amp;": "&amp;INDEX('Dashboard Items'!$C$2:$C$495,MATCH(G57,'Dashboard Items'!$A$2:$A$495,0)),"ID not found")))</f>
        <v/>
      </c>
      <c r="I57" s="122" t="s">
        <v>550</v>
      </c>
      <c r="J57" s="122">
        <v>2</v>
      </c>
      <c r="K57" s="122" t="s">
        <v>551</v>
      </c>
      <c r="L57" s="122" t="s">
        <v>552</v>
      </c>
      <c r="M57" s="122">
        <v>0</v>
      </c>
      <c r="N57" s="122">
        <v>0</v>
      </c>
      <c r="O57" s="122" t="s">
        <v>551</v>
      </c>
      <c r="P57" s="122" t="s">
        <v>553</v>
      </c>
      <c r="Q57" s="122" t="s">
        <v>554</v>
      </c>
      <c r="R57" s="122"/>
      <c r="S57" s="122"/>
      <c r="T57" s="122"/>
      <c r="U57" s="99"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20" customFormat="1" ht="15" customHeight="1" x14ac:dyDescent="0.2">
      <c r="A58" s="121" t="str">
        <f t="shared" si="1"/>
        <v>PD</v>
      </c>
      <c r="B58" s="122" t="s">
        <v>641</v>
      </c>
      <c r="C58" s="123" t="s">
        <v>230</v>
      </c>
      <c r="D58" s="122" t="s">
        <v>30</v>
      </c>
      <c r="E58" s="122" t="s">
        <v>225</v>
      </c>
      <c r="F58" s="125"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24"/>
      <c r="H58" s="125" t="str">
        <f>IF(G58="","",IF(ISNUMBER(SEARCH(",",G58)),"Several items (the script lists them)",IFERROR(INDEX('Dashboard Items'!$B$2:$B$495,MATCH(G58,'Dashboard Items'!$A$2:$A$495,0))&amp;": "&amp;INDEX('Dashboard Items'!$C$2:$C$495,MATCH(G58,'Dashboard Items'!$A$2:$A$495,0)),"ID not found")))</f>
        <v/>
      </c>
      <c r="I58" s="122" t="s">
        <v>550</v>
      </c>
      <c r="J58" s="122">
        <v>2</v>
      </c>
      <c r="K58" s="122" t="s">
        <v>551</v>
      </c>
      <c r="L58" s="122" t="s">
        <v>552</v>
      </c>
      <c r="M58" s="122">
        <v>0</v>
      </c>
      <c r="N58" s="122">
        <v>0</v>
      </c>
      <c r="O58" s="122" t="s">
        <v>551</v>
      </c>
      <c r="P58" s="122" t="s">
        <v>553</v>
      </c>
      <c r="Q58" s="122" t="s">
        <v>554</v>
      </c>
      <c r="R58" s="122"/>
      <c r="S58" s="122"/>
      <c r="T58" s="122"/>
      <c r="U58" s="99"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20" customFormat="1" ht="15" customHeight="1" x14ac:dyDescent="0.2">
      <c r="A59" s="121" t="str">
        <f t="shared" si="1"/>
        <v>PD</v>
      </c>
      <c r="B59" s="122" t="s">
        <v>642</v>
      </c>
      <c r="C59" s="123" t="s">
        <v>461</v>
      </c>
      <c r="D59" s="122" t="s">
        <v>29</v>
      </c>
      <c r="E59" s="122" t="s">
        <v>558</v>
      </c>
      <c r="F59" s="125"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24"/>
      <c r="H59" s="125" t="str">
        <f>IF(G59="","",IF(ISNUMBER(SEARCH(",",G59)),"Several items (the script lists them)",IFERROR(INDEX('Dashboard Items'!$B$2:$B$495,MATCH(G59,'Dashboard Items'!$A$2:$A$495,0))&amp;": "&amp;INDEX('Dashboard Items'!$C$2:$C$495,MATCH(G59,'Dashboard Items'!$A$2:$A$495,0)),"ID not found")))</f>
        <v/>
      </c>
      <c r="I59" s="122" t="s">
        <v>550</v>
      </c>
      <c r="J59" s="122">
        <v>2</v>
      </c>
      <c r="K59" s="122" t="s">
        <v>551</v>
      </c>
      <c r="L59" s="122" t="s">
        <v>552</v>
      </c>
      <c r="M59" s="122">
        <v>0</v>
      </c>
      <c r="N59" s="122">
        <v>0</v>
      </c>
      <c r="O59" s="122" t="s">
        <v>551</v>
      </c>
      <c r="P59" s="122" t="s">
        <v>553</v>
      </c>
      <c r="Q59" s="122" t="s">
        <v>554</v>
      </c>
      <c r="R59" s="122"/>
      <c r="S59" s="122"/>
      <c r="T59" s="122"/>
      <c r="U59" s="99"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20" customFormat="1" ht="15" customHeight="1" x14ac:dyDescent="0.2">
      <c r="A60" s="121" t="str">
        <f t="shared" si="1"/>
        <v>PD</v>
      </c>
      <c r="B60" s="122" t="s">
        <v>643</v>
      </c>
      <c r="C60" s="123" t="s">
        <v>208</v>
      </c>
      <c r="D60" s="122" t="s">
        <v>30</v>
      </c>
      <c r="E60" s="124" t="s">
        <v>217</v>
      </c>
      <c r="F60" s="125"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24" t="s">
        <v>207</v>
      </c>
      <c r="H60" s="125" t="str">
        <f>IF(G60="","",IF(ISNUMBER(SEARCH(",",G60)),"Several items (the script lists them)",IFERROR(INDEX('Dashboard Items'!$B$2:$B$495,MATCH(G60,'Dashboard Items'!$A$2:$A$495,0))&amp;": "&amp;INDEX('Dashboard Items'!$C$2:$C$495,MATCH(G60,'Dashboard Items'!$A$2:$A$495,0)),"ID not found")))</f>
        <v>Program: Criminal Investigations</v>
      </c>
      <c r="I60" s="122" t="s">
        <v>550</v>
      </c>
      <c r="J60" s="122">
        <v>2</v>
      </c>
      <c r="K60" s="122" t="s">
        <v>551</v>
      </c>
      <c r="L60" s="122" t="s">
        <v>552</v>
      </c>
      <c r="M60" s="122">
        <v>0</v>
      </c>
      <c r="N60" s="122">
        <v>0</v>
      </c>
      <c r="O60" s="122" t="s">
        <v>551</v>
      </c>
      <c r="P60" s="122" t="s">
        <v>553</v>
      </c>
      <c r="Q60" s="122" t="s">
        <v>554</v>
      </c>
      <c r="R60" s="122"/>
      <c r="S60" s="122"/>
      <c r="T60" s="122"/>
      <c r="U60" s="99"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20" customFormat="1" ht="15" customHeight="1" x14ac:dyDescent="0.2">
      <c r="A61" s="121" t="str">
        <f t="shared" si="1"/>
        <v>PD</v>
      </c>
      <c r="B61" s="122" t="s">
        <v>644</v>
      </c>
      <c r="C61" s="123" t="s">
        <v>234</v>
      </c>
      <c r="D61" s="122" t="s">
        <v>30</v>
      </c>
      <c r="E61" s="124" t="s">
        <v>233</v>
      </c>
      <c r="F61" s="125"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24"/>
      <c r="H61" s="125" t="str">
        <f>IF(G61="","",IF(ISNUMBER(SEARCH(",",G61)),"Several items (the script lists them)",IFERROR(INDEX('Dashboard Items'!$B$2:$B$495,MATCH(G61,'Dashboard Items'!$A$2:$A$495,0))&amp;": "&amp;INDEX('Dashboard Items'!$C$2:$C$495,MATCH(G61,'Dashboard Items'!$A$2:$A$495,0)),"ID not found")))</f>
        <v/>
      </c>
      <c r="I61" s="122" t="s">
        <v>550</v>
      </c>
      <c r="J61" s="122">
        <v>2</v>
      </c>
      <c r="K61" s="122" t="s">
        <v>551</v>
      </c>
      <c r="L61" s="122" t="s">
        <v>552</v>
      </c>
      <c r="M61" s="122">
        <v>0</v>
      </c>
      <c r="N61" s="122">
        <v>0</v>
      </c>
      <c r="O61" s="122" t="s">
        <v>551</v>
      </c>
      <c r="P61" s="122" t="s">
        <v>553</v>
      </c>
      <c r="Q61" s="122" t="s">
        <v>554</v>
      </c>
      <c r="R61" s="122"/>
      <c r="S61" s="122"/>
      <c r="T61" s="122"/>
      <c r="U61" s="99"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20" customFormat="1" ht="15" customHeight="1" x14ac:dyDescent="0.2">
      <c r="A62" s="121" t="str">
        <f t="shared" si="1"/>
        <v>PD</v>
      </c>
      <c r="B62" s="122" t="s">
        <v>645</v>
      </c>
      <c r="C62" s="123" t="s">
        <v>205</v>
      </c>
      <c r="D62" s="122" t="s">
        <v>30</v>
      </c>
      <c r="E62" s="122" t="s">
        <v>200</v>
      </c>
      <c r="F62" s="125"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24"/>
      <c r="H62" s="125" t="str">
        <f>IF(G62="","",IF(ISNUMBER(SEARCH(",",G62)),"Several items (the script lists them)",IFERROR(INDEX('Dashboard Items'!$B$2:$B$495,MATCH(G62,'Dashboard Items'!$A$2:$A$495,0))&amp;": "&amp;INDEX('Dashboard Items'!$C$2:$C$495,MATCH(G62,'Dashboard Items'!$A$2:$A$495,0)),"ID not found")))</f>
        <v/>
      </c>
      <c r="I62" s="122" t="s">
        <v>550</v>
      </c>
      <c r="J62" s="122">
        <v>2</v>
      </c>
      <c r="K62" s="122" t="s">
        <v>551</v>
      </c>
      <c r="L62" s="122" t="s">
        <v>552</v>
      </c>
      <c r="M62" s="122">
        <v>0</v>
      </c>
      <c r="N62" s="122">
        <v>0</v>
      </c>
      <c r="O62" s="122" t="s">
        <v>551</v>
      </c>
      <c r="P62" s="122" t="s">
        <v>553</v>
      </c>
      <c r="Q62" s="122" t="s">
        <v>554</v>
      </c>
      <c r="R62" s="122"/>
      <c r="S62" s="122"/>
      <c r="T62" s="122"/>
      <c r="U62" s="99"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20" customFormat="1" ht="15" customHeight="1" x14ac:dyDescent="0.2">
      <c r="A63" s="121" t="str">
        <f t="shared" si="1"/>
        <v>PD</v>
      </c>
      <c r="B63" s="122" t="s">
        <v>646</v>
      </c>
      <c r="C63" s="123" t="s">
        <v>219</v>
      </c>
      <c r="D63" s="122" t="s">
        <v>30</v>
      </c>
      <c r="E63" s="124" t="s">
        <v>217</v>
      </c>
      <c r="F63" s="125"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24"/>
      <c r="H63" s="125" t="str">
        <f>IF(G63="","",IF(ISNUMBER(SEARCH(",",G63)),"Several items (the script lists them)",IFERROR(INDEX('Dashboard Items'!$B$2:$B$495,MATCH(G63,'Dashboard Items'!$A$2:$A$495,0))&amp;": "&amp;INDEX('Dashboard Items'!$C$2:$C$495,MATCH(G63,'Dashboard Items'!$A$2:$A$495,0)),"ID not found")))</f>
        <v/>
      </c>
      <c r="I63" s="122" t="s">
        <v>550</v>
      </c>
      <c r="J63" s="122">
        <v>2</v>
      </c>
      <c r="K63" s="122" t="s">
        <v>551</v>
      </c>
      <c r="L63" s="122" t="s">
        <v>552</v>
      </c>
      <c r="M63" s="122">
        <v>0</v>
      </c>
      <c r="N63" s="122">
        <v>0</v>
      </c>
      <c r="O63" s="122" t="s">
        <v>551</v>
      </c>
      <c r="P63" s="122" t="s">
        <v>553</v>
      </c>
      <c r="Q63" s="122" t="s">
        <v>554</v>
      </c>
      <c r="R63" s="122"/>
      <c r="S63" s="122"/>
      <c r="T63" s="122"/>
      <c r="U63" s="99"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26" customFormat="1" ht="15.75" customHeight="1" x14ac:dyDescent="0.2">
      <c r="A64" s="121" t="str">
        <f t="shared" si="1"/>
        <v>PD</v>
      </c>
      <c r="B64" s="122" t="s">
        <v>647</v>
      </c>
      <c r="C64" s="123" t="s">
        <v>458</v>
      </c>
      <c r="D64" s="122" t="s">
        <v>29</v>
      </c>
      <c r="E64" s="122" t="s">
        <v>558</v>
      </c>
      <c r="F64" s="125"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24"/>
      <c r="H64" s="125" t="str">
        <f>IF(G64="","",IF(ISNUMBER(SEARCH(",",G64)),"Several items (the script lists them)",IFERROR(INDEX('Dashboard Items'!$B$2:$B$495,MATCH(G64,'Dashboard Items'!$A$2:$A$495,0))&amp;": "&amp;INDEX('Dashboard Items'!$C$2:$C$495,MATCH(G64,'Dashboard Items'!$A$2:$A$495,0)),"ID not found")))</f>
        <v/>
      </c>
      <c r="I64" s="122" t="s">
        <v>550</v>
      </c>
      <c r="J64" s="122">
        <v>2</v>
      </c>
      <c r="K64" s="122" t="s">
        <v>551</v>
      </c>
      <c r="L64" s="122" t="s">
        <v>552</v>
      </c>
      <c r="M64" s="122">
        <v>0</v>
      </c>
      <c r="N64" s="122">
        <v>0</v>
      </c>
      <c r="O64" s="122" t="s">
        <v>551</v>
      </c>
      <c r="P64" s="122" t="s">
        <v>553</v>
      </c>
      <c r="Q64" s="122" t="s">
        <v>554</v>
      </c>
      <c r="R64" s="122"/>
      <c r="S64" s="122"/>
      <c r="T64" s="122"/>
      <c r="U64" s="99"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26" customFormat="1" ht="15.75" customHeight="1" x14ac:dyDescent="0.2">
      <c r="A65" s="121" t="str">
        <f t="shared" si="1"/>
        <v>PD</v>
      </c>
      <c r="B65" s="122" t="s">
        <v>648</v>
      </c>
      <c r="C65" s="123" t="s">
        <v>210</v>
      </c>
      <c r="D65" s="122" t="s">
        <v>30</v>
      </c>
      <c r="E65" s="124" t="s">
        <v>217</v>
      </c>
      <c r="F65" s="125"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24" t="s">
        <v>207</v>
      </c>
      <c r="H65" s="125" t="str">
        <f>IF(G65="","",IF(ISNUMBER(SEARCH(",",G65)),"Several items (the script lists them)",IFERROR(INDEX('Dashboard Items'!$B$2:$B$495,MATCH(G65,'Dashboard Items'!$A$2:$A$495,0))&amp;": "&amp;INDEX('Dashboard Items'!$C$2:$C$495,MATCH(G65,'Dashboard Items'!$A$2:$A$495,0)),"ID not found")))</f>
        <v>Program: Criminal Investigations</v>
      </c>
      <c r="I65" s="122" t="s">
        <v>550</v>
      </c>
      <c r="J65" s="122">
        <v>2</v>
      </c>
      <c r="K65" s="122" t="s">
        <v>551</v>
      </c>
      <c r="L65" s="122" t="s">
        <v>552</v>
      </c>
      <c r="M65" s="122">
        <v>0</v>
      </c>
      <c r="N65" s="122">
        <v>0</v>
      </c>
      <c r="O65" s="122" t="s">
        <v>551</v>
      </c>
      <c r="P65" s="122" t="s">
        <v>553</v>
      </c>
      <c r="Q65" s="122" t="s">
        <v>554</v>
      </c>
      <c r="R65" s="122"/>
      <c r="S65" s="122"/>
      <c r="T65" s="122"/>
      <c r="U65" s="99"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26" customFormat="1" ht="15.75" customHeight="1" x14ac:dyDescent="0.2">
      <c r="A66" s="121" t="str">
        <f t="shared" ref="A66:A97" si="2">LEFT(B66, FIND("-", B66) - 1)</f>
        <v>PD</v>
      </c>
      <c r="B66" s="122" t="s">
        <v>649</v>
      </c>
      <c r="C66" s="123" t="s">
        <v>202</v>
      </c>
      <c r="D66" s="122" t="s">
        <v>30</v>
      </c>
      <c r="E66" s="122" t="s">
        <v>200</v>
      </c>
      <c r="F66" s="125"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24"/>
      <c r="H66" s="125" t="str">
        <f>IF(G66="","",IF(ISNUMBER(SEARCH(",",G66)),"Several items (the script lists them)",IFERROR(INDEX('Dashboard Items'!$B$2:$B$495,MATCH(G66,'Dashboard Items'!$A$2:$A$495,0))&amp;": "&amp;INDEX('Dashboard Items'!$C$2:$C$495,MATCH(G66,'Dashboard Items'!$A$2:$A$495,0)),"ID not found")))</f>
        <v/>
      </c>
      <c r="I66" s="122" t="s">
        <v>550</v>
      </c>
      <c r="J66" s="122">
        <v>2</v>
      </c>
      <c r="K66" s="122" t="s">
        <v>551</v>
      </c>
      <c r="L66" s="122" t="s">
        <v>552</v>
      </c>
      <c r="M66" s="122">
        <v>0</v>
      </c>
      <c r="N66" s="122">
        <v>0</v>
      </c>
      <c r="O66" s="122" t="s">
        <v>551</v>
      </c>
      <c r="P66" s="122" t="s">
        <v>553</v>
      </c>
      <c r="Q66" s="122" t="s">
        <v>554</v>
      </c>
      <c r="R66" s="122"/>
      <c r="S66" s="122"/>
      <c r="T66" s="122"/>
      <c r="U66" s="99"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26" customFormat="1" ht="15.75" customHeight="1" x14ac:dyDescent="0.2">
      <c r="A67" s="121" t="str">
        <f t="shared" si="2"/>
        <v>PD</v>
      </c>
      <c r="B67" s="122" t="s">
        <v>650</v>
      </c>
      <c r="C67" s="123" t="s">
        <v>204</v>
      </c>
      <c r="D67" s="122" t="s">
        <v>30</v>
      </c>
      <c r="E67" s="122" t="s">
        <v>200</v>
      </c>
      <c r="F67" s="125"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24"/>
      <c r="H67" s="125" t="str">
        <f>IF(G67="","",IF(ISNUMBER(SEARCH(",",G67)),"Several items (the script lists them)",IFERROR(INDEX('Dashboard Items'!$B$2:$B$495,MATCH(G67,'Dashboard Items'!$A$2:$A$495,0))&amp;": "&amp;INDEX('Dashboard Items'!$C$2:$C$495,MATCH(G67,'Dashboard Items'!$A$2:$A$495,0)),"ID not found")))</f>
        <v/>
      </c>
      <c r="I67" s="122" t="s">
        <v>550</v>
      </c>
      <c r="J67" s="122">
        <v>2</v>
      </c>
      <c r="K67" s="122" t="s">
        <v>551</v>
      </c>
      <c r="L67" s="122" t="s">
        <v>552</v>
      </c>
      <c r="M67" s="122">
        <v>0</v>
      </c>
      <c r="N67" s="122">
        <v>0</v>
      </c>
      <c r="O67" s="122" t="s">
        <v>551</v>
      </c>
      <c r="P67" s="122" t="s">
        <v>553</v>
      </c>
      <c r="Q67" s="122" t="s">
        <v>554</v>
      </c>
      <c r="R67" s="122"/>
      <c r="S67" s="122"/>
      <c r="T67" s="122"/>
      <c r="U67" s="99"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26" customFormat="1" ht="15.75" customHeight="1" x14ac:dyDescent="0.2">
      <c r="A68" s="121" t="str">
        <f t="shared" si="2"/>
        <v>PD</v>
      </c>
      <c r="B68" s="122" t="s">
        <v>651</v>
      </c>
      <c r="C68" s="123" t="s">
        <v>203</v>
      </c>
      <c r="D68" s="122" t="s">
        <v>30</v>
      </c>
      <c r="E68" s="122" t="s">
        <v>200</v>
      </c>
      <c r="F68" s="125"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24"/>
      <c r="H68" s="125" t="str">
        <f>IF(G68="","",IF(ISNUMBER(SEARCH(",",G68)),"Several items (the script lists them)",IFERROR(INDEX('Dashboard Items'!$B$2:$B$495,MATCH(G68,'Dashboard Items'!$A$2:$A$495,0))&amp;": "&amp;INDEX('Dashboard Items'!$C$2:$C$495,MATCH(G68,'Dashboard Items'!$A$2:$A$495,0)),"ID not found")))</f>
        <v/>
      </c>
      <c r="I68" s="122" t="s">
        <v>550</v>
      </c>
      <c r="J68" s="122">
        <v>2</v>
      </c>
      <c r="K68" s="122" t="s">
        <v>551</v>
      </c>
      <c r="L68" s="122" t="s">
        <v>552</v>
      </c>
      <c r="M68" s="122">
        <v>0</v>
      </c>
      <c r="N68" s="122">
        <v>0</v>
      </c>
      <c r="O68" s="122" t="s">
        <v>551</v>
      </c>
      <c r="P68" s="122" t="s">
        <v>553</v>
      </c>
      <c r="Q68" s="122" t="s">
        <v>554</v>
      </c>
      <c r="R68" s="122"/>
      <c r="S68" s="122"/>
      <c r="T68" s="122"/>
      <c r="U68" s="99"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26" customFormat="1" ht="15.75" customHeight="1" x14ac:dyDescent="0.2">
      <c r="A69" s="121" t="str">
        <f t="shared" si="2"/>
        <v>PD</v>
      </c>
      <c r="B69" s="122" t="s">
        <v>652</v>
      </c>
      <c r="C69" s="123" t="s">
        <v>218</v>
      </c>
      <c r="D69" s="122" t="s">
        <v>30</v>
      </c>
      <c r="E69" s="124" t="s">
        <v>217</v>
      </c>
      <c r="F69" s="125"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24"/>
      <c r="H69" s="125" t="str">
        <f>IF(G69="","",IF(ISNUMBER(SEARCH(",",G69)),"Several items (the script lists them)",IFERROR(INDEX('Dashboard Items'!$B$2:$B$495,MATCH(G69,'Dashboard Items'!$A$2:$A$495,0))&amp;": "&amp;INDEX('Dashboard Items'!$C$2:$C$495,MATCH(G69,'Dashboard Items'!$A$2:$A$495,0)),"ID not found")))</f>
        <v/>
      </c>
      <c r="I69" s="122" t="s">
        <v>550</v>
      </c>
      <c r="J69" s="122">
        <v>2</v>
      </c>
      <c r="K69" s="122" t="s">
        <v>551</v>
      </c>
      <c r="L69" s="122" t="s">
        <v>552</v>
      </c>
      <c r="M69" s="122">
        <v>0</v>
      </c>
      <c r="N69" s="122">
        <v>0</v>
      </c>
      <c r="O69" s="122" t="s">
        <v>551</v>
      </c>
      <c r="P69" s="122" t="s">
        <v>553</v>
      </c>
      <c r="Q69" s="122" t="s">
        <v>554</v>
      </c>
      <c r="R69" s="122"/>
      <c r="S69" s="122"/>
      <c r="T69" s="122"/>
      <c r="U69" s="99"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26" customFormat="1" ht="15.75" customHeight="1" x14ac:dyDescent="0.2">
      <c r="A70" s="121" t="str">
        <f t="shared" si="2"/>
        <v>PD</v>
      </c>
      <c r="B70" s="122" t="s">
        <v>653</v>
      </c>
      <c r="C70" s="123" t="s">
        <v>459</v>
      </c>
      <c r="D70" s="122" t="s">
        <v>29</v>
      </c>
      <c r="E70" s="122" t="s">
        <v>558</v>
      </c>
      <c r="F70" s="125"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24" t="s">
        <v>654</v>
      </c>
      <c r="H70" s="125" t="str">
        <f>IF(G70="","",IF(ISNUMBER(SEARCH(",",G70)),"Several items (the script lists them)",IFERROR(INDEX('Dashboard Items'!$B$2:$B$495,MATCH(G70,'Dashboard Items'!$A$2:$A$495,0))&amp;": "&amp;INDEX('Dashboard Items'!$C$2:$C$495,MATCH(G70,'Dashboard Items'!$A$2:$A$495,0)),"ID not found")))</f>
        <v>Several items (the script lists them)</v>
      </c>
      <c r="I70" s="122" t="s">
        <v>550</v>
      </c>
      <c r="J70" s="122">
        <v>2</v>
      </c>
      <c r="K70" s="122" t="s">
        <v>551</v>
      </c>
      <c r="L70" s="122" t="s">
        <v>552</v>
      </c>
      <c r="M70" s="122">
        <v>0</v>
      </c>
      <c r="N70" s="122">
        <v>0</v>
      </c>
      <c r="O70" s="122" t="s">
        <v>551</v>
      </c>
      <c r="P70" s="122" t="s">
        <v>553</v>
      </c>
      <c r="Q70" s="122" t="s">
        <v>554</v>
      </c>
      <c r="R70" s="122"/>
      <c r="S70" s="122"/>
      <c r="T70" s="122"/>
      <c r="U70" s="99"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26" customFormat="1" ht="15.75" customHeight="1" x14ac:dyDescent="0.2">
      <c r="A71" s="121" t="str">
        <f t="shared" si="2"/>
        <v>PD</v>
      </c>
      <c r="B71" s="122" t="s">
        <v>655</v>
      </c>
      <c r="C71" s="123" t="s">
        <v>231</v>
      </c>
      <c r="D71" s="122" t="s">
        <v>30</v>
      </c>
      <c r="E71" s="122" t="s">
        <v>225</v>
      </c>
      <c r="F71" s="125"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24"/>
      <c r="H71" s="125" t="str">
        <f>IF(G71="","",IF(ISNUMBER(SEARCH(",",G71)),"Several items (the script lists them)",IFERROR(INDEX('Dashboard Items'!$B$2:$B$495,MATCH(G71,'Dashboard Items'!$A$2:$A$495,0))&amp;": "&amp;INDEX('Dashboard Items'!$C$2:$C$495,MATCH(G71,'Dashboard Items'!$A$2:$A$495,0)),"ID not found")))</f>
        <v/>
      </c>
      <c r="I71" s="122" t="s">
        <v>550</v>
      </c>
      <c r="J71" s="122">
        <v>2</v>
      </c>
      <c r="K71" s="122" t="s">
        <v>551</v>
      </c>
      <c r="L71" s="122" t="s">
        <v>552</v>
      </c>
      <c r="M71" s="122">
        <v>0</v>
      </c>
      <c r="N71" s="122">
        <v>0</v>
      </c>
      <c r="O71" s="122" t="s">
        <v>551</v>
      </c>
      <c r="P71" s="122" t="s">
        <v>553</v>
      </c>
      <c r="Q71" s="122" t="s">
        <v>554</v>
      </c>
      <c r="R71" s="122"/>
      <c r="S71" s="122"/>
      <c r="T71" s="122"/>
      <c r="U71" s="99"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26" customFormat="1" ht="15.75" customHeight="1" x14ac:dyDescent="0.2">
      <c r="A72" s="121" t="str">
        <f t="shared" si="2"/>
        <v>PD</v>
      </c>
      <c r="B72" s="122" t="s">
        <v>656</v>
      </c>
      <c r="C72" s="123" t="s">
        <v>457</v>
      </c>
      <c r="D72" s="122" t="s">
        <v>29</v>
      </c>
      <c r="E72" s="122" t="s">
        <v>558</v>
      </c>
      <c r="F72" s="125"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24"/>
      <c r="H72" s="125" t="str">
        <f>IF(G72="","",IF(ISNUMBER(SEARCH(",",G72)),"Several items (the script lists them)",IFERROR(INDEX('Dashboard Items'!$B$2:$B$495,MATCH(G72,'Dashboard Items'!$A$2:$A$495,0))&amp;": "&amp;INDEX('Dashboard Items'!$C$2:$C$495,MATCH(G72,'Dashboard Items'!$A$2:$A$495,0)),"ID not found")))</f>
        <v/>
      </c>
      <c r="I72" s="122" t="s">
        <v>550</v>
      </c>
      <c r="J72" s="122">
        <v>2</v>
      </c>
      <c r="K72" s="122" t="s">
        <v>551</v>
      </c>
      <c r="L72" s="122" t="s">
        <v>552</v>
      </c>
      <c r="M72" s="122">
        <v>0</v>
      </c>
      <c r="N72" s="122">
        <v>0</v>
      </c>
      <c r="O72" s="122" t="s">
        <v>551</v>
      </c>
      <c r="P72" s="122" t="s">
        <v>553</v>
      </c>
      <c r="Q72" s="122" t="s">
        <v>554</v>
      </c>
      <c r="R72" s="122"/>
      <c r="S72" s="122"/>
      <c r="T72" s="122"/>
      <c r="U72" s="99"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26" customFormat="1" ht="15.75" customHeight="1" x14ac:dyDescent="0.2">
      <c r="A73" s="121" t="str">
        <f t="shared" si="2"/>
        <v>PD</v>
      </c>
      <c r="B73" s="122" t="s">
        <v>657</v>
      </c>
      <c r="C73" s="123" t="s">
        <v>456</v>
      </c>
      <c r="D73" s="122" t="s">
        <v>29</v>
      </c>
      <c r="E73" s="122" t="s">
        <v>558</v>
      </c>
      <c r="F73" s="125"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24"/>
      <c r="H73" s="125" t="str">
        <f>IF(G73="","",IF(ISNUMBER(SEARCH(",",G73)),"Several items (the script lists them)",IFERROR(INDEX('Dashboard Items'!$B$2:$B$495,MATCH(G73,'Dashboard Items'!$A$2:$A$495,0))&amp;": "&amp;INDEX('Dashboard Items'!$C$2:$C$495,MATCH(G73,'Dashboard Items'!$A$2:$A$495,0)),"ID not found")))</f>
        <v/>
      </c>
      <c r="I73" s="122" t="s">
        <v>550</v>
      </c>
      <c r="J73" s="122">
        <v>2</v>
      </c>
      <c r="K73" s="122" t="s">
        <v>551</v>
      </c>
      <c r="L73" s="122" t="s">
        <v>552</v>
      </c>
      <c r="M73" s="122">
        <v>0</v>
      </c>
      <c r="N73" s="122">
        <v>0</v>
      </c>
      <c r="O73" s="122" t="s">
        <v>551</v>
      </c>
      <c r="P73" s="122" t="s">
        <v>553</v>
      </c>
      <c r="Q73" s="122" t="s">
        <v>554</v>
      </c>
      <c r="R73" s="122"/>
      <c r="S73" s="122"/>
      <c r="T73" s="122"/>
      <c r="U73" s="99"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26" customFormat="1" ht="15.75" customHeight="1" x14ac:dyDescent="0.2">
      <c r="A74" s="121" t="str">
        <f t="shared" si="2"/>
        <v>PD</v>
      </c>
      <c r="B74" s="122" t="s">
        <v>658</v>
      </c>
      <c r="C74" s="123" t="s">
        <v>226</v>
      </c>
      <c r="D74" s="122" t="s">
        <v>30</v>
      </c>
      <c r="E74" s="122" t="s">
        <v>225</v>
      </c>
      <c r="F74" s="125"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24"/>
      <c r="H74" s="125" t="str">
        <f>IF(G74="","",IF(ISNUMBER(SEARCH(",",G74)),"Several items (the script lists them)",IFERROR(INDEX('Dashboard Items'!$B$2:$B$495,MATCH(G74,'Dashboard Items'!$A$2:$A$495,0))&amp;": "&amp;INDEX('Dashboard Items'!$C$2:$C$495,MATCH(G74,'Dashboard Items'!$A$2:$A$495,0)),"ID not found")))</f>
        <v/>
      </c>
      <c r="I74" s="122" t="s">
        <v>550</v>
      </c>
      <c r="J74" s="122">
        <v>2</v>
      </c>
      <c r="K74" s="122" t="s">
        <v>551</v>
      </c>
      <c r="L74" s="122" t="s">
        <v>552</v>
      </c>
      <c r="M74" s="122">
        <v>0</v>
      </c>
      <c r="N74" s="122">
        <v>0</v>
      </c>
      <c r="O74" s="122" t="s">
        <v>551</v>
      </c>
      <c r="P74" s="122" t="s">
        <v>553</v>
      </c>
      <c r="Q74" s="122" t="s">
        <v>554</v>
      </c>
      <c r="R74" s="122"/>
      <c r="S74" s="122"/>
      <c r="T74" s="122"/>
      <c r="U74" s="99"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26" customFormat="1" ht="15.75" customHeight="1" x14ac:dyDescent="0.2">
      <c r="A75" s="127" t="str">
        <f t="shared" si="2"/>
        <v>PIO</v>
      </c>
      <c r="B75" s="127" t="s">
        <v>659</v>
      </c>
      <c r="C75" s="127" t="s">
        <v>74</v>
      </c>
      <c r="D75" s="127" t="s">
        <v>30</v>
      </c>
      <c r="E75" s="127" t="s">
        <v>72</v>
      </c>
      <c r="F75" s="128"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29"/>
      <c r="H75" s="128"/>
      <c r="I75" s="127"/>
      <c r="J75" s="127"/>
      <c r="K75" s="127"/>
      <c r="L75" s="127"/>
      <c r="M75" s="127"/>
      <c r="N75" s="127"/>
      <c r="O75" s="127" t="s">
        <v>551</v>
      </c>
      <c r="P75" s="127" t="s">
        <v>553</v>
      </c>
      <c r="Q75" s="127"/>
      <c r="R75" s="127"/>
      <c r="S75" s="127"/>
      <c r="T75" s="127"/>
      <c r="U75" s="99"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26" customFormat="1" ht="15.75" customHeight="1" x14ac:dyDescent="0.2">
      <c r="A76" s="127" t="str">
        <f t="shared" si="2"/>
        <v>PIO</v>
      </c>
      <c r="B76" s="127" t="s">
        <v>660</v>
      </c>
      <c r="C76" s="127" t="s">
        <v>73</v>
      </c>
      <c r="D76" s="127" t="s">
        <v>30</v>
      </c>
      <c r="E76" s="127" t="s">
        <v>72</v>
      </c>
      <c r="F76" s="128"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29" t="s">
        <v>661</v>
      </c>
      <c r="H76" s="128" t="str">
        <f>IF(G76="","",IF(ISNUMBER(SEARCH(",",G76)),"Several items (the script lists them)",IFERROR(INDEX('Dashboard Items'!$B$2:$B$495,MATCH(G76,'Dashboard Items'!$A$2:$A$495,0))&amp;": "&amp;INDEX('Dashboard Items'!$C$2:$C$495,MATCH(G76,'Dashboard Items'!$A$2:$A$495,0)),"ID not found")))</f>
        <v>Key Service: Public Information &amp; Community Engagement</v>
      </c>
      <c r="I76" s="127"/>
      <c r="J76" s="127">
        <v>2</v>
      </c>
      <c r="K76" s="127" t="s">
        <v>551</v>
      </c>
      <c r="L76" s="127" t="s">
        <v>552</v>
      </c>
      <c r="M76" s="127">
        <v>0</v>
      </c>
      <c r="N76" s="127">
        <v>0</v>
      </c>
      <c r="O76" s="127" t="s">
        <v>551</v>
      </c>
      <c r="P76" s="127" t="s">
        <v>553</v>
      </c>
      <c r="Q76" s="127" t="s">
        <v>662</v>
      </c>
      <c r="R76" s="127" t="s">
        <v>663</v>
      </c>
      <c r="S76" s="127"/>
      <c r="T76" s="127"/>
      <c r="U76" s="99"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21" customFormat="1" ht="15.75" customHeight="1" x14ac:dyDescent="0.2">
      <c r="A77" s="127" t="str">
        <f t="shared" si="2"/>
        <v>PIO</v>
      </c>
      <c r="B77" s="127" t="s">
        <v>664</v>
      </c>
      <c r="C77" s="127" t="s">
        <v>69</v>
      </c>
      <c r="D77" s="127" t="s">
        <v>30</v>
      </c>
      <c r="E77" s="127" t="s">
        <v>68</v>
      </c>
      <c r="F77" s="128"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29" t="s">
        <v>661</v>
      </c>
      <c r="H77" s="128" t="str">
        <f>IF(G77="","",IF(ISNUMBER(SEARCH(",",G77)),"Several items (the script lists them)",IFERROR(INDEX('Dashboard Items'!$B$2:$B$495,MATCH(G77,'Dashboard Items'!$A$2:$A$495,0))&amp;": "&amp;INDEX('Dashboard Items'!$C$2:$C$495,MATCH(G77,'Dashboard Items'!$A$2:$A$495,0)),"ID not found")))</f>
        <v>Key Service: Public Information &amp; Community Engagement</v>
      </c>
      <c r="I77" s="127"/>
      <c r="J77" s="127"/>
      <c r="K77" s="127"/>
      <c r="L77" s="127"/>
      <c r="M77" s="127"/>
      <c r="N77" s="127"/>
      <c r="O77" s="127" t="s">
        <v>551</v>
      </c>
      <c r="P77" s="127" t="s">
        <v>553</v>
      </c>
      <c r="Q77" s="127"/>
      <c r="R77" s="127"/>
      <c r="S77" s="127"/>
      <c r="T77" s="127"/>
      <c r="U77" s="99"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21" customFormat="1" ht="15.75" customHeight="1" x14ac:dyDescent="0.2">
      <c r="A78" s="127" t="str">
        <f t="shared" si="2"/>
        <v>PIO</v>
      </c>
      <c r="B78" s="127" t="s">
        <v>665</v>
      </c>
      <c r="C78" s="127" t="s">
        <v>70</v>
      </c>
      <c r="D78" s="127" t="s">
        <v>30</v>
      </c>
      <c r="E78" s="127" t="s">
        <v>68</v>
      </c>
      <c r="F78" s="128"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29" t="s">
        <v>661</v>
      </c>
      <c r="H78" s="128" t="str">
        <f>IF(G78="","",IF(ISNUMBER(SEARCH(",",G78)),"Several items (the script lists them)",IFERROR(INDEX('Dashboard Items'!$B$2:$B$495,MATCH(G78,'Dashboard Items'!$A$2:$A$495,0))&amp;": "&amp;INDEX('Dashboard Items'!$C$2:$C$495,MATCH(G78,'Dashboard Items'!$A$2:$A$495,0)),"ID not found")))</f>
        <v>Key Service: Public Information &amp; Community Engagement</v>
      </c>
      <c r="I78" s="127"/>
      <c r="J78" s="127"/>
      <c r="K78" s="127"/>
      <c r="L78" s="127"/>
      <c r="M78" s="127"/>
      <c r="N78" s="127"/>
      <c r="O78" s="127" t="s">
        <v>551</v>
      </c>
      <c r="P78" s="127" t="s">
        <v>553</v>
      </c>
      <c r="Q78" s="127"/>
      <c r="R78" s="127"/>
      <c r="S78" s="127"/>
      <c r="T78" s="127"/>
      <c r="U78" s="99"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21" customFormat="1" ht="15.75" customHeight="1" x14ac:dyDescent="0.2">
      <c r="A79" s="126" t="str">
        <f t="shared" si="2"/>
        <v>PROS</v>
      </c>
      <c r="B79" s="130" t="s">
        <v>666</v>
      </c>
      <c r="C79" s="131" t="s">
        <v>398</v>
      </c>
      <c r="D79" s="130" t="s">
        <v>29</v>
      </c>
      <c r="E79" s="130" t="s">
        <v>667</v>
      </c>
      <c r="F79" s="132"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33" t="s">
        <v>397</v>
      </c>
      <c r="H79" s="132" t="str">
        <f>IF(G79="","",IF(ISNUMBER(SEARCH(",",G79)),"Several items (the script lists them)",IFERROR(INDEX('Dashboard Items'!$B$2:$B$495,MATCH(G79,'Dashboard Items'!$A$2:$A$495,0))&amp;": "&amp;INDEX('Dashboard Items'!$C$2:$C$495,MATCH(G79,'Dashboard Items'!$A$2:$A$495,0)),"ID not found")))</f>
        <v>Program: Community Events</v>
      </c>
      <c r="I79" s="130" t="s">
        <v>550</v>
      </c>
      <c r="J79" s="130">
        <v>2</v>
      </c>
      <c r="K79" s="130" t="s">
        <v>551</v>
      </c>
      <c r="L79" s="130" t="s">
        <v>552</v>
      </c>
      <c r="M79" s="130">
        <v>0</v>
      </c>
      <c r="N79" s="130">
        <v>0</v>
      </c>
      <c r="O79" s="130" t="s">
        <v>551</v>
      </c>
      <c r="P79" s="130" t="s">
        <v>553</v>
      </c>
      <c r="Q79" s="130" t="s">
        <v>668</v>
      </c>
      <c r="R79" s="130"/>
      <c r="S79" s="130"/>
      <c r="T79" s="130"/>
      <c r="U79" s="99"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21" customFormat="1" ht="15.75" customHeight="1" x14ac:dyDescent="0.2">
      <c r="A80" s="126" t="str">
        <f t="shared" si="2"/>
        <v>PROS</v>
      </c>
      <c r="B80" s="130" t="s">
        <v>669</v>
      </c>
      <c r="C80" s="131" t="s">
        <v>400</v>
      </c>
      <c r="D80" s="130" t="s">
        <v>30</v>
      </c>
      <c r="E80" s="130" t="s">
        <v>397</v>
      </c>
      <c r="F80" s="132"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33"/>
      <c r="H80" s="132" t="str">
        <f>IF(G80="","",IF(ISNUMBER(SEARCH(",",G80)),"Several items (the script lists them)",IFERROR(INDEX('Dashboard Items'!$B$2:$B$495,MATCH(G80,'Dashboard Items'!$A$2:$A$495,0))&amp;": "&amp;INDEX('Dashboard Items'!$C$2:$C$495,MATCH(G80,'Dashboard Items'!$A$2:$A$495,0)),"ID not found")))</f>
        <v/>
      </c>
      <c r="I80" s="130" t="s">
        <v>550</v>
      </c>
      <c r="J80" s="130">
        <v>2</v>
      </c>
      <c r="K80" s="130" t="s">
        <v>551</v>
      </c>
      <c r="L80" s="130" t="s">
        <v>552</v>
      </c>
      <c r="M80" s="130">
        <v>0</v>
      </c>
      <c r="N80" s="130">
        <v>0</v>
      </c>
      <c r="O80" s="130" t="s">
        <v>551</v>
      </c>
      <c r="P80" s="130" t="s">
        <v>553</v>
      </c>
      <c r="Q80" s="130" t="s">
        <v>668</v>
      </c>
      <c r="R80" s="130"/>
      <c r="S80" s="130"/>
      <c r="T80" s="130"/>
      <c r="U80" s="99"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21" customFormat="1" ht="15.75" customHeight="1" x14ac:dyDescent="0.2">
      <c r="A81" s="126" t="str">
        <f t="shared" si="2"/>
        <v>PROS</v>
      </c>
      <c r="B81" s="130" t="s">
        <v>670</v>
      </c>
      <c r="C81" s="131" t="s">
        <v>175</v>
      </c>
      <c r="D81" s="130" t="s">
        <v>30</v>
      </c>
      <c r="E81" s="130" t="s">
        <v>174</v>
      </c>
      <c r="F81" s="132"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33"/>
      <c r="H81" s="132" t="str">
        <f>IF(G81="","",IF(ISNUMBER(SEARCH(",",G81)),"Several items (the script lists them)",IFERROR(INDEX('Dashboard Items'!$B$2:$B$495,MATCH(G81,'Dashboard Items'!$A$2:$A$495,0))&amp;": "&amp;INDEX('Dashboard Items'!$C$2:$C$495,MATCH(G81,'Dashboard Items'!$A$2:$A$495,0)),"ID not found")))</f>
        <v/>
      </c>
      <c r="I81" s="130" t="s">
        <v>550</v>
      </c>
      <c r="J81" s="130">
        <v>2</v>
      </c>
      <c r="K81" s="130" t="s">
        <v>551</v>
      </c>
      <c r="L81" s="130" t="s">
        <v>552</v>
      </c>
      <c r="M81" s="130">
        <v>0</v>
      </c>
      <c r="N81" s="130">
        <v>0</v>
      </c>
      <c r="O81" s="130" t="s">
        <v>551</v>
      </c>
      <c r="P81" s="130" t="s">
        <v>553</v>
      </c>
      <c r="Q81" s="130" t="s">
        <v>668</v>
      </c>
      <c r="R81" s="130"/>
      <c r="S81" s="130"/>
      <c r="T81" s="130"/>
      <c r="U81" s="99"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21" customFormat="1" ht="15.75" customHeight="1" x14ac:dyDescent="0.2">
      <c r="A82" s="126" t="str">
        <f t="shared" si="2"/>
        <v>PROS</v>
      </c>
      <c r="B82" s="130" t="s">
        <v>671</v>
      </c>
      <c r="C82" s="131" t="s">
        <v>176</v>
      </c>
      <c r="D82" s="130" t="s">
        <v>30</v>
      </c>
      <c r="E82" s="130" t="s">
        <v>174</v>
      </c>
      <c r="F82" s="132"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33"/>
      <c r="H82" s="132" t="str">
        <f>IF(G82="","",IF(ISNUMBER(SEARCH(",",G82)),"Several items (the script lists them)",IFERROR(INDEX('Dashboard Items'!$B$2:$B$495,MATCH(G82,'Dashboard Items'!$A$2:$A$495,0))&amp;": "&amp;INDEX('Dashboard Items'!$C$2:$C$495,MATCH(G82,'Dashboard Items'!$A$2:$A$495,0)),"ID not found")))</f>
        <v/>
      </c>
      <c r="I82" s="130" t="inlineStr">
        <is>
          <t>currency</t>
        </is>
      </c>
      <c r="J82" s="130">
        <v>0</v>
      </c>
      <c r="K82" s="130" t="s">
        <v>551</v>
      </c>
      <c r="L82" s="130" t="s">
        <v>552</v>
      </c>
      <c r="M82" s="130">
        <v>0</v>
      </c>
      <c r="N82" s="130">
        <v>0</v>
      </c>
      <c r="O82" s="130" t="s">
        <v>551</v>
      </c>
      <c r="P82" s="130" t="s">
        <v>553</v>
      </c>
      <c r="Q82" s="130" t="s">
        <v>668</v>
      </c>
      <c r="R82" s="130" t="inlineStr">
        <is>
          <t>Submittable grant reimbursement forms (local spend reported), with some manual adjustments</t>
        </is>
      </c>
      <c r="S82" s="130" t="inlineStr">
        <is>
          <t>Money spent locally by grant recipients, as reported on their reimbursement forms, for Lodgers' Tax Arts and Culture, Local Event Marketing, Re:New and Durango Creates! grants. Counted by the year of the grant round.</t>
        </is>
      </c>
      <c r="T82" s="130"/>
      <c r="U82" s="99"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21" customFormat="1" ht="15.75" customHeight="1" x14ac:dyDescent="0.2">
      <c r="A83" s="126" t="str">
        <f t="shared" si="2"/>
        <v>PROS</v>
      </c>
      <c r="B83" s="130" t="s">
        <v>672</v>
      </c>
      <c r="C83" s="131" t="s">
        <v>184</v>
      </c>
      <c r="D83" s="130" t="s">
        <v>30</v>
      </c>
      <c r="E83" s="130" t="s">
        <v>178</v>
      </c>
      <c r="F83" s="132"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33" t="s">
        <v>181</v>
      </c>
      <c r="H83" s="132" t="str">
        <f>IF(G83="","",IF(ISNUMBER(SEARCH(",",G83)),"Several items (the script lists them)",IFERROR(INDEX('Dashboard Items'!$B$2:$B$495,MATCH(G83,'Dashboard Items'!$A$2:$A$495,0))&amp;": "&amp;INDEX('Dashboard Items'!$C$2:$C$495,MATCH(G83,'Dashboard Items'!$A$2:$A$495,0)),"ID not found")))</f>
        <v>Program: Destination Marketing and Management (Tourism)</v>
      </c>
      <c r="I83" s="130" t="s">
        <v>550</v>
      </c>
      <c r="J83" s="130">
        <v>0</v>
      </c>
      <c r="K83" s="130" t="s">
        <v>551</v>
      </c>
      <c r="L83" s="130" t="s">
        <v>552</v>
      </c>
      <c r="M83" s="130">
        <v>0</v>
      </c>
      <c r="N83" s="130">
        <v>0</v>
      </c>
      <c r="O83" s="130" t="s">
        <v>551</v>
      </c>
      <c r="P83" s="130" t="s">
        <v>553</v>
      </c>
      <c r="Q83" s="130" t="s">
        <v>668</v>
      </c>
      <c r="R83" s="130"/>
      <c r="S83" s="130" t="inlineStr">
        <is>
          <t>Room nights sold during the year to new tour companies, meeting planners and FIT (independent traveler) contracts, including nights booked now for stays in later years.</t>
        </is>
      </c>
      <c r="T83" s="130" t="inlineStr">
        <is>
          <t>Counts new organizations only. Ongoing accounts are not included; for example, the two Tauck Tours series sold in 2024 bring about 400 room nights a year but are not in the 2026 count.</t>
        </is>
      </c>
      <c r="U83" s="99"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21" customFormat="1" ht="15.75" customHeight="1" x14ac:dyDescent="0.2">
      <c r="A84" s="126" t="str">
        <f t="shared" si="2"/>
        <v>PROS</v>
      </c>
      <c r="B84" s="130" t="s">
        <v>673</v>
      </c>
      <c r="C84" s="131" t="s">
        <v>182</v>
      </c>
      <c r="D84" s="130" t="s">
        <v>29</v>
      </c>
      <c r="E84" s="130" t="s">
        <v>674</v>
      </c>
      <c r="F84" s="132"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33" t="s">
        <v>675</v>
      </c>
      <c r="H84" s="132" t="str">
        <f>IF(G84="","",IF(ISNUMBER(SEARCH(",",G84)),"Several items (the script lists them)",IFERROR(INDEX('Dashboard Items'!$B$2:$B$495,MATCH(G84,'Dashboard Items'!$A$2:$A$495,0))&amp;": "&amp;INDEX('Dashboard Items'!$C$2:$C$495,MATCH(G84,'Dashboard Items'!$A$2:$A$495,0)),"ID not found")))</f>
        <v>Several items (the script lists them)</v>
      </c>
      <c r="I84" s="130" t="s">
        <v>588</v>
      </c>
      <c r="J84" s="130">
        <v>2</v>
      </c>
      <c r="K84" s="130" t="s">
        <v>551</v>
      </c>
      <c r="L84" s="130" t="s">
        <v>552</v>
      </c>
      <c r="M84" s="130">
        <v>0</v>
      </c>
      <c r="N84" s="130">
        <v>0</v>
      </c>
      <c r="O84" s="130" t="s">
        <v>551</v>
      </c>
      <c r="P84" s="130" t="s">
        <v>553</v>
      </c>
      <c r="Q84" s="130" t="s">
        <v>668</v>
      </c>
      <c r="R84" s="130"/>
      <c r="S84" s="130"/>
      <c r="T84" s="130"/>
      <c r="U84" s="99"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21" customFormat="1" ht="15.75" customHeight="1" x14ac:dyDescent="0.2">
      <c r="A85" s="126" t="str">
        <f t="shared" si="2"/>
        <v>PROS</v>
      </c>
      <c r="B85" s="130" t="s">
        <v>676</v>
      </c>
      <c r="C85" s="131" t="s">
        <v>399</v>
      </c>
      <c r="D85" s="130" t="s">
        <v>30</v>
      </c>
      <c r="E85" s="130" t="s">
        <v>397</v>
      </c>
      <c r="F85" s="132"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33"/>
      <c r="H85" s="132" t="str">
        <f>IF(G85="","",IF(ISNUMBER(SEARCH(",",G85)),"Several items (the script lists them)",IFERROR(INDEX('Dashboard Items'!$B$2:$B$495,MATCH(G85,'Dashboard Items'!$A$2:$A$495,0))&amp;": "&amp;INDEX('Dashboard Items'!$C$2:$C$495,MATCH(G85,'Dashboard Items'!$A$2:$A$495,0)),"ID not found")))</f>
        <v/>
      </c>
      <c r="I85" s="130" t="s">
        <v>550</v>
      </c>
      <c r="J85" s="130">
        <v>2</v>
      </c>
      <c r="K85" s="130" t="s">
        <v>551</v>
      </c>
      <c r="L85" s="130" t="s">
        <v>552</v>
      </c>
      <c r="M85" s="130">
        <v>0</v>
      </c>
      <c r="N85" s="130">
        <v>0</v>
      </c>
      <c r="O85" s="130" t="s">
        <v>551</v>
      </c>
      <c r="P85" s="130" t="s">
        <v>553</v>
      </c>
      <c r="Q85" s="130" t="s">
        <v>668</v>
      </c>
      <c r="R85" s="130"/>
      <c r="S85" s="130"/>
      <c r="T85" s="130"/>
      <c r="U85" s="99"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21" customFormat="1" ht="15.75" customHeight="1" x14ac:dyDescent="0.2">
      <c r="A86" s="126" t="str">
        <f t="shared" si="2"/>
        <v>PROS</v>
      </c>
      <c r="B86" s="130" t="s">
        <v>677</v>
      </c>
      <c r="C86" s="131" t="s">
        <v>678</v>
      </c>
      <c r="D86" s="130" t="s">
        <v>30</v>
      </c>
      <c r="E86" s="130" t="s">
        <v>167</v>
      </c>
      <c r="F86" s="132"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33"/>
      <c r="H86" s="132" t="str">
        <f>IF(G86="","",IF(ISNUMBER(SEARCH(",",G86)),"Several items (the script lists them)",IFERROR(INDEX('Dashboard Items'!$B$2:$B$495,MATCH(G86,'Dashboard Items'!$A$2:$A$495,0))&amp;": "&amp;INDEX('Dashboard Items'!$C$2:$C$495,MATCH(G86,'Dashboard Items'!$A$2:$A$495,0)),"ID not found")))</f>
        <v/>
      </c>
      <c r="I86" s="130" t="s">
        <v>550</v>
      </c>
      <c r="J86" s="130">
        <v>2</v>
      </c>
      <c r="K86" s="130" t="s">
        <v>551</v>
      </c>
      <c r="L86" s="130" t="s">
        <v>552</v>
      </c>
      <c r="M86" s="130">
        <v>0</v>
      </c>
      <c r="N86" s="130">
        <v>0</v>
      </c>
      <c r="O86" s="130" t="s">
        <v>551</v>
      </c>
      <c r="P86" s="130" t="s">
        <v>553</v>
      </c>
      <c r="Q86" s="130" t="s">
        <v>668</v>
      </c>
      <c r="R86" s="130"/>
      <c r="S86" s="130"/>
      <c r="T86" s="130" t="s">
        <v>679</v>
      </c>
      <c r="U86" s="99"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21" customFormat="1" ht="15.75" customHeight="1" x14ac:dyDescent="0.2">
      <c r="A87" s="126" t="str">
        <f t="shared" si="2"/>
        <v>PROS</v>
      </c>
      <c r="B87" s="130" t="s">
        <v>680</v>
      </c>
      <c r="C87" s="131" t="s">
        <v>436</v>
      </c>
      <c r="D87" s="130" t="s">
        <v>29</v>
      </c>
      <c r="E87" s="130" t="s">
        <v>681</v>
      </c>
      <c r="F87" s="132"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33" t="s">
        <v>167</v>
      </c>
      <c r="H87" s="132" t="str">
        <f>IF(G87="","",IF(ISNUMBER(SEARCH(",",G87)),"Several items (the script lists them)",IFERROR(INDEX('Dashboard Items'!$B$2:$B$495,MATCH(G87,'Dashboard Items'!$A$2:$A$495,0))&amp;": "&amp;INDEX('Dashboard Items'!$C$2:$C$495,MATCH(G87,'Dashboard Items'!$A$2:$A$495,0)),"ID not found")))</f>
        <v>Program: Housing Initiatives</v>
      </c>
      <c r="I87" s="130" t="s">
        <v>550</v>
      </c>
      <c r="J87" s="130">
        <v>2</v>
      </c>
      <c r="K87" s="130" t="s">
        <v>551</v>
      </c>
      <c r="L87" s="130" t="s">
        <v>552</v>
      </c>
      <c r="M87" s="130">
        <v>0</v>
      </c>
      <c r="N87" s="130">
        <v>0</v>
      </c>
      <c r="O87" s="130" t="s">
        <v>551</v>
      </c>
      <c r="P87" s="130" t="s">
        <v>553</v>
      </c>
      <c r="Q87" s="130" t="s">
        <v>668</v>
      </c>
      <c r="R87" s="130"/>
      <c r="S87" s="130"/>
      <c r="T87" s="130" t="s">
        <v>682</v>
      </c>
      <c r="U87" s="99"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21" customFormat="1" ht="15.75" customHeight="1" x14ac:dyDescent="0.2">
      <c r="A88" s="126" t="str">
        <f t="shared" si="2"/>
        <v>PROS</v>
      </c>
      <c r="B88" s="130" t="s">
        <v>683</v>
      </c>
      <c r="C88" s="131" t="s">
        <v>684</v>
      </c>
      <c r="D88" s="130" t="s">
        <v>30</v>
      </c>
      <c r="E88" s="130" t="s">
        <v>167</v>
      </c>
      <c r="F88" s="132"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33"/>
      <c r="H88" s="132" t="str">
        <f>IF(G88="","",IF(ISNUMBER(SEARCH(",",G88)),"Several items (the script lists them)",IFERROR(INDEX('Dashboard Items'!$B$2:$B$495,MATCH(G88,'Dashboard Items'!$A$2:$A$495,0))&amp;": "&amp;INDEX('Dashboard Items'!$C$2:$C$495,MATCH(G88,'Dashboard Items'!$A$2:$A$495,0)),"ID not found")))</f>
        <v/>
      </c>
      <c r="I88" s="130" t="s">
        <v>550</v>
      </c>
      <c r="J88" s="130">
        <v>2</v>
      </c>
      <c r="K88" s="130" t="s">
        <v>551</v>
      </c>
      <c r="L88" s="130" t="s">
        <v>552</v>
      </c>
      <c r="M88" s="130">
        <v>0</v>
      </c>
      <c r="N88" s="130">
        <v>0</v>
      </c>
      <c r="O88" s="130" t="s">
        <v>551</v>
      </c>
      <c r="P88" s="130" t="s">
        <v>553</v>
      </c>
      <c r="Q88" s="130" t="s">
        <v>668</v>
      </c>
      <c r="R88" s="130"/>
      <c r="S88" s="130"/>
      <c r="T88" s="130"/>
      <c r="U88" s="99"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21" customFormat="1" ht="15.75" customHeight="1" x14ac:dyDescent="0.2">
      <c r="A89" s="126" t="str">
        <f t="shared" si="2"/>
        <v>PROS</v>
      </c>
      <c r="B89" s="130" t="s">
        <v>685</v>
      </c>
      <c r="C89" s="131" t="s">
        <v>179</v>
      </c>
      <c r="D89" s="130" t="s">
        <v>29</v>
      </c>
      <c r="E89" s="130" t="s">
        <v>674</v>
      </c>
      <c r="F89" s="132"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33" t="s">
        <v>686</v>
      </c>
      <c r="H89" s="132" t="str">
        <f>IF(G89="","",IF(ISNUMBER(SEARCH(",",G89)),"Several items (the script lists them)",IFERROR(INDEX('Dashboard Items'!$B$2:$B$495,MATCH(G89,'Dashboard Items'!$A$2:$A$495,0))&amp;": "&amp;INDEX('Dashboard Items'!$C$2:$C$495,MATCH(G89,'Dashboard Items'!$A$2:$A$495,0)),"ID not found")))</f>
        <v>Several items (the script lists them)</v>
      </c>
      <c r="I89" s="130" t="s">
        <v>588</v>
      </c>
      <c r="J89" s="130">
        <v>2</v>
      </c>
      <c r="K89" s="130" t="s">
        <v>551</v>
      </c>
      <c r="L89" s="130" t="s">
        <v>552</v>
      </c>
      <c r="M89" s="130">
        <v>0</v>
      </c>
      <c r="N89" s="130">
        <v>0</v>
      </c>
      <c r="O89" s="130" t="s">
        <v>551</v>
      </c>
      <c r="P89" s="130" t="s">
        <v>553</v>
      </c>
      <c r="Q89" s="130" t="s">
        <v>668</v>
      </c>
      <c r="R89" s="130"/>
      <c r="S89" s="130"/>
      <c r="T89" s="130"/>
      <c r="U89" s="99"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21" customFormat="1" ht="15.75" customHeight="1" x14ac:dyDescent="0.2">
      <c r="A90" s="126" t="str">
        <f t="shared" si="2"/>
        <v>PROS</v>
      </c>
      <c r="B90" s="130" t="s">
        <v>687</v>
      </c>
      <c r="C90" s="131" t="s">
        <v>183</v>
      </c>
      <c r="D90" s="130" t="s">
        <v>30</v>
      </c>
      <c r="E90" s="130" t="s">
        <v>178</v>
      </c>
      <c r="F90" s="132"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33" t="s">
        <v>688</v>
      </c>
      <c r="H90" s="132" t="str">
        <f>IF(G90="","",IF(ISNUMBER(SEARCH(",",G90)),"Several items (the script lists them)",IFERROR(INDEX('Dashboard Items'!$B$2:$B$495,MATCH(G90,'Dashboard Items'!$A$2:$A$495,0))&amp;": "&amp;INDEX('Dashboard Items'!$C$2:$C$495,MATCH(G90,'Dashboard Items'!$A$2:$A$495,0)),"ID not found")))</f>
        <v>Several items (the script lists them)</v>
      </c>
      <c r="I90" s="130" t="s">
        <v>550</v>
      </c>
      <c r="J90" s="130">
        <v>2</v>
      </c>
      <c r="K90" s="130" t="s">
        <v>551</v>
      </c>
      <c r="L90" s="130" t="s">
        <v>552</v>
      </c>
      <c r="M90" s="130">
        <v>0</v>
      </c>
      <c r="N90" s="130">
        <v>0</v>
      </c>
      <c r="O90" s="130" t="s">
        <v>551</v>
      </c>
      <c r="P90" s="130" t="s">
        <v>553</v>
      </c>
      <c r="Q90" s="130" t="s">
        <v>668</v>
      </c>
      <c r="R90" s="130"/>
      <c r="S90" s="130"/>
      <c r="T90" s="130"/>
      <c r="U90" s="99"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21" customFormat="1" ht="15.75" customHeight="1" x14ac:dyDescent="0.2">
      <c r="A91" s="126" t="str">
        <f t="shared" si="2"/>
        <v>PROS</v>
      </c>
      <c r="B91" s="130" t="s">
        <v>689</v>
      </c>
      <c r="C91" s="131" t="s">
        <v>185</v>
      </c>
      <c r="D91" s="130" t="s">
        <v>30</v>
      </c>
      <c r="E91" s="130" t="s">
        <v>178</v>
      </c>
      <c r="F91" s="132"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33" t="s">
        <v>181</v>
      </c>
      <c r="H91" s="132" t="str">
        <f>IF(G91="","",IF(ISNUMBER(SEARCH(",",G91)),"Several items (the script lists them)",IFERROR(INDEX('Dashboard Items'!$B$2:$B$495,MATCH(G91,'Dashboard Items'!$A$2:$A$495,0))&amp;": "&amp;INDEX('Dashboard Items'!$C$2:$C$495,MATCH(G91,'Dashboard Items'!$A$2:$A$495,0)),"ID not found")))</f>
        <v>Program: Destination Marketing and Management (Tourism)</v>
      </c>
      <c r="I91" s="130" t="s">
        <v>550</v>
      </c>
      <c r="J91" s="130">
        <v>2</v>
      </c>
      <c r="K91" s="130" t="s">
        <v>551</v>
      </c>
      <c r="L91" s="130" t="s">
        <v>552</v>
      </c>
      <c r="M91" s="130">
        <v>0</v>
      </c>
      <c r="N91" s="130">
        <v>0</v>
      </c>
      <c r="O91" s="130" t="s">
        <v>551</v>
      </c>
      <c r="P91" s="130" t="s">
        <v>553</v>
      </c>
      <c r="Q91" s="130" t="s">
        <v>668</v>
      </c>
      <c r="R91" s="130"/>
      <c r="S91" s="130"/>
      <c r="T91" s="130"/>
      <c r="U91" s="99"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21" customFormat="1" ht="15.75" customHeight="1" x14ac:dyDescent="0.2">
      <c r="A92" s="134" t="str">
        <f t="shared" si="2"/>
        <v>TRAN</v>
      </c>
      <c r="B92" s="134" t="s">
        <v>690</v>
      </c>
      <c r="C92" s="134" t="s">
        <v>282</v>
      </c>
      <c r="D92" s="134" t="s">
        <v>30</v>
      </c>
      <c r="E92" s="134" t="s">
        <v>279</v>
      </c>
      <c r="F92" s="135"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36" t="s">
        <v>691</v>
      </c>
      <c r="H92" s="135" t="str">
        <f>IF(G92="","",IF(ISNUMBER(SEARCH(",",G92)),"Several items (the script lists them)",IFERROR(INDEX('Dashboard Items'!$B$2:$B$495,MATCH(G92,'Dashboard Items'!$A$2:$A$495,0))&amp;": "&amp;INDEX('Dashboard Items'!$C$2:$C$495,MATCH(G92,'Dashboard Items'!$A$2:$A$495,0)),"ID not found")))</f>
        <v>Key Service: Transit Services</v>
      </c>
      <c r="I92" s="134" t="s">
        <v>550</v>
      </c>
      <c r="J92" s="134">
        <v>2</v>
      </c>
      <c r="K92" s="134" t="s">
        <v>551</v>
      </c>
      <c r="L92" s="134" t="s">
        <v>552</v>
      </c>
      <c r="M92" s="134">
        <v>0</v>
      </c>
      <c r="N92" s="134">
        <v>0</v>
      </c>
      <c r="O92" s="134" t="s">
        <v>551</v>
      </c>
      <c r="P92" s="134" t="s">
        <v>553</v>
      </c>
      <c r="Q92" s="134" t="s">
        <v>692</v>
      </c>
      <c r="R92" s="134"/>
      <c r="S92" s="134"/>
      <c r="T92" s="134"/>
      <c r="U92" s="99"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21" customFormat="1" ht="15.75" customHeight="1" x14ac:dyDescent="0.2">
      <c r="A93" s="134" t="str">
        <f t="shared" si="2"/>
        <v>TRAN</v>
      </c>
      <c r="B93" s="134" t="s">
        <v>693</v>
      </c>
      <c r="C93" s="134" t="s">
        <v>280</v>
      </c>
      <c r="D93" s="134" t="s">
        <v>30</v>
      </c>
      <c r="E93" s="134" t="s">
        <v>279</v>
      </c>
      <c r="F93" s="135"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36"/>
      <c r="H93" s="135" t="str">
        <f>IF(G93="","",IF(ISNUMBER(SEARCH(",",G93)),"Several items (the script lists them)",IFERROR(INDEX('Dashboard Items'!$B$2:$B$495,MATCH(G93,'Dashboard Items'!$A$2:$A$495,0))&amp;": "&amp;INDEX('Dashboard Items'!$C$2:$C$495,MATCH(G93,'Dashboard Items'!$A$2:$A$495,0)),"ID not found")))</f>
        <v/>
      </c>
      <c r="I93" s="134" t="s">
        <v>550</v>
      </c>
      <c r="J93" s="134">
        <v>0</v>
      </c>
      <c r="K93" s="134" t="s">
        <v>551</v>
      </c>
      <c r="L93" s="134"/>
      <c r="M93" s="134"/>
      <c r="N93" s="134"/>
      <c r="O93" s="134"/>
      <c r="P93" s="134" t="s">
        <v>589</v>
      </c>
      <c r="Q93" s="134" t="inlineStr">
        <is>
          <t>Multimodal Manager</t>
        </is>
      </c>
      <c r="R93" s="134" t="inlineStr">
        <is>
          <t>City bike and pedestrian counts (Consolidated Count Data, 2009–2025)</t>
        </is>
      </c>
      <c r="S93" s="134" t="inlineStr">
        <is>
          <t>Average number of people walking and biking at each count location during the morning (7–9 am) and afternoon (4–6 pm) peak counts, added up across all locations. Higher numbers mean more people are walking and biking.</t>
        </is>
      </c>
      <c r="T93" s="134" t="s">
        <v>694</v>
      </c>
      <c r="U93" s="99"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21" customFormat="1" ht="15.75" customHeight="1" x14ac:dyDescent="0.2">
      <c r="A94" s="134" t="str">
        <f t="shared" si="2"/>
        <v>TRAN</v>
      </c>
      <c r="B94" s="134" t="s">
        <v>695</v>
      </c>
      <c r="C94" s="134" t="s">
        <v>298</v>
      </c>
      <c r="D94" s="134" t="s">
        <v>30</v>
      </c>
      <c r="E94" s="134" t="s">
        <v>295</v>
      </c>
      <c r="F94" s="135"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36"/>
      <c r="H94" s="135" t="str">
        <f>IF(G94="","",IF(ISNUMBER(SEARCH(",",G94)),"Several items (the script lists them)",IFERROR(INDEX('Dashboard Items'!$B$2:$B$495,MATCH(G94,'Dashboard Items'!$A$2:$A$495,0))&amp;": "&amp;INDEX('Dashboard Items'!$C$2:$C$495,MATCH(G94,'Dashboard Items'!$A$2:$A$495,0)),"ID not found")))</f>
        <v/>
      </c>
      <c r="I94" s="134" t="s">
        <v>588</v>
      </c>
      <c r="J94" s="134">
        <v>2</v>
      </c>
      <c r="K94" s="134" t="s">
        <v>551</v>
      </c>
      <c r="L94" s="134" t="s">
        <v>552</v>
      </c>
      <c r="M94" s="134">
        <v>0</v>
      </c>
      <c r="N94" s="134">
        <v>0</v>
      </c>
      <c r="O94" s="134" t="s">
        <v>551</v>
      </c>
      <c r="P94" s="134" t="s">
        <v>553</v>
      </c>
      <c r="Q94" s="134" t="s">
        <v>696</v>
      </c>
      <c r="R94" s="134"/>
      <c r="S94" s="134"/>
      <c r="T94" s="134"/>
      <c r="U94" s="99"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21" customFormat="1" ht="15.75" customHeight="1" x14ac:dyDescent="0.2">
      <c r="A95" s="134" t="str">
        <f t="shared" si="2"/>
        <v>TRAN</v>
      </c>
      <c r="B95" s="134" t="s">
        <v>697</v>
      </c>
      <c r="C95" s="134" t="s">
        <v>297</v>
      </c>
      <c r="D95" s="134" t="s">
        <v>30</v>
      </c>
      <c r="E95" s="134" t="s">
        <v>295</v>
      </c>
      <c r="F95" s="135"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36"/>
      <c r="H95" s="135" t="str">
        <f>IF(G95="","",IF(ISNUMBER(SEARCH(",",G95)),"Several items (the script lists them)",IFERROR(INDEX('Dashboard Items'!$B$2:$B$495,MATCH(G95,'Dashboard Items'!$A$2:$A$495,0))&amp;": "&amp;INDEX('Dashboard Items'!$C$2:$C$495,MATCH(G95,'Dashboard Items'!$A$2:$A$495,0)),"ID not found")))</f>
        <v/>
      </c>
      <c r="I95" s="134" t="s">
        <v>550</v>
      </c>
      <c r="J95" s="134">
        <v>2</v>
      </c>
      <c r="K95" s="134" t="s">
        <v>551</v>
      </c>
      <c r="L95" s="134" t="s">
        <v>552</v>
      </c>
      <c r="M95" s="134">
        <v>0</v>
      </c>
      <c r="N95" s="134">
        <v>0</v>
      </c>
      <c r="O95" s="134" t="s">
        <v>551</v>
      </c>
      <c r="P95" s="134" t="s">
        <v>553</v>
      </c>
      <c r="Q95" s="134" t="s">
        <v>696</v>
      </c>
      <c r="R95" s="134"/>
      <c r="S95" s="134"/>
      <c r="T95" s="134"/>
      <c r="U95" s="99"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21" customFormat="1" ht="15.75" customHeight="1" x14ac:dyDescent="0.2">
      <c r="A96" s="134" t="str">
        <f t="shared" si="2"/>
        <v>TRAN</v>
      </c>
      <c r="B96" s="134" t="s">
        <v>698</v>
      </c>
      <c r="C96" s="134" t="s">
        <v>281</v>
      </c>
      <c r="D96" s="134" t="s">
        <v>30</v>
      </c>
      <c r="E96" s="134" t="s">
        <v>279</v>
      </c>
      <c r="F96" s="135"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36" t="s">
        <v>691</v>
      </c>
      <c r="H96" s="135" t="str">
        <f>IF(G96="","",IF(ISNUMBER(SEARCH(",",G96)),"Several items (the script lists them)",IFERROR(INDEX('Dashboard Items'!$B$2:$B$495,MATCH(G96,'Dashboard Items'!$A$2:$A$495,0))&amp;": "&amp;INDEX('Dashboard Items'!$C$2:$C$495,MATCH(G96,'Dashboard Items'!$A$2:$A$495,0)),"ID not found")))</f>
        <v>Key Service: Transit Services</v>
      </c>
      <c r="I96" s="134" t="s">
        <v>550</v>
      </c>
      <c r="J96" s="134">
        <v>2</v>
      </c>
      <c r="K96" s="134" t="s">
        <v>551</v>
      </c>
      <c r="L96" s="134" t="s">
        <v>552</v>
      </c>
      <c r="M96" s="134">
        <v>0</v>
      </c>
      <c r="N96" s="134">
        <v>0</v>
      </c>
      <c r="O96" s="134" t="s">
        <v>551</v>
      </c>
      <c r="P96" s="134" t="s">
        <v>553</v>
      </c>
      <c r="Q96" s="134" t="s">
        <v>692</v>
      </c>
      <c r="R96" s="134"/>
      <c r="S96" s="134"/>
      <c r="T96" s="134"/>
      <c r="U96" s="99"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21" customFormat="1" ht="15.75" customHeight="1" x14ac:dyDescent="0.2">
      <c r="A97" s="134" t="str">
        <f t="shared" si="2"/>
        <v>TRAN</v>
      </c>
      <c r="B97" s="134" t="s">
        <v>699</v>
      </c>
      <c r="C97" s="134" t="s">
        <v>273</v>
      </c>
      <c r="D97" s="134" t="s">
        <v>30</v>
      </c>
      <c r="E97" s="134" t="s">
        <v>271</v>
      </c>
      <c r="F97" s="135"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36"/>
      <c r="H97" s="135"/>
      <c r="I97" s="134"/>
      <c r="J97" s="134"/>
      <c r="K97" s="134"/>
      <c r="L97" s="134"/>
      <c r="M97" s="134"/>
      <c r="N97" s="134"/>
      <c r="O97" s="134"/>
      <c r="P97" s="134"/>
      <c r="Q97" s="134"/>
      <c r="R97" s="134"/>
      <c r="S97" s="134"/>
      <c r="T97" s="134"/>
      <c r="U97" s="99"/>
    </row>
    <row r="98" spans="1:21" s="121" customFormat="1" ht="15.75" customHeight="1" x14ac:dyDescent="0.2">
      <c r="A98" s="134" t="str">
        <f t="shared" ref="A98:A129" si="3">LEFT(B98, FIND("-", B98) - 1)</f>
        <v>TRAN</v>
      </c>
      <c r="B98" s="134" t="s">
        <v>700</v>
      </c>
      <c r="C98" s="134" t="s">
        <v>289</v>
      </c>
      <c r="D98" s="134" t="s">
        <v>30</v>
      </c>
      <c r="E98" s="134" t="s">
        <v>288</v>
      </c>
      <c r="F98" s="135"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36" t="s">
        <v>691</v>
      </c>
      <c r="H98" s="135"/>
      <c r="I98" s="134"/>
      <c r="J98" s="134"/>
      <c r="K98" s="134"/>
      <c r="L98" s="134"/>
      <c r="M98" s="134"/>
      <c r="N98" s="134"/>
      <c r="O98" s="134"/>
      <c r="P98" s="134"/>
      <c r="Q98" s="134"/>
      <c r="R98" s="134"/>
      <c r="S98" s="134"/>
      <c r="T98" s="134"/>
      <c r="U98" s="99"/>
    </row>
    <row r="99" spans="1:21" s="121" customFormat="1" ht="15.75" customHeight="1" x14ac:dyDescent="0.2">
      <c r="A99" s="134" t="str">
        <f t="shared" si="3"/>
        <v>TRAN</v>
      </c>
      <c r="B99" s="134" t="s">
        <v>701</v>
      </c>
      <c r="C99" s="134" t="s">
        <v>286</v>
      </c>
      <c r="D99" s="134" t="s">
        <v>30</v>
      </c>
      <c r="E99" s="134" t="s">
        <v>284</v>
      </c>
      <c r="F99" s="135"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36"/>
      <c r="H99" s="135"/>
      <c r="I99" s="134"/>
      <c r="J99" s="134"/>
      <c r="K99" s="134"/>
      <c r="L99" s="134"/>
      <c r="M99" s="134"/>
      <c r="N99" s="134"/>
      <c r="O99" s="134"/>
      <c r="P99" s="134"/>
      <c r="Q99" s="134"/>
      <c r="R99" s="134"/>
      <c r="S99" s="134"/>
      <c r="T99" s="134"/>
      <c r="U99" s="99"/>
    </row>
    <row r="100" spans="1:21" s="121" customFormat="1" ht="15.75" customHeight="1" x14ac:dyDescent="0.2">
      <c r="A100" s="134" t="str">
        <f t="shared" si="3"/>
        <v>TRAN</v>
      </c>
      <c r="B100" s="134" t="s">
        <v>702</v>
      </c>
      <c r="C100" s="134" t="s">
        <v>293</v>
      </c>
      <c r="D100" s="134" t="s">
        <v>30</v>
      </c>
      <c r="E100" s="134" t="s">
        <v>291</v>
      </c>
      <c r="F100" s="135"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36"/>
      <c r="H100" s="135"/>
      <c r="I100" s="134"/>
      <c r="J100" s="134"/>
      <c r="K100" s="134"/>
      <c r="L100" s="134"/>
      <c r="M100" s="134"/>
      <c r="N100" s="134"/>
      <c r="O100" s="134"/>
      <c r="P100" s="134"/>
      <c r="Q100" s="134"/>
      <c r="R100" s="134"/>
      <c r="S100" s="134"/>
      <c r="T100" s="134"/>
      <c r="U100" s="99"/>
    </row>
    <row r="101" spans="1:21" s="94" customFormat="1" ht="16.5" customHeight="1" x14ac:dyDescent="0.2">
      <c r="A101" s="134" t="str">
        <f t="shared" si="3"/>
        <v>TRAN</v>
      </c>
      <c r="B101" s="134" t="s">
        <v>703</v>
      </c>
      <c r="C101" s="134" t="s">
        <v>285</v>
      </c>
      <c r="D101" s="134" t="s">
        <v>30</v>
      </c>
      <c r="E101" s="134" t="s">
        <v>284</v>
      </c>
      <c r="F101" s="13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36"/>
      <c r="H101" s="135"/>
      <c r="I101" s="134"/>
      <c r="J101" s="134"/>
      <c r="K101" s="134"/>
      <c r="L101" s="134"/>
      <c r="M101" s="134"/>
      <c r="N101" s="134"/>
      <c r="O101" s="134"/>
      <c r="P101" s="134"/>
      <c r="Q101" s="134"/>
      <c r="R101" s="134"/>
      <c r="S101" s="134"/>
      <c r="T101" s="134"/>
      <c r="U101" s="99"/>
    </row>
    <row r="102" spans="1:21" s="94" customFormat="1" ht="16.5" customHeight="1" x14ac:dyDescent="0.2">
      <c r="A102" s="134" t="str">
        <f t="shared" si="3"/>
        <v>TRAN</v>
      </c>
      <c r="B102" s="134" t="s">
        <v>704</v>
      </c>
      <c r="C102" s="134" t="s">
        <v>274</v>
      </c>
      <c r="D102" s="134" t="s">
        <v>30</v>
      </c>
      <c r="E102" s="134" t="s">
        <v>271</v>
      </c>
      <c r="F102" s="13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36"/>
      <c r="H102" s="135"/>
      <c r="I102" s="134"/>
      <c r="J102" s="134"/>
      <c r="K102" s="134"/>
      <c r="L102" s="134"/>
      <c r="M102" s="134"/>
      <c r="N102" s="134"/>
      <c r="O102" s="134"/>
      <c r="P102" s="134"/>
      <c r="Q102" s="134"/>
      <c r="R102" s="134"/>
      <c r="S102" s="134"/>
      <c r="T102" s="134"/>
      <c r="U102" s="99"/>
    </row>
    <row r="103" spans="1:21" s="94" customFormat="1" ht="16.5" customHeight="1" x14ac:dyDescent="0.2">
      <c r="A103" s="134" t="str">
        <f t="shared" si="3"/>
        <v>TRAN</v>
      </c>
      <c r="B103" s="134" t="s">
        <v>705</v>
      </c>
      <c r="C103" s="134" t="s">
        <v>292</v>
      </c>
      <c r="D103" s="134" t="s">
        <v>30</v>
      </c>
      <c r="E103" s="134" t="s">
        <v>291</v>
      </c>
      <c r="F103" s="13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36"/>
      <c r="H103" s="135"/>
      <c r="I103" s="134"/>
      <c r="J103" s="134"/>
      <c r="K103" s="134"/>
      <c r="L103" s="134"/>
      <c r="M103" s="134"/>
      <c r="N103" s="134"/>
      <c r="O103" s="134"/>
      <c r="P103" s="134"/>
      <c r="Q103" s="134"/>
      <c r="R103" s="134"/>
      <c r="S103" s="134"/>
      <c r="T103" s="134"/>
      <c r="U103" s="99"/>
    </row>
    <row r="104" spans="1:21" s="94" customFormat="1" ht="16.5" customHeight="1" x14ac:dyDescent="0.2">
      <c r="A104" s="134" t="str">
        <f t="shared" si="3"/>
        <v>TRAN</v>
      </c>
      <c r="B104" s="134" t="s">
        <v>706</v>
      </c>
      <c r="C104" s="134" t="s">
        <v>272</v>
      </c>
      <c r="D104" s="134" t="s">
        <v>30</v>
      </c>
      <c r="E104" s="134" t="s">
        <v>271</v>
      </c>
      <c r="F104" s="13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36"/>
      <c r="H104" s="135"/>
      <c r="I104" s="134"/>
      <c r="J104" s="134"/>
      <c r="K104" s="134"/>
      <c r="L104" s="134"/>
      <c r="M104" s="134"/>
      <c r="N104" s="134"/>
      <c r="O104" s="134"/>
      <c r="P104" s="134"/>
      <c r="Q104" s="134"/>
      <c r="R104" s="134"/>
      <c r="S104" s="134"/>
      <c r="T104" s="134"/>
      <c r="U104" s="99"/>
    </row>
    <row r="105" spans="1:21" s="94" customFormat="1" ht="15.75" customHeight="1" x14ac:dyDescent="0.2">
      <c r="A105" s="134" t="str">
        <f t="shared" si="3"/>
        <v>TRAN</v>
      </c>
      <c r="B105" s="134" t="s">
        <v>707</v>
      </c>
      <c r="C105" s="134" t="s">
        <v>708</v>
      </c>
      <c r="D105" s="134" t="s">
        <v>30</v>
      </c>
      <c r="E105" s="134" t="s">
        <v>276</v>
      </c>
      <c r="F105" s="13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36"/>
      <c r="H105" s="135"/>
      <c r="I105" s="134"/>
      <c r="J105" s="134"/>
      <c r="K105" s="134"/>
      <c r="L105" s="134"/>
      <c r="M105" s="134"/>
      <c r="N105" s="134"/>
      <c r="O105" s="134"/>
      <c r="P105" s="134"/>
      <c r="Q105" s="134"/>
      <c r="R105" s="134"/>
      <c r="S105" s="134"/>
      <c r="T105" s="134"/>
      <c r="U105" s="99"/>
    </row>
    <row r="106" spans="1:21" s="94" customFormat="1" ht="15.75" customHeight="1" x14ac:dyDescent="0.2">
      <c r="A106" s="134" t="str">
        <f t="shared" si="3"/>
        <v>TRAN</v>
      </c>
      <c r="B106" s="134" t="s">
        <v>709</v>
      </c>
      <c r="C106" s="134" t="s">
        <v>296</v>
      </c>
      <c r="D106" s="134" t="s">
        <v>30</v>
      </c>
      <c r="E106" s="134" t="s">
        <v>295</v>
      </c>
      <c r="F106" s="13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36" t="s">
        <v>691</v>
      </c>
      <c r="H106" s="135" t="str">
        <f>IF(G106="","",IF(ISNUMBER(SEARCH(",",G106)),"Several items (the script lists them)",IFERROR(INDEX('Dashboard Items'!$B$2:$B$495,MATCH(G106,'Dashboard Items'!$A$2:$A$495,0))&amp;": "&amp;INDEX('Dashboard Items'!$C$2:$C$495,MATCH(G106,'Dashboard Items'!$A$2:$A$495,0)),"ID not found")))</f>
        <v>Key Service: Transit Services</v>
      </c>
      <c r="I106" s="134" t="s">
        <v>588</v>
      </c>
      <c r="J106" s="134">
        <v>2</v>
      </c>
      <c r="K106" s="134" t="s">
        <v>595</v>
      </c>
      <c r="L106" s="134" t="s">
        <v>552</v>
      </c>
      <c r="M106" s="134">
        <v>0</v>
      </c>
      <c r="N106" s="134">
        <v>0</v>
      </c>
      <c r="O106" s="134" t="s">
        <v>551</v>
      </c>
      <c r="P106" s="134" t="s">
        <v>553</v>
      </c>
      <c r="Q106" s="134" t="s">
        <v>696</v>
      </c>
      <c r="R106" s="134"/>
      <c r="S106" s="134"/>
      <c r="T106" s="134"/>
      <c r="U106" s="99"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94" customFormat="1" ht="15.75" customHeight="1" x14ac:dyDescent="0.2">
      <c r="A107" s="134" t="str">
        <f t="shared" si="3"/>
        <v>TRAN</v>
      </c>
      <c r="B107" s="134" t="s">
        <v>710</v>
      </c>
      <c r="C107" s="134" t="s">
        <v>299</v>
      </c>
      <c r="D107" s="134" t="s">
        <v>30</v>
      </c>
      <c r="E107" s="134" t="s">
        <v>295</v>
      </c>
      <c r="F107" s="13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36"/>
      <c r="H107" s="135" t="str">
        <f>IF(G107="","",IF(ISNUMBER(SEARCH(",",G107)),"Several items (the script lists them)",IFERROR(INDEX('Dashboard Items'!$B$2:$B$495,MATCH(G107,'Dashboard Items'!$A$2:$A$495,0))&amp;": "&amp;INDEX('Dashboard Items'!$C$2:$C$495,MATCH(G107,'Dashboard Items'!$A$2:$A$495,0)),"ID not found")))</f>
        <v/>
      </c>
      <c r="I107" s="134" t="s">
        <v>588</v>
      </c>
      <c r="J107" s="134">
        <v>2</v>
      </c>
      <c r="K107" s="134" t="s">
        <v>551</v>
      </c>
      <c r="L107" s="134" t="s">
        <v>552</v>
      </c>
      <c r="M107" s="134">
        <v>0</v>
      </c>
      <c r="N107" s="134">
        <v>0</v>
      </c>
      <c r="O107" s="134" t="s">
        <v>551</v>
      </c>
      <c r="P107" s="134" t="s">
        <v>553</v>
      </c>
      <c r="Q107" s="134" t="s">
        <v>696</v>
      </c>
      <c r="R107" s="134"/>
      <c r="S107" s="134"/>
      <c r="T107" s="134"/>
      <c r="U107" s="99"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94" t="str">
        <f t="shared" si="3"/>
        <v>PIO</v>
      </c>
      <c r="B108" s="95" t="s">
        <v>711</v>
      </c>
      <c r="C108" s="96" t="s">
        <v>77</v>
      </c>
      <c r="D108" s="95" t="s">
        <v>30</v>
      </c>
      <c r="E108" s="95" t="s">
        <v>76</v>
      </c>
      <c r="F108" s="9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98"/>
      <c r="H108" s="97" t="str">
        <f>IF(G108="","",IF(ISNUMBER(SEARCH(",",G108)),"Several items (the script lists them)",IFERROR(INDEX('Dashboard Items'!$B$2:$B$495,MATCH(G108,'Dashboard Items'!$A$2:$A$495,0))&amp;": "&amp;INDEX('Dashboard Items'!$C$2:$C$495,MATCH(G108,'Dashboard Items'!$A$2:$A$495,0)),"ID not found")))</f>
        <v/>
      </c>
      <c r="I108" s="95"/>
      <c r="J108" s="95"/>
      <c r="K108" s="95"/>
      <c r="L108" s="95"/>
      <c r="M108" s="95"/>
      <c r="N108" s="95"/>
      <c r="O108" s="95"/>
      <c r="P108" s="95"/>
      <c r="Q108" s="95"/>
      <c r="R108" s="95"/>
      <c r="S108" s="95"/>
      <c r="T108" s="95"/>
      <c r="U108" s="99"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94" t="str">
        <f t="shared" si="3"/>
        <v>PIO</v>
      </c>
      <c r="B109" s="95" t="s">
        <v>712</v>
      </c>
      <c r="C109" s="96" t="s">
        <v>78</v>
      </c>
      <c r="D109" s="95" t="s">
        <v>30</v>
      </c>
      <c r="E109" s="95" t="s">
        <v>76</v>
      </c>
      <c r="F109" s="9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98"/>
      <c r="H109" s="97" t="str">
        <f>IF(G109="","",IF(ISNUMBER(SEARCH(",",G109)),"Several items (the script lists them)",IFERROR(INDEX('Dashboard Items'!$B$2:$B$495,MATCH(G109,'Dashboard Items'!$A$2:$A$495,0))&amp;": "&amp;INDEX('Dashboard Items'!$C$2:$C$495,MATCH(G109,'Dashboard Items'!$A$2:$A$495,0)),"ID not found")))</f>
        <v/>
      </c>
      <c r="I109" s="95"/>
      <c r="J109" s="95"/>
      <c r="K109" s="95"/>
      <c r="L109" s="95"/>
      <c r="M109" s="95"/>
      <c r="N109" s="95"/>
      <c r="O109" s="95"/>
      <c r="P109" s="95"/>
      <c r="Q109" s="95"/>
      <c r="R109" s="95"/>
      <c r="S109" s="95"/>
      <c r="T109" s="95"/>
      <c r="U109" s="99"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94" t="str">
        <f t="shared" si="3"/>
        <v>PIO</v>
      </c>
      <c r="B110" s="95" t="s">
        <v>713</v>
      </c>
      <c r="C110" s="96" t="s">
        <v>79</v>
      </c>
      <c r="D110" s="95" t="s">
        <v>30</v>
      </c>
      <c r="E110" s="95" t="s">
        <v>76</v>
      </c>
      <c r="F110" s="9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98"/>
      <c r="H110" s="97" t="str">
        <f>IF(G110="","",IF(ISNUMBER(SEARCH(",",G110)),"Several items (the script lists them)",IFERROR(INDEX('Dashboard Items'!$B$2:$B$495,MATCH(G110,'Dashboard Items'!$A$2:$A$495,0))&amp;": "&amp;INDEX('Dashboard Items'!$C$2:$C$495,MATCH(G110,'Dashboard Items'!$A$2:$A$495,0)),"ID not found")))</f>
        <v/>
      </c>
      <c r="I110" s="95"/>
      <c r="J110" s="95"/>
      <c r="K110" s="95"/>
      <c r="L110" s="95"/>
      <c r="M110" s="95"/>
      <c r="N110" s="95"/>
      <c r="O110" s="95"/>
      <c r="P110" s="95"/>
      <c r="Q110" s="95"/>
      <c r="R110" s="95"/>
      <c r="S110" s="95"/>
      <c r="T110" s="95"/>
      <c r="U110" s="99"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94" t="str">
        <f t="shared" si="3"/>
        <v>IT</v>
      </c>
      <c r="B111" s="95" t="s">
        <v>714</v>
      </c>
      <c r="C111" s="96" t="s">
        <v>413</v>
      </c>
      <c r="D111" s="95" t="s">
        <v>29</v>
      </c>
      <c r="E111" s="95" t="s">
        <v>609</v>
      </c>
      <c r="F111" s="9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98"/>
      <c r="H111" s="97" t="str">
        <f>IF(G111="","",IF(ISNUMBER(SEARCH(",",G111)),"Several items (the script lists them)",IFERROR(INDEX('Dashboard Items'!$B$2:$B$495,MATCH(G111,'Dashboard Items'!$A$2:$A$495,0))&amp;": "&amp;INDEX('Dashboard Items'!$C$2:$C$495,MATCH(G111,'Dashboard Items'!$A$2:$A$495,0)),"ID not found")))</f>
        <v/>
      </c>
      <c r="I111" s="95"/>
      <c r="J111" s="95"/>
      <c r="K111" s="95"/>
      <c r="L111" s="95"/>
      <c r="M111" s="95"/>
      <c r="N111" s="95"/>
      <c r="O111" s="95"/>
      <c r="P111" s="95"/>
      <c r="Q111" s="95"/>
      <c r="R111" s="95"/>
      <c r="S111" s="95"/>
      <c r="T111" s="95"/>
      <c r="U111" s="99"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94" t="str">
        <f t="shared" si="3"/>
        <v>IT</v>
      </c>
      <c r="B112" s="95" t="s">
        <v>715</v>
      </c>
      <c r="C112" s="96" t="s">
        <v>142</v>
      </c>
      <c r="D112" s="95" t="s">
        <v>30</v>
      </c>
      <c r="E112" s="95" t="s">
        <v>141</v>
      </c>
      <c r="F112" s="9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98"/>
      <c r="H112" s="97" t="str">
        <f>IF(G112="","",IF(ISNUMBER(SEARCH(",",G112)),"Several items (the script lists them)",IFERROR(INDEX('Dashboard Items'!$B$2:$B$495,MATCH(G112,'Dashboard Items'!$A$2:$A$495,0))&amp;": "&amp;INDEX('Dashboard Items'!$C$2:$C$495,MATCH(G112,'Dashboard Items'!$A$2:$A$495,0)),"ID not found")))</f>
        <v/>
      </c>
      <c r="I112" s="95"/>
      <c r="J112" s="95"/>
      <c r="K112" s="95"/>
      <c r="L112" s="95"/>
      <c r="M112" s="95"/>
      <c r="N112" s="95"/>
      <c r="O112" s="95"/>
      <c r="P112" s="95"/>
      <c r="Q112" s="95"/>
      <c r="R112" s="95"/>
      <c r="S112" s="95"/>
      <c r="T112" s="95"/>
      <c r="U112" s="99"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94" t="str">
        <f t="shared" si="3"/>
        <v>IT</v>
      </c>
      <c r="B113" s="95" t="s">
        <v>716</v>
      </c>
      <c r="C113" s="96" t="s">
        <v>717</v>
      </c>
      <c r="D113" s="95" t="s">
        <v>30</v>
      </c>
      <c r="E113" s="95" t="s">
        <v>144</v>
      </c>
      <c r="F113" s="9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98"/>
      <c r="H113" s="97" t="str">
        <f>IF(G113="","",IF(ISNUMBER(SEARCH(",",G113)),"Several items (the script lists them)",IFERROR(INDEX('Dashboard Items'!$B$2:$B$495,MATCH(G113,'Dashboard Items'!$A$2:$A$495,0))&amp;": "&amp;INDEX('Dashboard Items'!$C$2:$C$495,MATCH(G113,'Dashboard Items'!$A$2:$A$495,0)),"ID not found")))</f>
        <v/>
      </c>
      <c r="I113" s="95"/>
      <c r="J113" s="95"/>
      <c r="K113" s="95"/>
      <c r="L113" s="95"/>
      <c r="M113" s="95"/>
      <c r="N113" s="95"/>
      <c r="O113" s="95"/>
      <c r="P113" s="95"/>
      <c r="Q113" s="95"/>
      <c r="R113" s="95"/>
      <c r="S113" s="95"/>
      <c r="T113" s="95"/>
      <c r="U113" s="99"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94" t="str">
        <f t="shared" si="3"/>
        <v>IT</v>
      </c>
      <c r="B114" s="95" t="s">
        <v>718</v>
      </c>
      <c r="C114" s="96" t="s">
        <v>146</v>
      </c>
      <c r="D114" s="95" t="s">
        <v>30</v>
      </c>
      <c r="E114" s="95" t="s">
        <v>144</v>
      </c>
      <c r="F114" s="9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98"/>
      <c r="H114" s="97" t="str">
        <f>IF(G114="","",IF(ISNUMBER(SEARCH(",",G114)),"Several items (the script lists them)",IFERROR(INDEX('Dashboard Items'!$B$2:$B$495,MATCH(G114,'Dashboard Items'!$A$2:$A$495,0))&amp;": "&amp;INDEX('Dashboard Items'!$C$2:$C$495,MATCH(G114,'Dashboard Items'!$A$2:$A$495,0)),"ID not found")))</f>
        <v/>
      </c>
      <c r="I114" s="95"/>
      <c r="J114" s="95"/>
      <c r="K114" s="95"/>
      <c r="L114" s="95"/>
      <c r="M114" s="95"/>
      <c r="N114" s="95"/>
      <c r="O114" s="95"/>
      <c r="P114" s="95"/>
      <c r="Q114" s="95"/>
      <c r="R114" s="95"/>
      <c r="S114" s="95"/>
      <c r="T114" s="95"/>
      <c r="U114" s="99"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94" t="str">
        <f t="shared" si="3"/>
        <v>IT</v>
      </c>
      <c r="B115" s="95" t="s">
        <v>719</v>
      </c>
      <c r="C115" s="96" t="s">
        <v>147</v>
      </c>
      <c r="D115" s="95" t="s">
        <v>30</v>
      </c>
      <c r="E115" s="95" t="s">
        <v>144</v>
      </c>
      <c r="F115" s="9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98"/>
      <c r="H115" s="97" t="str">
        <f>IF(G115="","",IF(ISNUMBER(SEARCH(",",G115)),"Several items (the script lists them)",IFERROR(INDEX('Dashboard Items'!$B$2:$B$495,MATCH(G115,'Dashboard Items'!$A$2:$A$495,0))&amp;": "&amp;INDEX('Dashboard Items'!$C$2:$C$495,MATCH(G115,'Dashboard Items'!$A$2:$A$495,0)),"ID not found")))</f>
        <v/>
      </c>
      <c r="I115" s="95"/>
      <c r="J115" s="95"/>
      <c r="K115" s="95"/>
      <c r="L115" s="95"/>
      <c r="M115" s="95"/>
      <c r="N115" s="95"/>
      <c r="O115" s="95"/>
      <c r="P115" s="95"/>
      <c r="Q115" s="95"/>
      <c r="R115" s="95"/>
      <c r="S115" s="95"/>
      <c r="T115" s="95"/>
      <c r="U115" s="99"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94" t="str">
        <f t="shared" si="3"/>
        <v>IT</v>
      </c>
      <c r="B116" s="95" t="s">
        <v>720</v>
      </c>
      <c r="C116" s="96" t="s">
        <v>152</v>
      </c>
      <c r="D116" s="95" t="s">
        <v>30</v>
      </c>
      <c r="E116" s="95" t="s">
        <v>149</v>
      </c>
      <c r="F116" s="9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98"/>
      <c r="H116" s="97" t="str">
        <f>IF(G116="","",IF(ISNUMBER(SEARCH(",",G116)),"Several items (the script lists them)",IFERROR(INDEX('Dashboard Items'!$B$2:$B$495,MATCH(G116,'Dashboard Items'!$A$2:$A$495,0))&amp;": "&amp;INDEX('Dashboard Items'!$C$2:$C$495,MATCH(G116,'Dashboard Items'!$A$2:$A$495,0)),"ID not found")))</f>
        <v/>
      </c>
      <c r="I116" s="95"/>
      <c r="J116" s="95"/>
      <c r="K116" s="95"/>
      <c r="L116" s="95"/>
      <c r="M116" s="95"/>
      <c r="N116" s="95"/>
      <c r="O116" s="95"/>
      <c r="P116" s="95"/>
      <c r="Q116" s="95"/>
      <c r="R116" s="95"/>
      <c r="S116" s="95"/>
      <c r="T116" s="95"/>
      <c r="U116" s="99"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94" t="str">
        <f t="shared" si="3"/>
        <v>COMDEV</v>
      </c>
      <c r="B117" s="95" t="s">
        <v>721</v>
      </c>
      <c r="C117" s="96" t="s">
        <v>157</v>
      </c>
      <c r="D117" s="95" t="s">
        <v>29</v>
      </c>
      <c r="E117" s="95" t="s">
        <v>681</v>
      </c>
      <c r="F117" s="9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98" t="s">
        <v>156</v>
      </c>
      <c r="H117" s="97" t="str">
        <f>IF(G117="","",IF(ISNUMBER(SEARCH(",",G117)),"Several items (the script lists them)",IFERROR(INDEX('Dashboard Items'!$B$2:$B$495,MATCH(G117,'Dashboard Items'!$A$2:$A$495,0))&amp;": "&amp;INDEX('Dashboard Items'!$C$2:$C$495,MATCH(G117,'Dashboard Items'!$A$2:$A$495,0)),"ID not found")))</f>
        <v>Program: Long Range Comprehensive Planning</v>
      </c>
      <c r="I117" s="95"/>
      <c r="J117" s="95"/>
      <c r="K117" s="95"/>
      <c r="L117" s="95"/>
      <c r="M117" s="95"/>
      <c r="N117" s="95"/>
      <c r="O117" s="95"/>
      <c r="P117" s="95"/>
      <c r="Q117" s="95"/>
      <c r="R117" s="95"/>
      <c r="S117" s="95"/>
      <c r="T117" s="95"/>
      <c r="U117" s="99"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94" t="str">
        <f t="shared" si="3"/>
        <v>COMDEV</v>
      </c>
      <c r="B118" s="95" t="s">
        <v>722</v>
      </c>
      <c r="C118" s="96" t="s">
        <v>437</v>
      </c>
      <c r="D118" s="95" t="s">
        <v>29</v>
      </c>
      <c r="E118" s="95" t="s">
        <v>681</v>
      </c>
      <c r="F118" s="9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98"/>
      <c r="H118" s="97" t="str">
        <f>IF(G118="","",IF(ISNUMBER(SEARCH(",",G118)),"Several items (the script lists them)",IFERROR(INDEX('Dashboard Items'!$B$2:$B$495,MATCH(G118,'Dashboard Items'!$A$2:$A$495,0))&amp;": "&amp;INDEX('Dashboard Items'!$C$2:$C$495,MATCH(G118,'Dashboard Items'!$A$2:$A$495,0)),"ID not found")))</f>
        <v/>
      </c>
      <c r="I118" s="95"/>
      <c r="J118" s="95"/>
      <c r="K118" s="95"/>
      <c r="L118" s="95"/>
      <c r="M118" s="95"/>
      <c r="N118" s="95"/>
      <c r="O118" s="95"/>
      <c r="P118" s="95"/>
      <c r="Q118" s="95"/>
      <c r="R118" s="95"/>
      <c r="S118" s="95"/>
      <c r="T118" s="95"/>
      <c r="U118" s="99"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94" t="str">
        <f t="shared" si="3"/>
        <v>COMDEV</v>
      </c>
      <c r="B119" s="95" t="s">
        <v>723</v>
      </c>
      <c r="C119" s="96" t="s">
        <v>724</v>
      </c>
      <c r="D119" s="95" t="s">
        <v>29</v>
      </c>
      <c r="E119" s="95" t="s">
        <v>681</v>
      </c>
      <c r="F119" s="9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98" t="s">
        <v>161</v>
      </c>
      <c r="H119" s="97" t="str">
        <f>IF(G119="","",IF(ISNUMBER(SEARCH(",",G119)),"Several items (the script lists them)",IFERROR(INDEX('Dashboard Items'!$B$2:$B$495,MATCH(G119,'Dashboard Items'!$A$2:$A$495,0))&amp;": "&amp;INDEX('Dashboard Items'!$C$2:$C$495,MATCH(G119,'Dashboard Items'!$A$2:$A$495,0)),"ID not found")))</f>
        <v>Program: Development Review &amp; Permitting (inspections)</v>
      </c>
      <c r="I119" s="95"/>
      <c r="J119" s="95"/>
      <c r="K119" s="95"/>
      <c r="L119" s="95"/>
      <c r="M119" s="95"/>
      <c r="N119" s="95"/>
      <c r="O119" s="95"/>
      <c r="P119" s="95"/>
      <c r="Q119" s="95"/>
      <c r="R119" s="95"/>
      <c r="S119" s="95"/>
      <c r="T119" s="95"/>
      <c r="U119" s="99"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94" t="str">
        <f t="shared" si="3"/>
        <v>COMDEV</v>
      </c>
      <c r="B120" s="95" t="s">
        <v>725</v>
      </c>
      <c r="C120" s="96" t="s">
        <v>163</v>
      </c>
      <c r="D120" s="95" t="s">
        <v>30</v>
      </c>
      <c r="E120" s="95" t="s">
        <v>161</v>
      </c>
      <c r="F120" s="9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98"/>
      <c r="H120" s="97" t="str">
        <f>IF(G120="","",IF(ISNUMBER(SEARCH(",",G120)),"Several items (the script lists them)",IFERROR(INDEX('Dashboard Items'!$B$2:$B$495,MATCH(G120,'Dashboard Items'!$A$2:$A$495,0))&amp;": "&amp;INDEX('Dashboard Items'!$C$2:$C$495,MATCH(G120,'Dashboard Items'!$A$2:$A$495,0)),"ID not found")))</f>
        <v/>
      </c>
      <c r="I120" s="95"/>
      <c r="J120" s="95"/>
      <c r="K120" s="95"/>
      <c r="L120" s="95"/>
      <c r="M120" s="95"/>
      <c r="N120" s="95"/>
      <c r="O120" s="95"/>
      <c r="P120" s="95"/>
      <c r="Q120" s="95"/>
      <c r="R120" s="95"/>
      <c r="S120" s="95"/>
      <c r="T120" s="95"/>
      <c r="U120" s="99"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94" t="str">
        <f t="shared" si="3"/>
        <v>COMDEV</v>
      </c>
      <c r="B121" s="95" t="s">
        <v>726</v>
      </c>
      <c r="C121" s="96" t="s">
        <v>164</v>
      </c>
      <c r="D121" s="95" t="s">
        <v>30</v>
      </c>
      <c r="E121" s="95" t="s">
        <v>161</v>
      </c>
      <c r="F121" s="9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98"/>
      <c r="H121" s="97" t="str">
        <f>IF(G121="","",IF(ISNUMBER(SEARCH(",",G121)),"Several items (the script lists them)",IFERROR(INDEX('Dashboard Items'!$B$2:$B$495,MATCH(G121,'Dashboard Items'!$A$2:$A$495,0))&amp;": "&amp;INDEX('Dashboard Items'!$C$2:$C$495,MATCH(G121,'Dashboard Items'!$A$2:$A$495,0)),"ID not found")))</f>
        <v/>
      </c>
      <c r="I121" s="95"/>
      <c r="J121" s="95"/>
      <c r="K121" s="95"/>
      <c r="L121" s="95"/>
      <c r="M121" s="95"/>
      <c r="N121" s="95"/>
      <c r="O121" s="95"/>
      <c r="P121" s="95"/>
      <c r="Q121" s="95"/>
      <c r="R121" s="95"/>
      <c r="S121" s="95"/>
      <c r="T121" s="95"/>
      <c r="U121" s="99"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94" t="str">
        <f t="shared" si="3"/>
        <v>COMDEV</v>
      </c>
      <c r="B122" s="95" t="s">
        <v>727</v>
      </c>
      <c r="C122" s="96" t="s">
        <v>165</v>
      </c>
      <c r="D122" s="95" t="s">
        <v>30</v>
      </c>
      <c r="E122" s="95" t="s">
        <v>161</v>
      </c>
      <c r="F122" s="9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98"/>
      <c r="H122" s="97" t="str">
        <f>IF(G122="","",IF(ISNUMBER(SEARCH(",",G122)),"Several items (the script lists them)",IFERROR(INDEX('Dashboard Items'!$B$2:$B$495,MATCH(G122,'Dashboard Items'!$A$2:$A$495,0))&amp;": "&amp;INDEX('Dashboard Items'!$C$2:$C$495,MATCH(G122,'Dashboard Items'!$A$2:$A$495,0)),"ID not found")))</f>
        <v/>
      </c>
      <c r="I122" s="95"/>
      <c r="J122" s="95"/>
      <c r="K122" s="95"/>
      <c r="L122" s="95"/>
      <c r="M122" s="95"/>
      <c r="N122" s="95"/>
      <c r="O122" s="95"/>
      <c r="P122" s="95"/>
      <c r="Q122" s="95"/>
      <c r="R122" s="95"/>
      <c r="S122" s="95"/>
      <c r="T122" s="95"/>
      <c r="U122" s="99"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94" t="str">
        <f t="shared" si="3"/>
        <v>COMDEV</v>
      </c>
      <c r="B123" s="95" t="s">
        <v>728</v>
      </c>
      <c r="C123" s="96" t="s">
        <v>159</v>
      </c>
      <c r="D123" s="95" t="s">
        <v>30</v>
      </c>
      <c r="E123" s="95" t="s">
        <v>167</v>
      </c>
      <c r="F123" s="9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98" t="s">
        <v>156</v>
      </c>
      <c r="H123" s="97" t="str">
        <f>IF(G123="","",IF(ISNUMBER(SEARCH(",",G123)),"Several items (the script lists them)",IFERROR(INDEX('Dashboard Items'!$B$2:$B$495,MATCH(G123,'Dashboard Items'!$A$2:$A$495,0))&amp;": "&amp;INDEX('Dashboard Items'!$C$2:$C$495,MATCH(G123,'Dashboard Items'!$A$2:$A$495,0)),"ID not found")))</f>
        <v>Program: Long Range Comprehensive Planning</v>
      </c>
      <c r="I123" s="95"/>
      <c r="J123" s="95"/>
      <c r="K123" s="95"/>
      <c r="L123" s="95"/>
      <c r="M123" s="95"/>
      <c r="N123" s="95"/>
      <c r="O123" s="95"/>
      <c r="P123" s="95"/>
      <c r="Q123" s="95"/>
      <c r="R123" s="95"/>
      <c r="S123" s="95"/>
      <c r="T123" s="95"/>
      <c r="U123" s="99"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94" t="str">
        <f t="shared" si="3"/>
        <v>COMDEV</v>
      </c>
      <c r="B124" s="95" t="s">
        <v>729</v>
      </c>
      <c r="C124" s="96" t="s">
        <v>730</v>
      </c>
      <c r="D124" s="95" t="s">
        <v>30</v>
      </c>
      <c r="E124" s="95" t="s">
        <v>167</v>
      </c>
      <c r="F124" s="9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98"/>
      <c r="H124" s="97" t="str">
        <f>IF(G124="","",IF(ISNUMBER(SEARCH(",",G124)),"Several items (the script lists them)",IFERROR(INDEX('Dashboard Items'!$B$2:$B$495,MATCH(G124,'Dashboard Items'!$A$2:$A$495,0))&amp;": "&amp;INDEX('Dashboard Items'!$C$2:$C$495,MATCH(G124,'Dashboard Items'!$A$2:$A$495,0)),"ID not found")))</f>
        <v/>
      </c>
      <c r="I124" s="95"/>
      <c r="J124" s="95"/>
      <c r="K124" s="95"/>
      <c r="L124" s="95"/>
      <c r="M124" s="95"/>
      <c r="N124" s="95"/>
      <c r="O124" s="95"/>
      <c r="P124" s="95"/>
      <c r="Q124" s="95"/>
      <c r="R124" s="95"/>
      <c r="S124" s="95"/>
      <c r="T124" s="95"/>
      <c r="U124" s="99"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94" t="str">
        <f t="shared" si="3"/>
        <v>COMDEV</v>
      </c>
      <c r="B125" s="95" t="s">
        <v>731</v>
      </c>
      <c r="C125" s="96" t="s">
        <v>171</v>
      </c>
      <c r="D125" s="95" t="s">
        <v>30</v>
      </c>
      <c r="E125" s="95" t="s">
        <v>170</v>
      </c>
      <c r="F125" s="9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98"/>
      <c r="H125" s="97" t="str">
        <f>IF(G125="","",IF(ISNUMBER(SEARCH(",",G125)),"Several items (the script lists them)",IFERROR(INDEX('Dashboard Items'!$B$2:$B$495,MATCH(G125,'Dashboard Items'!$A$2:$A$495,0))&amp;": "&amp;INDEX('Dashboard Items'!$C$2:$C$495,MATCH(G125,'Dashboard Items'!$A$2:$A$495,0)),"ID not found")))</f>
        <v/>
      </c>
      <c r="I125" s="95"/>
      <c r="J125" s="95"/>
      <c r="K125" s="95"/>
      <c r="L125" s="95"/>
      <c r="M125" s="95"/>
      <c r="N125" s="95"/>
      <c r="O125" s="95"/>
      <c r="P125" s="95"/>
      <c r="Q125" s="95"/>
      <c r="R125" s="95"/>
      <c r="S125" s="95"/>
      <c r="T125" s="95"/>
      <c r="U125" s="99"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94" t="str">
        <f t="shared" si="3"/>
        <v>PD</v>
      </c>
      <c r="B126" s="95" t="s">
        <v>732</v>
      </c>
      <c r="C126" s="96" t="s">
        <v>229</v>
      </c>
      <c r="D126" s="95" t="s">
        <v>30</v>
      </c>
      <c r="E126" s="95" t="s">
        <v>225</v>
      </c>
      <c r="F126" s="9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98"/>
      <c r="H126" s="97" t="str">
        <f>IF(G126="","",IF(ISNUMBER(SEARCH(",",G126)),"Several items (the script lists them)",IFERROR(INDEX('Dashboard Items'!$B$2:$B$495,MATCH(G126,'Dashboard Items'!$A$2:$A$495,0))&amp;": "&amp;INDEX('Dashboard Items'!$C$2:$C$495,MATCH(G126,'Dashboard Items'!$A$2:$A$495,0)),"ID not found")))</f>
        <v/>
      </c>
      <c r="I126" s="95"/>
      <c r="J126" s="95"/>
      <c r="K126" s="95"/>
      <c r="L126" s="95"/>
      <c r="M126" s="95"/>
      <c r="N126" s="95"/>
      <c r="O126" s="95"/>
      <c r="P126" s="95"/>
      <c r="Q126" s="95"/>
      <c r="R126" s="95"/>
      <c r="S126" s="95"/>
      <c r="T126" s="95"/>
      <c r="U126" s="99"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94" t="str">
        <f t="shared" si="3"/>
        <v>COURT</v>
      </c>
      <c r="B127" s="95" t="s">
        <v>733</v>
      </c>
      <c r="C127" s="96" t="s">
        <v>241</v>
      </c>
      <c r="D127" s="95" t="s">
        <v>30</v>
      </c>
      <c r="E127" s="95" t="s">
        <v>240</v>
      </c>
      <c r="F127" s="9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98"/>
      <c r="H127" s="97" t="str">
        <f>IF(G127="","",IF(ISNUMBER(SEARCH(",",G127)),"Several items (the script lists them)",IFERROR(INDEX('Dashboard Items'!$B$2:$B$495,MATCH(G127,'Dashboard Items'!$A$2:$A$495,0))&amp;": "&amp;INDEX('Dashboard Items'!$C$2:$C$495,MATCH(G127,'Dashboard Items'!$A$2:$A$495,0)),"ID not found")))</f>
        <v/>
      </c>
      <c r="I127" s="95"/>
      <c r="J127" s="95"/>
      <c r="K127" s="95"/>
      <c r="L127" s="95"/>
      <c r="M127" s="95"/>
      <c r="N127" s="95"/>
      <c r="O127" s="95"/>
      <c r="P127" s="95"/>
      <c r="Q127" s="95"/>
      <c r="R127" s="95"/>
      <c r="S127" s="95"/>
      <c r="T127" s="95"/>
      <c r="U127" s="99"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94" t="str">
        <f t="shared" si="3"/>
        <v>COURT</v>
      </c>
      <c r="B128" s="95" t="s">
        <v>734</v>
      </c>
      <c r="C128" s="96" t="s">
        <v>242</v>
      </c>
      <c r="D128" s="95" t="s">
        <v>30</v>
      </c>
      <c r="E128" s="95" t="s">
        <v>240</v>
      </c>
      <c r="F128" s="9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98"/>
      <c r="H128" s="97" t="str">
        <f>IF(G128="","",IF(ISNUMBER(SEARCH(",",G128)),"Several items (the script lists them)",IFERROR(INDEX('Dashboard Items'!$B$2:$B$495,MATCH(G128,'Dashboard Items'!$A$2:$A$495,0))&amp;": "&amp;INDEX('Dashboard Items'!$C$2:$C$495,MATCH(G128,'Dashboard Items'!$A$2:$A$495,0)),"ID not found")))</f>
        <v/>
      </c>
      <c r="I128" s="95"/>
      <c r="J128" s="95"/>
      <c r="K128" s="95"/>
      <c r="L128" s="95"/>
      <c r="M128" s="95"/>
      <c r="N128" s="95"/>
      <c r="O128" s="95"/>
      <c r="P128" s="95"/>
      <c r="Q128" s="95"/>
      <c r="R128" s="95"/>
      <c r="S128" s="95"/>
      <c r="T128" s="95"/>
      <c r="U128" s="99"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94" t="str">
        <f t="shared" si="3"/>
        <v>COURT</v>
      </c>
      <c r="B129" s="95" t="s">
        <v>735</v>
      </c>
      <c r="C129" s="96" t="s">
        <v>243</v>
      </c>
      <c r="D129" s="95" t="s">
        <v>30</v>
      </c>
      <c r="E129" s="95" t="s">
        <v>240</v>
      </c>
      <c r="F129" s="9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98"/>
      <c r="H129" s="97" t="str">
        <f>IF(G129="","",IF(ISNUMBER(SEARCH(",",G129)),"Several items (the script lists them)",IFERROR(INDEX('Dashboard Items'!$B$2:$B$495,MATCH(G129,'Dashboard Items'!$A$2:$A$495,0))&amp;": "&amp;INDEX('Dashboard Items'!$C$2:$C$495,MATCH(G129,'Dashboard Items'!$A$2:$A$495,0)),"ID not found")))</f>
        <v/>
      </c>
      <c r="I129" s="95"/>
      <c r="J129" s="95"/>
      <c r="K129" s="95"/>
      <c r="L129" s="95"/>
      <c r="M129" s="95"/>
      <c r="N129" s="95"/>
      <c r="O129" s="95"/>
      <c r="P129" s="95"/>
      <c r="Q129" s="95"/>
      <c r="R129" s="95"/>
      <c r="S129" s="95"/>
      <c r="T129" s="95"/>
      <c r="U129" s="99"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94" t="str">
        <f t="shared" ref="A130:A161" si="4">LEFT(B130, FIND("-", B130) - 1)</f>
        <v>TRAN</v>
      </c>
      <c r="B130" s="95" t="s">
        <v>736</v>
      </c>
      <c r="C130" s="96" t="s">
        <v>737</v>
      </c>
      <c r="D130" s="95" t="s">
        <v>29</v>
      </c>
      <c r="E130" s="95" t="s">
        <v>691</v>
      </c>
      <c r="F130" s="9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98"/>
      <c r="H130" s="97" t="str">
        <f>IF(G130="","",IF(ISNUMBER(SEARCH(",",G130)),"Several items (the script lists them)",IFERROR(INDEX('Dashboard Items'!$B$2:$B$495,MATCH(G130,'Dashboard Items'!$A$2:$A$495,0))&amp;": "&amp;INDEX('Dashboard Items'!$C$2:$C$495,MATCH(G130,'Dashboard Items'!$A$2:$A$495,0)),"ID not found")))</f>
        <v/>
      </c>
      <c r="I130" s="95"/>
      <c r="J130" s="95"/>
      <c r="K130" s="95"/>
      <c r="L130" s="95"/>
      <c r="M130" s="95"/>
      <c r="N130" s="95"/>
      <c r="O130" s="95"/>
      <c r="P130" s="95"/>
      <c r="Q130" s="95"/>
      <c r="R130" s="95"/>
      <c r="S130" s="95"/>
      <c r="T130" s="95"/>
      <c r="U130" s="99"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94" t="str">
        <f t="shared" si="4"/>
        <v>PR</v>
      </c>
      <c r="B131" s="95" t="s">
        <v>738</v>
      </c>
      <c r="C131" s="96" t="s">
        <v>739</v>
      </c>
      <c r="D131" s="95" t="s">
        <v>29</v>
      </c>
      <c r="E131" s="95" t="s">
        <v>740</v>
      </c>
      <c r="F131" s="9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98"/>
      <c r="H131" s="97" t="str">
        <f>IF(G131="","",IF(ISNUMBER(SEARCH(",",G131)),"Several items (the script lists them)",IFERROR(INDEX('Dashboard Items'!$B$2:$B$495,MATCH(G131,'Dashboard Items'!$A$2:$A$495,0))&amp;": "&amp;INDEX('Dashboard Items'!$C$2:$C$495,MATCH(G131,'Dashboard Items'!$A$2:$A$495,0)),"ID not found")))</f>
        <v/>
      </c>
      <c r="I131" s="95"/>
      <c r="J131" s="95"/>
      <c r="K131" s="95"/>
      <c r="L131" s="95"/>
      <c r="M131" s="95"/>
      <c r="N131" s="95"/>
      <c r="O131" s="95"/>
      <c r="P131" s="95"/>
      <c r="Q131" s="95"/>
      <c r="R131" s="95"/>
      <c r="S131" s="95"/>
      <c r="T131" s="95"/>
      <c r="U131" s="99"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94" t="str">
        <f t="shared" si="4"/>
        <v>PR</v>
      </c>
      <c r="B132" s="95" t="s">
        <v>741</v>
      </c>
      <c r="C132" s="96" t="s">
        <v>742</v>
      </c>
      <c r="D132" s="95" t="s">
        <v>29</v>
      </c>
      <c r="E132" s="95" t="s">
        <v>740</v>
      </c>
      <c r="F132" s="9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98"/>
      <c r="H132" s="97" t="str">
        <f>IF(G132="","",IF(ISNUMBER(SEARCH(",",G132)),"Several items (the script lists them)",IFERROR(INDEX('Dashboard Items'!$B$2:$B$495,MATCH(G132,'Dashboard Items'!$A$2:$A$495,0))&amp;": "&amp;INDEX('Dashboard Items'!$C$2:$C$495,MATCH(G132,'Dashboard Items'!$A$2:$A$495,0)),"ID not found")))</f>
        <v/>
      </c>
      <c r="I132" s="95"/>
      <c r="J132" s="95"/>
      <c r="K132" s="95"/>
      <c r="L132" s="95"/>
      <c r="M132" s="95"/>
      <c r="N132" s="95"/>
      <c r="O132" s="95"/>
      <c r="P132" s="95"/>
      <c r="Q132" s="95"/>
      <c r="R132" s="95"/>
      <c r="S132" s="95"/>
      <c r="T132" s="95"/>
      <c r="U132" s="99"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94" t="str">
        <f t="shared" si="4"/>
        <v>PR</v>
      </c>
      <c r="B133" s="95" t="s">
        <v>743</v>
      </c>
      <c r="C133" s="96" t="s">
        <v>744</v>
      </c>
      <c r="D133" s="95" t="s">
        <v>29</v>
      </c>
      <c r="E133" s="95" t="s">
        <v>740</v>
      </c>
      <c r="F133" s="9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98"/>
      <c r="H133" s="97" t="str">
        <f>IF(G133="","",IF(ISNUMBER(SEARCH(",",G133)),"Several items (the script lists them)",IFERROR(INDEX('Dashboard Items'!$B$2:$B$495,MATCH(G133,'Dashboard Items'!$A$2:$A$495,0))&amp;": "&amp;INDEX('Dashboard Items'!$C$2:$C$495,MATCH(G133,'Dashboard Items'!$A$2:$A$495,0)),"ID not found")))</f>
        <v/>
      </c>
      <c r="I133" s="95"/>
      <c r="J133" s="95"/>
      <c r="K133" s="95"/>
      <c r="L133" s="95"/>
      <c r="M133" s="95"/>
      <c r="N133" s="95"/>
      <c r="O133" s="95"/>
      <c r="P133" s="95"/>
      <c r="Q133" s="95"/>
      <c r="R133" s="95"/>
      <c r="S133" s="95"/>
      <c r="T133" s="95"/>
      <c r="U133" s="99"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94" t="str">
        <f t="shared" si="4"/>
        <v>PR</v>
      </c>
      <c r="B134" s="95" t="s">
        <v>745</v>
      </c>
      <c r="C134" s="96" t="s">
        <v>354</v>
      </c>
      <c r="D134" s="95" t="s">
        <v>30</v>
      </c>
      <c r="E134" s="95" t="s">
        <v>353</v>
      </c>
      <c r="F134" s="9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98"/>
      <c r="H134" s="97" t="str">
        <f>IF(G134="","",IF(ISNUMBER(SEARCH(",",G134)),"Several items (the script lists them)",IFERROR(INDEX('Dashboard Items'!$B$2:$B$495,MATCH(G134,'Dashboard Items'!$A$2:$A$495,0))&amp;": "&amp;INDEX('Dashboard Items'!$C$2:$C$495,MATCH(G134,'Dashboard Items'!$A$2:$A$495,0)),"ID not found")))</f>
        <v/>
      </c>
      <c r="I134" s="95"/>
      <c r="J134" s="95"/>
      <c r="K134" s="95"/>
      <c r="L134" s="95"/>
      <c r="M134" s="95"/>
      <c r="N134" s="95"/>
      <c r="O134" s="95"/>
      <c r="P134" s="95"/>
      <c r="Q134" s="95"/>
      <c r="R134" s="95"/>
      <c r="S134" s="95"/>
      <c r="T134" s="95"/>
      <c r="U134" s="99"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94" t="str">
        <f t="shared" si="4"/>
        <v>PR</v>
      </c>
      <c r="B135" s="95" t="s">
        <v>746</v>
      </c>
      <c r="C135" s="96" t="s">
        <v>355</v>
      </c>
      <c r="D135" s="95" t="s">
        <v>30</v>
      </c>
      <c r="E135" s="95" t="s">
        <v>353</v>
      </c>
      <c r="F135" s="9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98"/>
      <c r="H135" s="97" t="str">
        <f>IF(G135="","",IF(ISNUMBER(SEARCH(",",G135)),"Several items (the script lists them)",IFERROR(INDEX('Dashboard Items'!$B$2:$B$495,MATCH(G135,'Dashboard Items'!$A$2:$A$495,0))&amp;": "&amp;INDEX('Dashboard Items'!$C$2:$C$495,MATCH(G135,'Dashboard Items'!$A$2:$A$495,0)),"ID not found")))</f>
        <v/>
      </c>
      <c r="I135" s="95"/>
      <c r="J135" s="95"/>
      <c r="K135" s="95"/>
      <c r="L135" s="95"/>
      <c r="M135" s="95"/>
      <c r="N135" s="95"/>
      <c r="O135" s="95"/>
      <c r="P135" s="95"/>
      <c r="Q135" s="95"/>
      <c r="R135" s="95"/>
      <c r="S135" s="95"/>
      <c r="T135" s="95"/>
      <c r="U135" s="99"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94" t="str">
        <f t="shared" si="4"/>
        <v>PR</v>
      </c>
      <c r="B136" s="95" t="s">
        <v>747</v>
      </c>
      <c r="C136" s="96" t="s">
        <v>358</v>
      </c>
      <c r="D136" s="95" t="s">
        <v>30</v>
      </c>
      <c r="E136" s="95" t="s">
        <v>357</v>
      </c>
      <c r="F136" s="9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98"/>
      <c r="H136" s="97" t="str">
        <f>IF(G136="","",IF(ISNUMBER(SEARCH(",",G136)),"Several items (the script lists them)",IFERROR(INDEX('Dashboard Items'!$B$2:$B$495,MATCH(G136,'Dashboard Items'!$A$2:$A$495,0))&amp;": "&amp;INDEX('Dashboard Items'!$C$2:$C$495,MATCH(G136,'Dashboard Items'!$A$2:$A$495,0)),"ID not found")))</f>
        <v/>
      </c>
      <c r="I136" s="95"/>
      <c r="J136" s="95"/>
      <c r="K136" s="95"/>
      <c r="L136" s="95"/>
      <c r="M136" s="95"/>
      <c r="N136" s="95"/>
      <c r="O136" s="95"/>
      <c r="P136" s="95"/>
      <c r="Q136" s="95"/>
      <c r="R136" s="95"/>
      <c r="S136" s="95"/>
      <c r="T136" s="95"/>
      <c r="U136" s="99"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94" t="str">
        <f t="shared" si="4"/>
        <v>PR</v>
      </c>
      <c r="B137" s="95" t="s">
        <v>748</v>
      </c>
      <c r="C137" s="96" t="s">
        <v>359</v>
      </c>
      <c r="D137" s="95" t="s">
        <v>30</v>
      </c>
      <c r="E137" s="95" t="s">
        <v>357</v>
      </c>
      <c r="F137" s="9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98"/>
      <c r="H137" s="97" t="str">
        <f>IF(G137="","",IF(ISNUMBER(SEARCH(",",G137)),"Several items (the script lists them)",IFERROR(INDEX('Dashboard Items'!$B$2:$B$495,MATCH(G137,'Dashboard Items'!$A$2:$A$495,0))&amp;": "&amp;INDEX('Dashboard Items'!$C$2:$C$495,MATCH(G137,'Dashboard Items'!$A$2:$A$495,0)),"ID not found")))</f>
        <v/>
      </c>
      <c r="I137" s="95"/>
      <c r="J137" s="95"/>
      <c r="K137" s="95"/>
      <c r="L137" s="95"/>
      <c r="M137" s="95"/>
      <c r="N137" s="95"/>
      <c r="O137" s="95"/>
      <c r="P137" s="95"/>
      <c r="Q137" s="95"/>
      <c r="R137" s="95"/>
      <c r="S137" s="95"/>
      <c r="T137" s="95"/>
      <c r="U137" s="99"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94" t="str">
        <f t="shared" si="4"/>
        <v>PR</v>
      </c>
      <c r="B138" s="95" t="s">
        <v>749</v>
      </c>
      <c r="C138" s="96" t="s">
        <v>362</v>
      </c>
      <c r="D138" s="95" t="s">
        <v>30</v>
      </c>
      <c r="E138" s="95" t="s">
        <v>361</v>
      </c>
      <c r="F138" s="9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98"/>
      <c r="H138" s="97" t="str">
        <f>IF(G138="","",IF(ISNUMBER(SEARCH(",",G138)),"Several items (the script lists them)",IFERROR(INDEX('Dashboard Items'!$B$2:$B$495,MATCH(G138,'Dashboard Items'!$A$2:$A$495,0))&amp;": "&amp;INDEX('Dashboard Items'!$C$2:$C$495,MATCH(G138,'Dashboard Items'!$A$2:$A$495,0)),"ID not found")))</f>
        <v/>
      </c>
      <c r="I138" s="95"/>
      <c r="J138" s="95"/>
      <c r="K138" s="95"/>
      <c r="L138" s="95"/>
      <c r="M138" s="95"/>
      <c r="N138" s="95"/>
      <c r="O138" s="95"/>
      <c r="P138" s="95"/>
      <c r="Q138" s="95"/>
      <c r="R138" s="95"/>
      <c r="S138" s="95"/>
      <c r="T138" s="95"/>
      <c r="U138" s="99"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94" t="str">
        <f t="shared" si="4"/>
        <v>PR</v>
      </c>
      <c r="B139" s="95" t="s">
        <v>750</v>
      </c>
      <c r="C139" s="96" t="s">
        <v>751</v>
      </c>
      <c r="D139" s="95" t="s">
        <v>30</v>
      </c>
      <c r="E139" s="95" t="s">
        <v>364</v>
      </c>
      <c r="F139" s="9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98"/>
      <c r="H139" s="97" t="str">
        <f>IF(G139="","",IF(ISNUMBER(SEARCH(",",G139)),"Several items (the script lists them)",IFERROR(INDEX('Dashboard Items'!$B$2:$B$495,MATCH(G139,'Dashboard Items'!$A$2:$A$495,0))&amp;": "&amp;INDEX('Dashboard Items'!$C$2:$C$495,MATCH(G139,'Dashboard Items'!$A$2:$A$495,0)),"ID not found")))</f>
        <v/>
      </c>
      <c r="I139" s="95"/>
      <c r="J139" s="95"/>
      <c r="K139" s="95"/>
      <c r="L139" s="95"/>
      <c r="M139" s="95"/>
      <c r="N139" s="95"/>
      <c r="O139" s="95"/>
      <c r="P139" s="95"/>
      <c r="Q139" s="95"/>
      <c r="R139" s="95"/>
      <c r="S139" s="95"/>
      <c r="T139" s="95"/>
      <c r="U139" s="99"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94" t="str">
        <f t="shared" si="4"/>
        <v>PR</v>
      </c>
      <c r="B140" s="95" t="s">
        <v>752</v>
      </c>
      <c r="C140" s="96" t="s">
        <v>753</v>
      </c>
      <c r="D140" s="95" t="s">
        <v>30</v>
      </c>
      <c r="E140" s="95" t="s">
        <v>364</v>
      </c>
      <c r="F140" s="9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98"/>
      <c r="H140" s="97" t="str">
        <f>IF(G140="","",IF(ISNUMBER(SEARCH(",",G140)),"Several items (the script lists them)",IFERROR(INDEX('Dashboard Items'!$B$2:$B$495,MATCH(G140,'Dashboard Items'!$A$2:$A$495,0))&amp;": "&amp;INDEX('Dashboard Items'!$C$2:$C$495,MATCH(G140,'Dashboard Items'!$A$2:$A$495,0)),"ID not found")))</f>
        <v/>
      </c>
      <c r="I140" s="95"/>
      <c r="J140" s="95"/>
      <c r="K140" s="95"/>
      <c r="L140" s="95"/>
      <c r="M140" s="95"/>
      <c r="N140" s="95"/>
      <c r="O140" s="95"/>
      <c r="P140" s="95"/>
      <c r="Q140" s="95"/>
      <c r="R140" s="95"/>
      <c r="S140" s="95"/>
      <c r="T140" s="95"/>
      <c r="U140" s="99"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94" t="str">
        <f t="shared" si="4"/>
        <v>PR</v>
      </c>
      <c r="B141" s="95" t="s">
        <v>754</v>
      </c>
      <c r="C141" s="96" t="s">
        <v>755</v>
      </c>
      <c r="D141" s="95" t="s">
        <v>30</v>
      </c>
      <c r="E141" s="95" t="s">
        <v>368</v>
      </c>
      <c r="F141" s="9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98"/>
      <c r="H141" s="97" t="str">
        <f>IF(G141="","",IF(ISNUMBER(SEARCH(",",G141)),"Several items (the script lists them)",IFERROR(INDEX('Dashboard Items'!$B$2:$B$495,MATCH(G141,'Dashboard Items'!$A$2:$A$495,0))&amp;": "&amp;INDEX('Dashboard Items'!$C$2:$C$495,MATCH(G141,'Dashboard Items'!$A$2:$A$495,0)),"ID not found")))</f>
        <v/>
      </c>
      <c r="I141" s="95"/>
      <c r="J141" s="95"/>
      <c r="K141" s="95"/>
      <c r="L141" s="95"/>
      <c r="M141" s="95"/>
      <c r="N141" s="95"/>
      <c r="O141" s="95"/>
      <c r="P141" s="95"/>
      <c r="Q141" s="95"/>
      <c r="R141" s="95"/>
      <c r="S141" s="95"/>
      <c r="T141" s="95"/>
      <c r="U141" s="99"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94" t="str">
        <f t="shared" si="4"/>
        <v>PR</v>
      </c>
      <c r="B142" s="95" t="s">
        <v>756</v>
      </c>
      <c r="C142" s="96" t="s">
        <v>757</v>
      </c>
      <c r="D142" s="95" t="s">
        <v>30</v>
      </c>
      <c r="E142" s="95" t="s">
        <v>368</v>
      </c>
      <c r="F142" s="9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98"/>
      <c r="H142" s="97" t="str">
        <f>IF(G142="","",IF(ISNUMBER(SEARCH(",",G142)),"Several items (the script lists them)",IFERROR(INDEX('Dashboard Items'!$B$2:$B$495,MATCH(G142,'Dashboard Items'!$A$2:$A$495,0))&amp;": "&amp;INDEX('Dashboard Items'!$C$2:$C$495,MATCH(G142,'Dashboard Items'!$A$2:$A$495,0)),"ID not found")))</f>
        <v/>
      </c>
      <c r="I142" s="95"/>
      <c r="J142" s="95"/>
      <c r="K142" s="95"/>
      <c r="L142" s="95"/>
      <c r="M142" s="95"/>
      <c r="N142" s="95"/>
      <c r="O142" s="95"/>
      <c r="P142" s="95"/>
      <c r="Q142" s="95"/>
      <c r="R142" s="95"/>
      <c r="S142" s="95"/>
      <c r="T142" s="95"/>
      <c r="U142" s="99"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94" t="str">
        <f t="shared" si="4"/>
        <v>PR</v>
      </c>
      <c r="B143" s="95" t="s">
        <v>758</v>
      </c>
      <c r="C143" s="96" t="s">
        <v>373</v>
      </c>
      <c r="D143" s="95" t="s">
        <v>30</v>
      </c>
      <c r="E143" s="95" t="s">
        <v>372</v>
      </c>
      <c r="F143" s="9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98"/>
      <c r="H143" s="97" t="str">
        <f>IF(G143="","",IF(ISNUMBER(SEARCH(",",G143)),"Several items (the script lists them)",IFERROR(INDEX('Dashboard Items'!$B$2:$B$495,MATCH(G143,'Dashboard Items'!$A$2:$A$495,0))&amp;": "&amp;INDEX('Dashboard Items'!$C$2:$C$495,MATCH(G143,'Dashboard Items'!$A$2:$A$495,0)),"ID not found")))</f>
        <v/>
      </c>
      <c r="I143" s="95"/>
      <c r="J143" s="95"/>
      <c r="K143" s="95"/>
      <c r="L143" s="95"/>
      <c r="M143" s="95"/>
      <c r="N143" s="95"/>
      <c r="O143" s="95"/>
      <c r="P143" s="95"/>
      <c r="Q143" s="95"/>
      <c r="R143" s="95"/>
      <c r="S143" s="95"/>
      <c r="T143" s="95"/>
      <c r="U143" s="99"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94" t="str">
        <f t="shared" si="4"/>
        <v>PR</v>
      </c>
      <c r="B144" s="95" t="s">
        <v>759</v>
      </c>
      <c r="C144" s="96" t="s">
        <v>374</v>
      </c>
      <c r="D144" s="95" t="s">
        <v>30</v>
      </c>
      <c r="E144" s="95" t="s">
        <v>372</v>
      </c>
      <c r="F144" s="9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98"/>
      <c r="H144" s="97" t="str">
        <f>IF(G144="","",IF(ISNUMBER(SEARCH(",",G144)),"Several items (the script lists them)",IFERROR(INDEX('Dashboard Items'!$B$2:$B$495,MATCH(G144,'Dashboard Items'!$A$2:$A$495,0))&amp;": "&amp;INDEX('Dashboard Items'!$C$2:$C$495,MATCH(G144,'Dashboard Items'!$A$2:$A$495,0)),"ID not found")))</f>
        <v/>
      </c>
      <c r="I144" s="95"/>
      <c r="J144" s="95"/>
      <c r="K144" s="95"/>
      <c r="L144" s="95"/>
      <c r="M144" s="95"/>
      <c r="N144" s="95"/>
      <c r="O144" s="95"/>
      <c r="P144" s="95"/>
      <c r="Q144" s="95"/>
      <c r="R144" s="95"/>
      <c r="S144" s="95"/>
      <c r="T144" s="95"/>
      <c r="U144" s="99"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94" t="str">
        <f t="shared" si="4"/>
        <v>REC</v>
      </c>
      <c r="B145" s="95" t="s">
        <v>760</v>
      </c>
      <c r="C145" s="96" t="s">
        <v>471</v>
      </c>
      <c r="D145" s="95" t="s">
        <v>29</v>
      </c>
      <c r="E145" s="95" t="s">
        <v>667</v>
      </c>
      <c r="F145" s="9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98"/>
      <c r="H145" s="97" t="str">
        <f>IF(G145="","",IF(ISNUMBER(SEARCH(",",G145)),"Several items (the script lists them)",IFERROR(INDEX('Dashboard Items'!$B$2:$B$495,MATCH(G145,'Dashboard Items'!$A$2:$A$495,0))&amp;": "&amp;INDEX('Dashboard Items'!$C$2:$C$495,MATCH(G145,'Dashboard Items'!$A$2:$A$495,0)),"ID not found")))</f>
        <v/>
      </c>
      <c r="I145" s="95"/>
      <c r="J145" s="95"/>
      <c r="K145" s="95"/>
      <c r="L145" s="95"/>
      <c r="M145" s="95"/>
      <c r="N145" s="95"/>
      <c r="O145" s="95"/>
      <c r="P145" s="95"/>
      <c r="Q145" s="95"/>
      <c r="R145" s="95"/>
      <c r="S145" s="95"/>
      <c r="T145" s="95"/>
      <c r="U145" s="99"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94" t="str">
        <f t="shared" si="4"/>
        <v>REC</v>
      </c>
      <c r="B146" s="95" t="s">
        <v>761</v>
      </c>
      <c r="C146" s="96" t="s">
        <v>472</v>
      </c>
      <c r="D146" s="95" t="s">
        <v>29</v>
      </c>
      <c r="E146" s="95" t="s">
        <v>667</v>
      </c>
      <c r="F146" s="9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98"/>
      <c r="H146" s="97" t="str">
        <f>IF(G146="","",IF(ISNUMBER(SEARCH(",",G146)),"Several items (the script lists them)",IFERROR(INDEX('Dashboard Items'!$B$2:$B$495,MATCH(G146,'Dashboard Items'!$A$2:$A$495,0))&amp;": "&amp;INDEX('Dashboard Items'!$C$2:$C$495,MATCH(G146,'Dashboard Items'!$A$2:$A$495,0)),"ID not found")))</f>
        <v/>
      </c>
      <c r="I146" s="95"/>
      <c r="J146" s="95"/>
      <c r="K146" s="95"/>
      <c r="L146" s="95"/>
      <c r="M146" s="95"/>
      <c r="N146" s="95"/>
      <c r="O146" s="95"/>
      <c r="P146" s="95"/>
      <c r="Q146" s="95"/>
      <c r="R146" s="95"/>
      <c r="S146" s="95"/>
      <c r="T146" s="95"/>
      <c r="U146" s="99"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94" t="str">
        <f t="shared" si="4"/>
        <v>REC</v>
      </c>
      <c r="B147" s="95" t="s">
        <v>762</v>
      </c>
      <c r="C147" s="96" t="s">
        <v>763</v>
      </c>
      <c r="D147" s="95" t="s">
        <v>29</v>
      </c>
      <c r="E147" s="95" t="s">
        <v>667</v>
      </c>
      <c r="F147" s="9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98"/>
      <c r="H147" s="97" t="str">
        <f>IF(G147="","",IF(ISNUMBER(SEARCH(",",G147)),"Several items (the script lists them)",IFERROR(INDEX('Dashboard Items'!$B$2:$B$495,MATCH(G147,'Dashboard Items'!$A$2:$A$495,0))&amp;": "&amp;INDEX('Dashboard Items'!$C$2:$C$495,MATCH(G147,'Dashboard Items'!$A$2:$A$495,0)),"ID not found")))</f>
        <v/>
      </c>
      <c r="I147" s="95"/>
      <c r="J147" s="95"/>
      <c r="K147" s="95"/>
      <c r="L147" s="95"/>
      <c r="M147" s="95"/>
      <c r="N147" s="95"/>
      <c r="O147" s="95"/>
      <c r="P147" s="95"/>
      <c r="Q147" s="95"/>
      <c r="R147" s="95"/>
      <c r="S147" s="95"/>
      <c r="T147" s="95"/>
      <c r="U147" s="99"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94" t="str">
        <f t="shared" si="4"/>
        <v>REC</v>
      </c>
      <c r="B148" s="95" t="s">
        <v>764</v>
      </c>
      <c r="C148" s="96" t="s">
        <v>474</v>
      </c>
      <c r="D148" s="95" t="s">
        <v>29</v>
      </c>
      <c r="E148" s="95" t="s">
        <v>667</v>
      </c>
      <c r="F148" s="9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98"/>
      <c r="H148" s="97" t="str">
        <f>IF(G148="","",IF(ISNUMBER(SEARCH(",",G148)),"Several items (the script lists them)",IFERROR(INDEX('Dashboard Items'!$B$2:$B$495,MATCH(G148,'Dashboard Items'!$A$2:$A$495,0))&amp;": "&amp;INDEX('Dashboard Items'!$C$2:$C$495,MATCH(G148,'Dashboard Items'!$A$2:$A$495,0)),"ID not found")))</f>
        <v/>
      </c>
      <c r="I148" s="95"/>
      <c r="J148" s="95"/>
      <c r="K148" s="95"/>
      <c r="L148" s="95"/>
      <c r="M148" s="95"/>
      <c r="N148" s="95"/>
      <c r="O148" s="95"/>
      <c r="P148" s="95"/>
      <c r="Q148" s="95"/>
      <c r="R148" s="95"/>
      <c r="S148" s="95"/>
      <c r="T148" s="95"/>
      <c r="U148" s="99"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94" t="str">
        <f t="shared" si="4"/>
        <v>REC</v>
      </c>
      <c r="B149" s="95" t="s">
        <v>765</v>
      </c>
      <c r="C149" s="96" t="s">
        <v>378</v>
      </c>
      <c r="D149" s="95" t="s">
        <v>30</v>
      </c>
      <c r="E149" s="95" t="s">
        <v>377</v>
      </c>
      <c r="F149" s="9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98"/>
      <c r="H149" s="97" t="str">
        <f>IF(G149="","",IF(ISNUMBER(SEARCH(",",G149)),"Several items (the script lists them)",IFERROR(INDEX('Dashboard Items'!$B$2:$B$495,MATCH(G149,'Dashboard Items'!$A$2:$A$495,0))&amp;": "&amp;INDEX('Dashboard Items'!$C$2:$C$495,MATCH(G149,'Dashboard Items'!$A$2:$A$495,0)),"ID not found")))</f>
        <v/>
      </c>
      <c r="I149" s="95"/>
      <c r="J149" s="95"/>
      <c r="K149" s="95"/>
      <c r="L149" s="95"/>
      <c r="M149" s="95"/>
      <c r="N149" s="95"/>
      <c r="O149" s="95"/>
      <c r="P149" s="95"/>
      <c r="Q149" s="95"/>
      <c r="R149" s="95"/>
      <c r="S149" s="95"/>
      <c r="T149" s="95"/>
      <c r="U149" s="99"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94" t="str">
        <f t="shared" si="4"/>
        <v>REC</v>
      </c>
      <c r="B150" s="95" t="s">
        <v>766</v>
      </c>
      <c r="C150" s="96" t="s">
        <v>379</v>
      </c>
      <c r="D150" s="95" t="s">
        <v>30</v>
      </c>
      <c r="E150" s="95" t="s">
        <v>377</v>
      </c>
      <c r="F150" s="9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98"/>
      <c r="H150" s="97" t="str">
        <f>IF(G150="","",IF(ISNUMBER(SEARCH(",",G150)),"Several items (the script lists them)",IFERROR(INDEX('Dashboard Items'!$B$2:$B$495,MATCH(G150,'Dashboard Items'!$A$2:$A$495,0))&amp;": "&amp;INDEX('Dashboard Items'!$C$2:$C$495,MATCH(G150,'Dashboard Items'!$A$2:$A$495,0)),"ID not found")))</f>
        <v/>
      </c>
      <c r="I150" s="95"/>
      <c r="J150" s="95"/>
      <c r="K150" s="95"/>
      <c r="L150" s="95"/>
      <c r="M150" s="95"/>
      <c r="N150" s="95"/>
      <c r="O150" s="95"/>
      <c r="P150" s="95"/>
      <c r="Q150" s="95"/>
      <c r="R150" s="95"/>
      <c r="S150" s="95"/>
      <c r="T150" s="95"/>
      <c r="U150" s="99"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94" t="str">
        <f t="shared" si="4"/>
        <v>REC</v>
      </c>
      <c r="B151" s="95" t="s">
        <v>767</v>
      </c>
      <c r="C151" s="96" t="s">
        <v>382</v>
      </c>
      <c r="D151" s="95" t="s">
        <v>30</v>
      </c>
      <c r="E151" s="95" t="s">
        <v>381</v>
      </c>
      <c r="F151" s="9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98"/>
      <c r="H151" s="97" t="str">
        <f>IF(G151="","",IF(ISNUMBER(SEARCH(",",G151)),"Several items (the script lists them)",IFERROR(INDEX('Dashboard Items'!$B$2:$B$495,MATCH(G151,'Dashboard Items'!$A$2:$A$495,0))&amp;": "&amp;INDEX('Dashboard Items'!$C$2:$C$495,MATCH(G151,'Dashboard Items'!$A$2:$A$495,0)),"ID not found")))</f>
        <v/>
      </c>
      <c r="I151" s="95"/>
      <c r="J151" s="95"/>
      <c r="K151" s="95"/>
      <c r="L151" s="95"/>
      <c r="M151" s="95"/>
      <c r="N151" s="95"/>
      <c r="O151" s="95"/>
      <c r="P151" s="95"/>
      <c r="Q151" s="95"/>
      <c r="R151" s="95"/>
      <c r="S151" s="95"/>
      <c r="T151" s="95"/>
      <c r="U151" s="99"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94" t="str">
        <f t="shared" si="4"/>
        <v>REC</v>
      </c>
      <c r="B152" s="95" t="s">
        <v>768</v>
      </c>
      <c r="C152" s="96" t="s">
        <v>385</v>
      </c>
      <c r="D152" s="95" t="s">
        <v>30</v>
      </c>
      <c r="E152" s="95" t="s">
        <v>384</v>
      </c>
      <c r="F152" s="9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98"/>
      <c r="H152" s="97" t="str">
        <f>IF(G152="","",IF(ISNUMBER(SEARCH(",",G152)),"Several items (the script lists them)",IFERROR(INDEX('Dashboard Items'!$B$2:$B$495,MATCH(G152,'Dashboard Items'!$A$2:$A$495,0))&amp;": "&amp;INDEX('Dashboard Items'!$C$2:$C$495,MATCH(G152,'Dashboard Items'!$A$2:$A$495,0)),"ID not found")))</f>
        <v/>
      </c>
      <c r="I152" s="95"/>
      <c r="J152" s="95"/>
      <c r="K152" s="95"/>
      <c r="L152" s="95"/>
      <c r="M152" s="95"/>
      <c r="N152" s="95"/>
      <c r="O152" s="95"/>
      <c r="P152" s="95"/>
      <c r="Q152" s="95"/>
      <c r="R152" s="95"/>
      <c r="S152" s="95"/>
      <c r="T152" s="95"/>
      <c r="U152" s="99"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94" t="str">
        <f t="shared" si="4"/>
        <v>REC</v>
      </c>
      <c r="B153" s="95" t="s">
        <v>769</v>
      </c>
      <c r="C153" s="96" t="s">
        <v>388</v>
      </c>
      <c r="D153" s="95" t="s">
        <v>30</v>
      </c>
      <c r="E153" s="95" t="s">
        <v>387</v>
      </c>
      <c r="F153" s="9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98"/>
      <c r="H153" s="97" t="str">
        <f>IF(G153="","",IF(ISNUMBER(SEARCH(",",G153)),"Several items (the script lists them)",IFERROR(INDEX('Dashboard Items'!$B$2:$B$495,MATCH(G153,'Dashboard Items'!$A$2:$A$495,0))&amp;": "&amp;INDEX('Dashboard Items'!$C$2:$C$495,MATCH(G153,'Dashboard Items'!$A$2:$A$495,0)),"ID not found")))</f>
        <v/>
      </c>
      <c r="I153" s="95"/>
      <c r="J153" s="95"/>
      <c r="K153" s="95"/>
      <c r="L153" s="95"/>
      <c r="M153" s="95"/>
      <c r="N153" s="95"/>
      <c r="O153" s="95"/>
      <c r="P153" s="95"/>
      <c r="Q153" s="95"/>
      <c r="R153" s="95"/>
      <c r="S153" s="95"/>
      <c r="T153" s="95"/>
      <c r="U153" s="99"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94" t="str">
        <f t="shared" si="4"/>
        <v>REC</v>
      </c>
      <c r="B154" s="95" t="s">
        <v>770</v>
      </c>
      <c r="C154" s="96" t="s">
        <v>389</v>
      </c>
      <c r="D154" s="95" t="s">
        <v>30</v>
      </c>
      <c r="E154" s="95" t="s">
        <v>387</v>
      </c>
      <c r="F154" s="9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98"/>
      <c r="H154" s="97" t="str">
        <f>IF(G154="","",IF(ISNUMBER(SEARCH(",",G154)),"Several items (the script lists them)",IFERROR(INDEX('Dashboard Items'!$B$2:$B$495,MATCH(G154,'Dashboard Items'!$A$2:$A$495,0))&amp;": "&amp;INDEX('Dashboard Items'!$C$2:$C$495,MATCH(G154,'Dashboard Items'!$A$2:$A$495,0)),"ID not found")))</f>
        <v/>
      </c>
      <c r="I154" s="95"/>
      <c r="J154" s="95"/>
      <c r="K154" s="95"/>
      <c r="L154" s="95"/>
      <c r="M154" s="95"/>
      <c r="N154" s="95"/>
      <c r="O154" s="95"/>
      <c r="P154" s="95"/>
      <c r="Q154" s="95"/>
      <c r="R154" s="95"/>
      <c r="S154" s="95"/>
      <c r="T154" s="95"/>
      <c r="U154" s="99"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94" t="str">
        <f t="shared" si="4"/>
        <v>REC</v>
      </c>
      <c r="B155" s="95" t="s">
        <v>771</v>
      </c>
      <c r="C155" s="96" t="s">
        <v>392</v>
      </c>
      <c r="D155" s="95" t="s">
        <v>30</v>
      </c>
      <c r="E155" s="95" t="s">
        <v>391</v>
      </c>
      <c r="F155" s="9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98"/>
      <c r="H155" s="97" t="str">
        <f>IF(G155="","",IF(ISNUMBER(SEARCH(",",G155)),"Several items (the script lists them)",IFERROR(INDEX('Dashboard Items'!$B$2:$B$495,MATCH(G155,'Dashboard Items'!$A$2:$A$495,0))&amp;": "&amp;INDEX('Dashboard Items'!$C$2:$C$495,MATCH(G155,'Dashboard Items'!$A$2:$A$495,0)),"ID not found")))</f>
        <v/>
      </c>
      <c r="I155" s="95"/>
      <c r="J155" s="95"/>
      <c r="K155" s="95"/>
      <c r="L155" s="95"/>
      <c r="M155" s="95"/>
      <c r="N155" s="95"/>
      <c r="O155" s="95"/>
      <c r="P155" s="95"/>
      <c r="Q155" s="95"/>
      <c r="R155" s="95"/>
      <c r="S155" s="95"/>
      <c r="T155" s="95"/>
      <c r="U155" s="99"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94" t="str">
        <f t="shared" si="4"/>
        <v>REC</v>
      </c>
      <c r="B156" s="95" t="s">
        <v>772</v>
      </c>
      <c r="C156" s="96" t="s">
        <v>395</v>
      </c>
      <c r="D156" s="95" t="s">
        <v>30</v>
      </c>
      <c r="E156" s="95" t="s">
        <v>394</v>
      </c>
      <c r="F156" s="9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98"/>
      <c r="H156" s="97" t="str">
        <f>IF(G156="","",IF(ISNUMBER(SEARCH(",",G156)),"Several items (the script lists them)",IFERROR(INDEX('Dashboard Items'!$B$2:$B$495,MATCH(G156,'Dashboard Items'!$A$2:$A$495,0))&amp;": "&amp;INDEX('Dashboard Items'!$C$2:$C$495,MATCH(G156,'Dashboard Items'!$A$2:$A$495,0)),"ID not found")))</f>
        <v/>
      </c>
      <c r="I156" s="95"/>
      <c r="J156" s="95"/>
      <c r="K156" s="95"/>
      <c r="L156" s="95"/>
      <c r="M156" s="95"/>
      <c r="N156" s="95"/>
      <c r="O156" s="95"/>
      <c r="P156" s="95"/>
      <c r="Q156" s="95"/>
      <c r="R156" s="95"/>
      <c r="S156" s="95"/>
      <c r="T156" s="95"/>
      <c r="U156" s="99"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37"/>
      <c r="C157" s="137"/>
      <c r="D157" s="137"/>
      <c r="E157" s="137"/>
      <c r="F157" s="138"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39"/>
      <c r="H157" s="138" t="str">
        <f>IF(G157="","",IF(ISNUMBER(SEARCH(",",G157)),"Several items (the script lists them)",IFERROR(INDEX('Dashboard Items'!$B$2:$B$495,MATCH(G157,'Dashboard Items'!$A$2:$A$495,0))&amp;": "&amp;INDEX('Dashboard Items'!$C$2:$C$495,MATCH(G157,'Dashboard Items'!$A$2:$A$495,0)),"ID not found")))</f>
        <v/>
      </c>
      <c r="I157" s="137"/>
      <c r="J157" s="137"/>
      <c r="K157" s="137"/>
      <c r="L157" s="137"/>
      <c r="M157" s="137"/>
      <c r="N157" s="137"/>
      <c r="O157" s="137"/>
      <c r="P157" s="137"/>
      <c r="Q157" s="137"/>
      <c r="R157" s="137"/>
      <c r="S157" s="137"/>
      <c r="T157" s="137"/>
      <c r="U157" s="99"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37"/>
      <c r="C158" s="137"/>
      <c r="D158" s="137"/>
      <c r="E158" s="137"/>
      <c r="F158" s="138"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39"/>
      <c r="H158" s="138" t="str">
        <f>IF(G158="","",IF(ISNUMBER(SEARCH(",",G158)),"Several items (the script lists them)",IFERROR(INDEX('Dashboard Items'!$B$2:$B$495,MATCH(G158,'Dashboard Items'!$A$2:$A$495,0))&amp;": "&amp;INDEX('Dashboard Items'!$C$2:$C$495,MATCH(G158,'Dashboard Items'!$A$2:$A$495,0)),"ID not found")))</f>
        <v/>
      </c>
      <c r="I158" s="137"/>
      <c r="J158" s="137"/>
      <c r="K158" s="137"/>
      <c r="L158" s="137"/>
      <c r="M158" s="137"/>
      <c r="N158" s="137"/>
      <c r="O158" s="137"/>
      <c r="P158" s="137"/>
      <c r="Q158" s="137"/>
      <c r="R158" s="137"/>
      <c r="S158" s="137"/>
      <c r="T158" s="137"/>
      <c r="U158" s="99"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37"/>
      <c r="C159" s="137"/>
      <c r="D159" s="137"/>
      <c r="E159" s="137"/>
      <c r="F159" s="138"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39"/>
      <c r="H159" s="138" t="str">
        <f>IF(G159="","",IF(ISNUMBER(SEARCH(",",G159)),"Several items (the script lists them)",IFERROR(INDEX('Dashboard Items'!$B$2:$B$495,MATCH(G159,'Dashboard Items'!$A$2:$A$495,0))&amp;": "&amp;INDEX('Dashboard Items'!$C$2:$C$495,MATCH(G159,'Dashboard Items'!$A$2:$A$495,0)),"ID not found")))</f>
        <v/>
      </c>
      <c r="I159" s="137"/>
      <c r="J159" s="137"/>
      <c r="K159" s="137"/>
      <c r="L159" s="137"/>
      <c r="M159" s="137"/>
      <c r="N159" s="137"/>
      <c r="O159" s="137"/>
      <c r="P159" s="137"/>
      <c r="Q159" s="137"/>
      <c r="R159" s="137"/>
      <c r="S159" s="137"/>
      <c r="T159" s="137"/>
      <c r="U159" s="99"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37"/>
      <c r="C160" s="137"/>
      <c r="D160" s="137"/>
      <c r="E160" s="137"/>
      <c r="F160" s="138"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39"/>
      <c r="H160" s="138" t="str">
        <f>IF(G160="","",IF(ISNUMBER(SEARCH(",",G160)),"Several items (the script lists them)",IFERROR(INDEX('Dashboard Items'!$B$2:$B$495,MATCH(G160,'Dashboard Items'!$A$2:$A$495,0))&amp;": "&amp;INDEX('Dashboard Items'!$C$2:$C$495,MATCH(G160,'Dashboard Items'!$A$2:$A$495,0)),"ID not found")))</f>
        <v/>
      </c>
      <c r="I160" s="137"/>
      <c r="J160" s="137"/>
      <c r="K160" s="137"/>
      <c r="L160" s="137"/>
      <c r="M160" s="137"/>
      <c r="N160" s="137"/>
      <c r="O160" s="137"/>
      <c r="P160" s="137"/>
      <c r="Q160" s="137"/>
      <c r="R160" s="137"/>
      <c r="S160" s="137"/>
      <c r="T160" s="137"/>
      <c r="U160" s="99"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37"/>
      <c r="C161" s="137"/>
      <c r="D161" s="137"/>
      <c r="E161" s="137"/>
      <c r="F161" s="138"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39"/>
      <c r="H161" s="138" t="str">
        <f>IF(G161="","",IF(ISNUMBER(SEARCH(",",G161)),"Several items (the script lists them)",IFERROR(INDEX('Dashboard Items'!$B$2:$B$495,MATCH(G161,'Dashboard Items'!$A$2:$A$495,0))&amp;": "&amp;INDEX('Dashboard Items'!$C$2:$C$495,MATCH(G161,'Dashboard Items'!$A$2:$A$495,0)),"ID not found")))</f>
        <v/>
      </c>
      <c r="I161" s="137"/>
      <c r="J161" s="137"/>
      <c r="K161" s="137"/>
      <c r="L161" s="137"/>
      <c r="M161" s="137"/>
      <c r="N161" s="137"/>
      <c r="O161" s="137"/>
      <c r="P161" s="137"/>
      <c r="Q161" s="137"/>
      <c r="R161" s="137"/>
      <c r="S161" s="137"/>
      <c r="T161" s="137"/>
      <c r="U161" s="99"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37"/>
      <c r="C162" s="137"/>
      <c r="D162" s="137"/>
      <c r="E162" s="137"/>
      <c r="F162" s="138"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39"/>
      <c r="H162" s="138" t="str">
        <f>IF(G162="","",IF(ISNUMBER(SEARCH(",",G162)),"Several items (the script lists them)",IFERROR(INDEX('Dashboard Items'!$B$2:$B$495,MATCH(G162,'Dashboard Items'!$A$2:$A$495,0))&amp;": "&amp;INDEX('Dashboard Items'!$C$2:$C$495,MATCH(G162,'Dashboard Items'!$A$2:$A$495,0)),"ID not found")))</f>
        <v/>
      </c>
      <c r="I162" s="137"/>
      <c r="J162" s="137"/>
      <c r="K162" s="137"/>
      <c r="L162" s="137"/>
      <c r="M162" s="137"/>
      <c r="N162" s="137"/>
      <c r="O162" s="137"/>
      <c r="P162" s="137"/>
      <c r="Q162" s="137"/>
      <c r="R162" s="137"/>
      <c r="S162" s="137"/>
      <c r="T162" s="137"/>
      <c r="U162" s="99"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37"/>
      <c r="C163" s="137"/>
      <c r="D163" s="137"/>
      <c r="E163" s="137"/>
      <c r="F163" s="138"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39"/>
      <c r="H163" s="138" t="str">
        <f>IF(G163="","",IF(ISNUMBER(SEARCH(",",G163)),"Several items (the script lists them)",IFERROR(INDEX('Dashboard Items'!$B$2:$B$495,MATCH(G163,'Dashboard Items'!$A$2:$A$495,0))&amp;": "&amp;INDEX('Dashboard Items'!$C$2:$C$495,MATCH(G163,'Dashboard Items'!$A$2:$A$495,0)),"ID not found")))</f>
        <v/>
      </c>
      <c r="I163" s="137"/>
      <c r="J163" s="137"/>
      <c r="K163" s="137"/>
      <c r="L163" s="137"/>
      <c r="M163" s="137"/>
      <c r="N163" s="137"/>
      <c r="O163" s="137"/>
      <c r="P163" s="137"/>
      <c r="Q163" s="137"/>
      <c r="R163" s="137"/>
      <c r="S163" s="137"/>
      <c r="T163" s="137"/>
      <c r="U163" s="99"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37"/>
      <c r="C164" s="137"/>
      <c r="D164" s="137"/>
      <c r="E164" s="137"/>
      <c r="F164" s="138"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39"/>
      <c r="H164" s="138" t="str">
        <f>IF(G164="","",IF(ISNUMBER(SEARCH(",",G164)),"Several items (the script lists them)",IFERROR(INDEX('Dashboard Items'!$B$2:$B$495,MATCH(G164,'Dashboard Items'!$A$2:$A$495,0))&amp;": "&amp;INDEX('Dashboard Items'!$C$2:$C$495,MATCH(G164,'Dashboard Items'!$A$2:$A$495,0)),"ID not found")))</f>
        <v/>
      </c>
      <c r="I164" s="137"/>
      <c r="J164" s="137"/>
      <c r="K164" s="137"/>
      <c r="L164" s="137"/>
      <c r="M164" s="137"/>
      <c r="N164" s="137"/>
      <c r="O164" s="137"/>
      <c r="P164" s="137"/>
      <c r="Q164" s="137"/>
      <c r="R164" s="137"/>
      <c r="S164" s="137"/>
      <c r="T164" s="137"/>
      <c r="U164" s="99"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37"/>
      <c r="C165" s="137"/>
      <c r="D165" s="137"/>
      <c r="E165" s="137"/>
      <c r="F165" s="138"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39"/>
      <c r="H165" s="138" t="str">
        <f>IF(G165="","",IF(ISNUMBER(SEARCH(",",G165)),"Several items (the script lists them)",IFERROR(INDEX('Dashboard Items'!$B$2:$B$495,MATCH(G165,'Dashboard Items'!$A$2:$A$495,0))&amp;": "&amp;INDEX('Dashboard Items'!$C$2:$C$495,MATCH(G165,'Dashboard Items'!$A$2:$A$495,0)),"ID not found")))</f>
        <v/>
      </c>
      <c r="I165" s="137"/>
      <c r="J165" s="137"/>
      <c r="K165" s="137"/>
      <c r="L165" s="137"/>
      <c r="M165" s="137"/>
      <c r="N165" s="137"/>
      <c r="O165" s="137"/>
      <c r="P165" s="137"/>
      <c r="Q165" s="137"/>
      <c r="R165" s="137"/>
      <c r="S165" s="137"/>
      <c r="T165" s="137"/>
      <c r="U165" s="99"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37"/>
      <c r="C166" s="137"/>
      <c r="D166" s="137"/>
      <c r="E166" s="137"/>
      <c r="F166" s="138"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39"/>
      <c r="H166" s="138" t="str">
        <f>IF(G166="","",IF(ISNUMBER(SEARCH(",",G166)),"Several items (the script lists them)",IFERROR(INDEX('Dashboard Items'!$B$2:$B$495,MATCH(G166,'Dashboard Items'!$A$2:$A$495,0))&amp;": "&amp;INDEX('Dashboard Items'!$C$2:$C$495,MATCH(G166,'Dashboard Items'!$A$2:$A$495,0)),"ID not found")))</f>
        <v/>
      </c>
      <c r="I166" s="137"/>
      <c r="J166" s="137"/>
      <c r="K166" s="137"/>
      <c r="L166" s="137"/>
      <c r="M166" s="137"/>
      <c r="N166" s="137"/>
      <c r="O166" s="137"/>
      <c r="P166" s="137"/>
      <c r="Q166" s="137"/>
      <c r="R166" s="137"/>
      <c r="S166" s="137"/>
      <c r="T166" s="137"/>
      <c r="U166" s="99"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37"/>
      <c r="C167" s="137"/>
      <c r="D167" s="137"/>
      <c r="E167" s="137"/>
      <c r="F167" s="138"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39"/>
      <c r="H167" s="138" t="str">
        <f>IF(G167="","",IF(ISNUMBER(SEARCH(",",G167)),"Several items (the script lists them)",IFERROR(INDEX('Dashboard Items'!$B$2:$B$495,MATCH(G167,'Dashboard Items'!$A$2:$A$495,0))&amp;": "&amp;INDEX('Dashboard Items'!$C$2:$C$495,MATCH(G167,'Dashboard Items'!$A$2:$A$495,0)),"ID not found")))</f>
        <v/>
      </c>
      <c r="I167" s="137"/>
      <c r="J167" s="137"/>
      <c r="K167" s="137"/>
      <c r="L167" s="137"/>
      <c r="M167" s="137"/>
      <c r="N167" s="137"/>
      <c r="O167" s="137"/>
      <c r="P167" s="137"/>
      <c r="Q167" s="137"/>
      <c r="R167" s="137"/>
      <c r="S167" s="137"/>
      <c r="T167" s="137"/>
      <c r="U167" s="99"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37"/>
      <c r="C168" s="137"/>
      <c r="D168" s="137"/>
      <c r="E168" s="137"/>
      <c r="F168" s="138"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39"/>
      <c r="H168" s="138" t="str">
        <f>IF(G168="","",IF(ISNUMBER(SEARCH(",",G168)),"Several items (the script lists them)",IFERROR(INDEX('Dashboard Items'!$B$2:$B$495,MATCH(G168,'Dashboard Items'!$A$2:$A$495,0))&amp;": "&amp;INDEX('Dashboard Items'!$C$2:$C$495,MATCH(G168,'Dashboard Items'!$A$2:$A$495,0)),"ID not found")))</f>
        <v/>
      </c>
      <c r="I168" s="137"/>
      <c r="J168" s="137"/>
      <c r="K168" s="137"/>
      <c r="L168" s="137"/>
      <c r="M168" s="137"/>
      <c r="N168" s="137"/>
      <c r="O168" s="137"/>
      <c r="P168" s="137"/>
      <c r="Q168" s="137"/>
      <c r="R168" s="137"/>
      <c r="S168" s="137"/>
      <c r="T168" s="137"/>
      <c r="U168" s="99"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37"/>
      <c r="C169" s="137"/>
      <c r="D169" s="137"/>
      <c r="E169" s="137"/>
      <c r="F169" s="138"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39"/>
      <c r="H169" s="138" t="str">
        <f>IF(G169="","",IF(ISNUMBER(SEARCH(",",G169)),"Several items (the script lists them)",IFERROR(INDEX('Dashboard Items'!$B$2:$B$495,MATCH(G169,'Dashboard Items'!$A$2:$A$495,0))&amp;": "&amp;INDEX('Dashboard Items'!$C$2:$C$495,MATCH(G169,'Dashboard Items'!$A$2:$A$495,0)),"ID not found")))</f>
        <v/>
      </c>
      <c r="I169" s="137"/>
      <c r="J169" s="137"/>
      <c r="K169" s="137"/>
      <c r="L169" s="137"/>
      <c r="M169" s="137"/>
      <c r="N169" s="137"/>
      <c r="O169" s="137"/>
      <c r="P169" s="137"/>
      <c r="Q169" s="137"/>
      <c r="R169" s="137"/>
      <c r="S169" s="137"/>
      <c r="T169" s="137"/>
      <c r="U169" s="99"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37"/>
      <c r="C170" s="137"/>
      <c r="D170" s="137"/>
      <c r="E170" s="137"/>
      <c r="F170" s="138"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39"/>
      <c r="H170" s="138" t="str">
        <f>IF(G170="","",IF(ISNUMBER(SEARCH(",",G170)),"Several items (the script lists them)",IFERROR(INDEX('Dashboard Items'!$B$2:$B$495,MATCH(G170,'Dashboard Items'!$A$2:$A$495,0))&amp;": "&amp;INDEX('Dashboard Items'!$C$2:$C$495,MATCH(G170,'Dashboard Items'!$A$2:$A$495,0)),"ID not found")))</f>
        <v/>
      </c>
      <c r="I170" s="137"/>
      <c r="J170" s="137"/>
      <c r="K170" s="137"/>
      <c r="L170" s="137"/>
      <c r="M170" s="137"/>
      <c r="N170" s="137"/>
      <c r="O170" s="137"/>
      <c r="P170" s="137"/>
      <c r="Q170" s="137"/>
      <c r="R170" s="137"/>
      <c r="S170" s="137"/>
      <c r="T170" s="137"/>
      <c r="U170" s="99"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37"/>
      <c r="C171" s="137"/>
      <c r="D171" s="137"/>
      <c r="E171" s="137"/>
      <c r="F171" s="138"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39"/>
      <c r="H171" s="138" t="str">
        <f>IF(G171="","",IF(ISNUMBER(SEARCH(",",G171)),"Several items (the script lists them)",IFERROR(INDEX('Dashboard Items'!$B$2:$B$495,MATCH(G171,'Dashboard Items'!$A$2:$A$495,0))&amp;": "&amp;INDEX('Dashboard Items'!$C$2:$C$495,MATCH(G171,'Dashboard Items'!$A$2:$A$495,0)),"ID not found")))</f>
        <v/>
      </c>
      <c r="I171" s="137"/>
      <c r="J171" s="137"/>
      <c r="K171" s="137"/>
      <c r="L171" s="137"/>
      <c r="M171" s="137"/>
      <c r="N171" s="137"/>
      <c r="O171" s="137"/>
      <c r="P171" s="137"/>
      <c r="Q171" s="137"/>
      <c r="R171" s="137"/>
      <c r="S171" s="137"/>
      <c r="T171" s="137"/>
      <c r="U171" s="99"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37"/>
      <c r="C172" s="137"/>
      <c r="D172" s="137"/>
      <c r="E172" s="137"/>
      <c r="F172" s="138"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39"/>
      <c r="H172" s="138" t="str">
        <f>IF(G172="","",IF(ISNUMBER(SEARCH(",",G172)),"Several items (the script lists them)",IFERROR(INDEX('Dashboard Items'!$B$2:$B$495,MATCH(G172,'Dashboard Items'!$A$2:$A$495,0))&amp;": "&amp;INDEX('Dashboard Items'!$C$2:$C$495,MATCH(G172,'Dashboard Items'!$A$2:$A$495,0)),"ID not found")))</f>
        <v/>
      </c>
      <c r="I172" s="137"/>
      <c r="J172" s="137"/>
      <c r="K172" s="137"/>
      <c r="L172" s="137"/>
      <c r="M172" s="137"/>
      <c r="N172" s="137"/>
      <c r="O172" s="137"/>
      <c r="P172" s="137"/>
      <c r="Q172" s="137"/>
      <c r="R172" s="137"/>
      <c r="S172" s="137"/>
      <c r="T172" s="137"/>
      <c r="U172" s="99"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37"/>
      <c r="C173" s="137"/>
      <c r="D173" s="137"/>
      <c r="E173" s="137"/>
      <c r="F173" s="138"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39"/>
      <c r="H173" s="138" t="str">
        <f>IF(G173="","",IF(ISNUMBER(SEARCH(",",G173)),"Several items (the script lists them)",IFERROR(INDEX('Dashboard Items'!$B$2:$B$495,MATCH(G173,'Dashboard Items'!$A$2:$A$495,0))&amp;": "&amp;INDEX('Dashboard Items'!$C$2:$C$495,MATCH(G173,'Dashboard Items'!$A$2:$A$495,0)),"ID not found")))</f>
        <v/>
      </c>
      <c r="I173" s="137"/>
      <c r="J173" s="137"/>
      <c r="K173" s="137"/>
      <c r="L173" s="137"/>
      <c r="M173" s="137"/>
      <c r="N173" s="137"/>
      <c r="O173" s="137"/>
      <c r="P173" s="137"/>
      <c r="Q173" s="137"/>
      <c r="R173" s="137"/>
      <c r="S173" s="137"/>
      <c r="T173" s="137"/>
      <c r="U173" s="99"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37"/>
      <c r="C174" s="137"/>
      <c r="D174" s="137"/>
      <c r="E174" s="137"/>
      <c r="F174" s="138"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39"/>
      <c r="H174" s="138" t="str">
        <f>IF(G174="","",IF(ISNUMBER(SEARCH(",",G174)),"Several items (the script lists them)",IFERROR(INDEX('Dashboard Items'!$B$2:$B$495,MATCH(G174,'Dashboard Items'!$A$2:$A$495,0))&amp;": "&amp;INDEX('Dashboard Items'!$C$2:$C$495,MATCH(G174,'Dashboard Items'!$A$2:$A$495,0)),"ID not found")))</f>
        <v/>
      </c>
      <c r="I174" s="137"/>
      <c r="J174" s="137"/>
      <c r="K174" s="137"/>
      <c r="L174" s="137"/>
      <c r="M174" s="137"/>
      <c r="N174" s="137"/>
      <c r="O174" s="137"/>
      <c r="P174" s="137"/>
      <c r="Q174" s="137"/>
      <c r="R174" s="137"/>
      <c r="S174" s="137"/>
      <c r="T174" s="137"/>
      <c r="U174" s="99"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37"/>
      <c r="C175" s="137"/>
      <c r="D175" s="137"/>
      <c r="E175" s="137"/>
      <c r="F175" s="138"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39"/>
      <c r="H175" s="138" t="str">
        <f>IF(G175="","",IF(ISNUMBER(SEARCH(",",G175)),"Several items (the script lists them)",IFERROR(INDEX('Dashboard Items'!$B$2:$B$495,MATCH(G175,'Dashboard Items'!$A$2:$A$495,0))&amp;": "&amp;INDEX('Dashboard Items'!$C$2:$C$495,MATCH(G175,'Dashboard Items'!$A$2:$A$495,0)),"ID not found")))</f>
        <v/>
      </c>
      <c r="I175" s="137"/>
      <c r="J175" s="137"/>
      <c r="K175" s="137"/>
      <c r="L175" s="137"/>
      <c r="M175" s="137"/>
      <c r="N175" s="137"/>
      <c r="O175" s="137"/>
      <c r="P175" s="137"/>
      <c r="Q175" s="137"/>
      <c r="R175" s="137"/>
      <c r="S175" s="137"/>
      <c r="T175" s="137"/>
      <c r="U175" s="99"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37"/>
      <c r="C176" s="137"/>
      <c r="D176" s="137"/>
      <c r="E176" s="137"/>
      <c r="F176" s="138"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39"/>
      <c r="H176" s="138" t="str">
        <f>IF(G176="","",IF(ISNUMBER(SEARCH(",",G176)),"Several items (the script lists them)",IFERROR(INDEX('Dashboard Items'!$B$2:$B$495,MATCH(G176,'Dashboard Items'!$A$2:$A$495,0))&amp;": "&amp;INDEX('Dashboard Items'!$C$2:$C$495,MATCH(G176,'Dashboard Items'!$A$2:$A$495,0)),"ID not found")))</f>
        <v/>
      </c>
      <c r="I176" s="137"/>
      <c r="J176" s="137"/>
      <c r="K176" s="137"/>
      <c r="L176" s="137"/>
      <c r="M176" s="137"/>
      <c r="N176" s="137"/>
      <c r="O176" s="137"/>
      <c r="P176" s="137"/>
      <c r="Q176" s="137"/>
      <c r="R176" s="137"/>
      <c r="S176" s="137"/>
      <c r="T176" s="137"/>
      <c r="U176" s="99"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37"/>
      <c r="C177" s="137"/>
      <c r="D177" s="137"/>
      <c r="E177" s="137"/>
      <c r="F177" s="138"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39"/>
      <c r="H177" s="138" t="str">
        <f>IF(G177="","",IF(ISNUMBER(SEARCH(",",G177)),"Several items (the script lists them)",IFERROR(INDEX('Dashboard Items'!$B$2:$B$495,MATCH(G177,'Dashboard Items'!$A$2:$A$495,0))&amp;": "&amp;INDEX('Dashboard Items'!$C$2:$C$495,MATCH(G177,'Dashboard Items'!$A$2:$A$495,0)),"ID not found")))</f>
        <v/>
      </c>
      <c r="I177" s="137"/>
      <c r="J177" s="137"/>
      <c r="K177" s="137"/>
      <c r="L177" s="137"/>
      <c r="M177" s="137"/>
      <c r="N177" s="137"/>
      <c r="O177" s="137"/>
      <c r="P177" s="137"/>
      <c r="Q177" s="137"/>
      <c r="R177" s="137"/>
      <c r="S177" s="137"/>
      <c r="T177" s="137"/>
      <c r="U177" s="99"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37"/>
      <c r="C178" s="137"/>
      <c r="D178" s="137"/>
      <c r="E178" s="137"/>
      <c r="F178" s="138"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39"/>
      <c r="H178" s="138" t="str">
        <f>IF(G178="","",IF(ISNUMBER(SEARCH(",",G178)),"Several items (the script lists them)",IFERROR(INDEX('Dashboard Items'!$B$2:$B$495,MATCH(G178,'Dashboard Items'!$A$2:$A$495,0))&amp;": "&amp;INDEX('Dashboard Items'!$C$2:$C$495,MATCH(G178,'Dashboard Items'!$A$2:$A$495,0)),"ID not found")))</f>
        <v/>
      </c>
      <c r="I178" s="137"/>
      <c r="J178" s="137"/>
      <c r="K178" s="137"/>
      <c r="L178" s="137"/>
      <c r="M178" s="137"/>
      <c r="N178" s="137"/>
      <c r="O178" s="137"/>
      <c r="P178" s="137"/>
      <c r="Q178" s="137"/>
      <c r="R178" s="137"/>
      <c r="S178" s="137"/>
      <c r="T178" s="137"/>
      <c r="U178" s="99"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37"/>
      <c r="C179" s="137"/>
      <c r="D179" s="137"/>
      <c r="E179" s="137"/>
      <c r="F179" s="138"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39"/>
      <c r="H179" s="138" t="str">
        <f>IF(G179="","",IF(ISNUMBER(SEARCH(",",G179)),"Several items (the script lists them)",IFERROR(INDEX('Dashboard Items'!$B$2:$B$495,MATCH(G179,'Dashboard Items'!$A$2:$A$495,0))&amp;": "&amp;INDEX('Dashboard Items'!$C$2:$C$495,MATCH(G179,'Dashboard Items'!$A$2:$A$495,0)),"ID not found")))</f>
        <v/>
      </c>
      <c r="I179" s="137"/>
      <c r="J179" s="137"/>
      <c r="K179" s="137"/>
      <c r="L179" s="137"/>
      <c r="M179" s="137"/>
      <c r="N179" s="137"/>
      <c r="O179" s="137"/>
      <c r="P179" s="137"/>
      <c r="Q179" s="137"/>
      <c r="R179" s="137"/>
      <c r="S179" s="137"/>
      <c r="T179" s="137"/>
      <c r="U179" s="99"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37"/>
      <c r="C180" s="137"/>
      <c r="D180" s="137"/>
      <c r="E180" s="137"/>
      <c r="F180" s="138"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39"/>
      <c r="H180" s="138" t="str">
        <f>IF(G180="","",IF(ISNUMBER(SEARCH(",",G180)),"Several items (the script lists them)",IFERROR(INDEX('Dashboard Items'!$B$2:$B$495,MATCH(G180,'Dashboard Items'!$A$2:$A$495,0))&amp;": "&amp;INDEX('Dashboard Items'!$C$2:$C$495,MATCH(G180,'Dashboard Items'!$A$2:$A$495,0)),"ID not found")))</f>
        <v/>
      </c>
      <c r="I180" s="137"/>
      <c r="J180" s="137"/>
      <c r="K180" s="137"/>
      <c r="L180" s="137"/>
      <c r="M180" s="137"/>
      <c r="N180" s="137"/>
      <c r="O180" s="137"/>
      <c r="P180" s="137"/>
      <c r="Q180" s="137"/>
      <c r="R180" s="137"/>
      <c r="S180" s="137"/>
      <c r="T180" s="137"/>
      <c r="U180" s="99"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37"/>
      <c r="C181" s="137"/>
      <c r="D181" s="137"/>
      <c r="E181" s="137"/>
      <c r="F181" s="138"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39"/>
      <c r="H181" s="138" t="str">
        <f>IF(G181="","",IF(ISNUMBER(SEARCH(",",G181)),"Several items (the script lists them)",IFERROR(INDEX('Dashboard Items'!$B$2:$B$495,MATCH(G181,'Dashboard Items'!$A$2:$A$495,0))&amp;": "&amp;INDEX('Dashboard Items'!$C$2:$C$495,MATCH(G181,'Dashboard Items'!$A$2:$A$495,0)),"ID not found")))</f>
        <v/>
      </c>
      <c r="I181" s="137"/>
      <c r="J181" s="137"/>
      <c r="K181" s="137"/>
      <c r="L181" s="137"/>
      <c r="M181" s="137"/>
      <c r="N181" s="137"/>
      <c r="O181" s="137"/>
      <c r="P181" s="137"/>
      <c r="Q181" s="137"/>
      <c r="R181" s="137"/>
      <c r="S181" s="137"/>
      <c r="T181" s="137"/>
      <c r="U181" s="99"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37"/>
      <c r="C182" s="137"/>
      <c r="D182" s="137"/>
      <c r="E182" s="137"/>
      <c r="F182" s="138"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39"/>
      <c r="H182" s="138" t="str">
        <f>IF(G182="","",IF(ISNUMBER(SEARCH(",",G182)),"Several items (the script lists them)",IFERROR(INDEX('Dashboard Items'!$B$2:$B$495,MATCH(G182,'Dashboard Items'!$A$2:$A$495,0))&amp;": "&amp;INDEX('Dashboard Items'!$C$2:$C$495,MATCH(G182,'Dashboard Items'!$A$2:$A$495,0)),"ID not found")))</f>
        <v/>
      </c>
      <c r="I182" s="137"/>
      <c r="J182" s="137"/>
      <c r="K182" s="137"/>
      <c r="L182" s="137"/>
      <c r="M182" s="137"/>
      <c r="N182" s="137"/>
      <c r="O182" s="137"/>
      <c r="P182" s="137"/>
      <c r="Q182" s="137"/>
      <c r="R182" s="137"/>
      <c r="S182" s="137"/>
      <c r="T182" s="137"/>
      <c r="U182" s="99"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37"/>
      <c r="C183" s="137"/>
      <c r="D183" s="137"/>
      <c r="E183" s="137"/>
      <c r="F183" s="138"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39"/>
      <c r="H183" s="138" t="str">
        <f>IF(G183="","",IF(ISNUMBER(SEARCH(",",G183)),"Several items (the script lists them)",IFERROR(INDEX('Dashboard Items'!$B$2:$B$495,MATCH(G183,'Dashboard Items'!$A$2:$A$495,0))&amp;": "&amp;INDEX('Dashboard Items'!$C$2:$C$495,MATCH(G183,'Dashboard Items'!$A$2:$A$495,0)),"ID not found")))</f>
        <v/>
      </c>
      <c r="I183" s="137"/>
      <c r="J183" s="137"/>
      <c r="K183" s="137"/>
      <c r="L183" s="137"/>
      <c r="M183" s="137"/>
      <c r="N183" s="137"/>
      <c r="O183" s="137"/>
      <c r="P183" s="137"/>
      <c r="Q183" s="137"/>
      <c r="R183" s="137"/>
      <c r="S183" s="137"/>
      <c r="T183" s="137"/>
      <c r="U183" s="99"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37"/>
      <c r="C184" s="137"/>
      <c r="D184" s="137"/>
      <c r="E184" s="137"/>
      <c r="F184" s="138"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39"/>
      <c r="H184" s="138" t="str">
        <f>IF(G184="","",IF(ISNUMBER(SEARCH(",",G184)),"Several items (the script lists them)",IFERROR(INDEX('Dashboard Items'!$B$2:$B$495,MATCH(G184,'Dashboard Items'!$A$2:$A$495,0))&amp;": "&amp;INDEX('Dashboard Items'!$C$2:$C$495,MATCH(G184,'Dashboard Items'!$A$2:$A$495,0)),"ID not found")))</f>
        <v/>
      </c>
      <c r="I184" s="137"/>
      <c r="J184" s="137"/>
      <c r="K184" s="137"/>
      <c r="L184" s="137"/>
      <c r="M184" s="137"/>
      <c r="N184" s="137"/>
      <c r="O184" s="137"/>
      <c r="P184" s="137"/>
      <c r="Q184" s="137"/>
      <c r="R184" s="137"/>
      <c r="S184" s="137"/>
      <c r="T184" s="137"/>
      <c r="U184" s="99"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37"/>
      <c r="C185" s="137"/>
      <c r="D185" s="137"/>
      <c r="E185" s="137"/>
      <c r="F185" s="138"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39"/>
      <c r="H185" s="138" t="str">
        <f>IF(G185="","",IF(ISNUMBER(SEARCH(",",G185)),"Several items (the script lists them)",IFERROR(INDEX('Dashboard Items'!$B$2:$B$495,MATCH(G185,'Dashboard Items'!$A$2:$A$495,0))&amp;": "&amp;INDEX('Dashboard Items'!$C$2:$C$495,MATCH(G185,'Dashboard Items'!$A$2:$A$495,0)),"ID not found")))</f>
        <v/>
      </c>
      <c r="I185" s="137"/>
      <c r="J185" s="137"/>
      <c r="K185" s="137"/>
      <c r="L185" s="137"/>
      <c r="M185" s="137"/>
      <c r="N185" s="137"/>
      <c r="O185" s="137"/>
      <c r="P185" s="137"/>
      <c r="Q185" s="137"/>
      <c r="R185" s="137"/>
      <c r="S185" s="137"/>
      <c r="T185" s="137"/>
      <c r="U185" s="99"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37"/>
      <c r="C186" s="137"/>
      <c r="D186" s="137"/>
      <c r="E186" s="137"/>
      <c r="F186" s="138"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39"/>
      <c r="H186" s="138" t="str">
        <f>IF(G186="","",IF(ISNUMBER(SEARCH(",",G186)),"Several items (the script lists them)",IFERROR(INDEX('Dashboard Items'!$B$2:$B$495,MATCH(G186,'Dashboard Items'!$A$2:$A$495,0))&amp;": "&amp;INDEX('Dashboard Items'!$C$2:$C$495,MATCH(G186,'Dashboard Items'!$A$2:$A$495,0)),"ID not found")))</f>
        <v/>
      </c>
      <c r="I186" s="137"/>
      <c r="J186" s="137"/>
      <c r="K186" s="137"/>
      <c r="L186" s="137"/>
      <c r="M186" s="137"/>
      <c r="N186" s="137"/>
      <c r="O186" s="137"/>
      <c r="P186" s="137"/>
      <c r="Q186" s="137"/>
      <c r="R186" s="137"/>
      <c r="S186" s="137"/>
      <c r="T186" s="137"/>
      <c r="U186" s="99"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37"/>
      <c r="C187" s="137"/>
      <c r="D187" s="137"/>
      <c r="E187" s="137"/>
      <c r="F187" s="138"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39"/>
      <c r="H187" s="138" t="str">
        <f>IF(G187="","",IF(ISNUMBER(SEARCH(",",G187)),"Several items (the script lists them)",IFERROR(INDEX('Dashboard Items'!$B$2:$B$495,MATCH(G187,'Dashboard Items'!$A$2:$A$495,0))&amp;": "&amp;INDEX('Dashboard Items'!$C$2:$C$495,MATCH(G187,'Dashboard Items'!$A$2:$A$495,0)),"ID not found")))</f>
        <v/>
      </c>
      <c r="I187" s="137"/>
      <c r="J187" s="137"/>
      <c r="K187" s="137"/>
      <c r="L187" s="137"/>
      <c r="M187" s="137"/>
      <c r="N187" s="137"/>
      <c r="O187" s="137"/>
      <c r="P187" s="137"/>
      <c r="Q187" s="137"/>
      <c r="R187" s="137"/>
      <c r="S187" s="137"/>
      <c r="T187" s="137"/>
      <c r="U187" s="99"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37"/>
      <c r="C188" s="137"/>
      <c r="D188" s="137"/>
      <c r="E188" s="137"/>
      <c r="F188" s="138"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39"/>
      <c r="H188" s="138" t="str">
        <f>IF(G188="","",IF(ISNUMBER(SEARCH(",",G188)),"Several items (the script lists them)",IFERROR(INDEX('Dashboard Items'!$B$2:$B$495,MATCH(G188,'Dashboard Items'!$A$2:$A$495,0))&amp;": "&amp;INDEX('Dashboard Items'!$C$2:$C$495,MATCH(G188,'Dashboard Items'!$A$2:$A$495,0)),"ID not found")))</f>
        <v/>
      </c>
      <c r="I188" s="137"/>
      <c r="J188" s="137"/>
      <c r="K188" s="137"/>
      <c r="L188" s="137"/>
      <c r="M188" s="137"/>
      <c r="N188" s="137"/>
      <c r="O188" s="137"/>
      <c r="P188" s="137"/>
      <c r="Q188" s="137"/>
      <c r="R188" s="137"/>
      <c r="S188" s="137"/>
      <c r="T188" s="137"/>
      <c r="U188" s="99"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37"/>
      <c r="C189" s="137"/>
      <c r="D189" s="137"/>
      <c r="E189" s="137"/>
      <c r="F189" s="138"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39"/>
      <c r="H189" s="138" t="str">
        <f>IF(G189="","",IF(ISNUMBER(SEARCH(",",G189)),"Several items (the script lists them)",IFERROR(INDEX('Dashboard Items'!$B$2:$B$495,MATCH(G189,'Dashboard Items'!$A$2:$A$495,0))&amp;": "&amp;INDEX('Dashboard Items'!$C$2:$C$495,MATCH(G189,'Dashboard Items'!$A$2:$A$495,0)),"ID not found")))</f>
        <v/>
      </c>
      <c r="I189" s="137"/>
      <c r="J189" s="137"/>
      <c r="K189" s="137"/>
      <c r="L189" s="137"/>
      <c r="M189" s="137"/>
      <c r="N189" s="137"/>
      <c r="O189" s="137"/>
      <c r="P189" s="137"/>
      <c r="Q189" s="137"/>
      <c r="R189" s="137"/>
      <c r="S189" s="137"/>
      <c r="T189" s="137"/>
      <c r="U189" s="99"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37"/>
      <c r="C190" s="137"/>
      <c r="D190" s="137"/>
      <c r="E190" s="137"/>
      <c r="F190" s="138"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39"/>
      <c r="H190" s="138" t="str">
        <f>IF(G190="","",IF(ISNUMBER(SEARCH(",",G190)),"Several items (the script lists them)",IFERROR(INDEX('Dashboard Items'!$B$2:$B$495,MATCH(G190,'Dashboard Items'!$A$2:$A$495,0))&amp;": "&amp;INDEX('Dashboard Items'!$C$2:$C$495,MATCH(G190,'Dashboard Items'!$A$2:$A$495,0)),"ID not found")))</f>
        <v/>
      </c>
      <c r="I190" s="137"/>
      <c r="J190" s="137"/>
      <c r="K190" s="137"/>
      <c r="L190" s="137"/>
      <c r="M190" s="137"/>
      <c r="N190" s="137"/>
      <c r="O190" s="137"/>
      <c r="P190" s="137"/>
      <c r="Q190" s="137"/>
      <c r="R190" s="137"/>
      <c r="S190" s="137"/>
      <c r="T190" s="137"/>
      <c r="U190" s="99"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37"/>
      <c r="C191" s="137"/>
      <c r="D191" s="137"/>
      <c r="E191" s="137"/>
      <c r="F191" s="138"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39"/>
      <c r="H191" s="138" t="str">
        <f>IF(G191="","",IF(ISNUMBER(SEARCH(",",G191)),"Several items (the script lists them)",IFERROR(INDEX('Dashboard Items'!$B$2:$B$495,MATCH(G191,'Dashboard Items'!$A$2:$A$495,0))&amp;": "&amp;INDEX('Dashboard Items'!$C$2:$C$495,MATCH(G191,'Dashboard Items'!$A$2:$A$495,0)),"ID not found")))</f>
        <v/>
      </c>
      <c r="I191" s="137"/>
      <c r="J191" s="137"/>
      <c r="K191" s="137"/>
      <c r="L191" s="137"/>
      <c r="M191" s="137"/>
      <c r="N191" s="137"/>
      <c r="O191" s="137"/>
      <c r="P191" s="137"/>
      <c r="Q191" s="137"/>
      <c r="R191" s="137"/>
      <c r="S191" s="137"/>
      <c r="T191" s="137"/>
      <c r="U191" s="99"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37"/>
      <c r="C192" s="137"/>
      <c r="D192" s="137"/>
      <c r="E192" s="137"/>
      <c r="F192" s="138"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39"/>
      <c r="H192" s="138" t="str">
        <f>IF(G192="","",IF(ISNUMBER(SEARCH(",",G192)),"Several items (the script lists them)",IFERROR(INDEX('Dashboard Items'!$B$2:$B$495,MATCH(G192,'Dashboard Items'!$A$2:$A$495,0))&amp;": "&amp;INDEX('Dashboard Items'!$C$2:$C$495,MATCH(G192,'Dashboard Items'!$A$2:$A$495,0)),"ID not found")))</f>
        <v/>
      </c>
      <c r="I192" s="137"/>
      <c r="J192" s="137"/>
      <c r="K192" s="137"/>
      <c r="L192" s="137"/>
      <c r="M192" s="137"/>
      <c r="N192" s="137"/>
      <c r="O192" s="137"/>
      <c r="P192" s="137"/>
      <c r="Q192" s="137"/>
      <c r="R192" s="137"/>
      <c r="S192" s="137"/>
      <c r="T192" s="137"/>
      <c r="U192" s="99"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37"/>
      <c r="C193" s="137"/>
      <c r="D193" s="137"/>
      <c r="E193" s="137"/>
      <c r="F193" s="138"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39"/>
      <c r="H193" s="138" t="str">
        <f>IF(G193="","",IF(ISNUMBER(SEARCH(",",G193)),"Several items (the script lists them)",IFERROR(INDEX('Dashboard Items'!$B$2:$B$495,MATCH(G193,'Dashboard Items'!$A$2:$A$495,0))&amp;": "&amp;INDEX('Dashboard Items'!$C$2:$C$495,MATCH(G193,'Dashboard Items'!$A$2:$A$495,0)),"ID not found")))</f>
        <v/>
      </c>
      <c r="I193" s="137"/>
      <c r="J193" s="137"/>
      <c r="K193" s="137"/>
      <c r="L193" s="137"/>
      <c r="M193" s="137"/>
      <c r="N193" s="137"/>
      <c r="O193" s="137"/>
      <c r="P193" s="137"/>
      <c r="Q193" s="137"/>
      <c r="R193" s="137"/>
      <c r="S193" s="137"/>
      <c r="T193" s="137"/>
      <c r="U193" s="99"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37"/>
      <c r="C194" s="137"/>
      <c r="D194" s="137"/>
      <c r="E194" s="137"/>
      <c r="F194" s="138"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39"/>
      <c r="H194" s="138" t="str">
        <f>IF(G194="","",IF(ISNUMBER(SEARCH(",",G194)),"Several items (the script lists them)",IFERROR(INDEX('Dashboard Items'!$B$2:$B$495,MATCH(G194,'Dashboard Items'!$A$2:$A$495,0))&amp;": "&amp;INDEX('Dashboard Items'!$C$2:$C$495,MATCH(G194,'Dashboard Items'!$A$2:$A$495,0)),"ID not found")))</f>
        <v/>
      </c>
      <c r="I194" s="137"/>
      <c r="J194" s="137"/>
      <c r="K194" s="137"/>
      <c r="L194" s="137"/>
      <c r="M194" s="137"/>
      <c r="N194" s="137"/>
      <c r="O194" s="137"/>
      <c r="P194" s="137"/>
      <c r="Q194" s="137"/>
      <c r="R194" s="137"/>
      <c r="S194" s="137"/>
      <c r="T194" s="137"/>
      <c r="U194" s="99"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37"/>
      <c r="C195" s="137"/>
      <c r="D195" s="137"/>
      <c r="E195" s="137"/>
      <c r="F195" s="138"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39"/>
      <c r="H195" s="138" t="str">
        <f>IF(G195="","",IF(ISNUMBER(SEARCH(",",G195)),"Several items (the script lists them)",IFERROR(INDEX('Dashboard Items'!$B$2:$B$495,MATCH(G195,'Dashboard Items'!$A$2:$A$495,0))&amp;": "&amp;INDEX('Dashboard Items'!$C$2:$C$495,MATCH(G195,'Dashboard Items'!$A$2:$A$495,0)),"ID not found")))</f>
        <v/>
      </c>
      <c r="I195" s="137"/>
      <c r="J195" s="137"/>
      <c r="K195" s="137"/>
      <c r="L195" s="137"/>
      <c r="M195" s="137"/>
      <c r="N195" s="137"/>
      <c r="O195" s="137"/>
      <c r="P195" s="137"/>
      <c r="Q195" s="137"/>
      <c r="R195" s="137"/>
      <c r="S195" s="137"/>
      <c r="T195" s="137"/>
      <c r="U195" s="99"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37"/>
      <c r="C196" s="137"/>
      <c r="D196" s="137"/>
      <c r="E196" s="137"/>
      <c r="F196" s="138"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39"/>
      <c r="H196" s="138" t="str">
        <f>IF(G196="","",IF(ISNUMBER(SEARCH(",",G196)),"Several items (the script lists them)",IFERROR(INDEX('Dashboard Items'!$B$2:$B$495,MATCH(G196,'Dashboard Items'!$A$2:$A$495,0))&amp;": "&amp;INDEX('Dashboard Items'!$C$2:$C$495,MATCH(G196,'Dashboard Items'!$A$2:$A$495,0)),"ID not found")))</f>
        <v/>
      </c>
      <c r="I196" s="137"/>
      <c r="J196" s="137"/>
      <c r="K196" s="137"/>
      <c r="L196" s="137"/>
      <c r="M196" s="137"/>
      <c r="N196" s="137"/>
      <c r="O196" s="137"/>
      <c r="P196" s="137"/>
      <c r="Q196" s="137"/>
      <c r="R196" s="137"/>
      <c r="S196" s="137"/>
      <c r="T196" s="137"/>
      <c r="U196" s="99"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37"/>
      <c r="C197" s="137"/>
      <c r="D197" s="137"/>
      <c r="E197" s="137"/>
      <c r="F197" s="138"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39"/>
      <c r="H197" s="138" t="str">
        <f>IF(G197="","",IF(ISNUMBER(SEARCH(",",G197)),"Several items (the script lists them)",IFERROR(INDEX('Dashboard Items'!$B$2:$B$495,MATCH(G197,'Dashboard Items'!$A$2:$A$495,0))&amp;": "&amp;INDEX('Dashboard Items'!$C$2:$C$495,MATCH(G197,'Dashboard Items'!$A$2:$A$495,0)),"ID not found")))</f>
        <v/>
      </c>
      <c r="I197" s="137"/>
      <c r="J197" s="137"/>
      <c r="K197" s="137"/>
      <c r="L197" s="137"/>
      <c r="M197" s="137"/>
      <c r="N197" s="137"/>
      <c r="O197" s="137"/>
      <c r="P197" s="137"/>
      <c r="Q197" s="137"/>
      <c r="R197" s="137"/>
      <c r="S197" s="137"/>
      <c r="T197" s="137"/>
      <c r="U197" s="99"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37"/>
      <c r="C198" s="137"/>
      <c r="D198" s="137"/>
      <c r="E198" s="137"/>
      <c r="F198" s="138"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39"/>
      <c r="H198" s="138" t="str">
        <f>IF(G198="","",IF(ISNUMBER(SEARCH(",",G198)),"Several items (the script lists them)",IFERROR(INDEX('Dashboard Items'!$B$2:$B$495,MATCH(G198,'Dashboard Items'!$A$2:$A$495,0))&amp;": "&amp;INDEX('Dashboard Items'!$C$2:$C$495,MATCH(G198,'Dashboard Items'!$A$2:$A$495,0)),"ID not found")))</f>
        <v/>
      </c>
      <c r="I198" s="137"/>
      <c r="J198" s="137"/>
      <c r="K198" s="137"/>
      <c r="L198" s="137"/>
      <c r="M198" s="137"/>
      <c r="N198" s="137"/>
      <c r="O198" s="137"/>
      <c r="P198" s="137"/>
      <c r="Q198" s="137"/>
      <c r="R198" s="137"/>
      <c r="S198" s="137"/>
      <c r="T198" s="137"/>
      <c r="U198" s="99"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37"/>
      <c r="C199" s="137"/>
      <c r="D199" s="137"/>
      <c r="E199" s="137"/>
      <c r="F199" s="138"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39"/>
      <c r="H199" s="138" t="str">
        <f>IF(G199="","",IF(ISNUMBER(SEARCH(",",G199)),"Several items (the script lists them)",IFERROR(INDEX('Dashboard Items'!$B$2:$B$495,MATCH(G199,'Dashboard Items'!$A$2:$A$495,0))&amp;": "&amp;INDEX('Dashboard Items'!$C$2:$C$495,MATCH(G199,'Dashboard Items'!$A$2:$A$495,0)),"ID not found")))</f>
        <v/>
      </c>
      <c r="I199" s="137"/>
      <c r="J199" s="137"/>
      <c r="K199" s="137"/>
      <c r="L199" s="137"/>
      <c r="M199" s="137"/>
      <c r="N199" s="137"/>
      <c r="O199" s="137"/>
      <c r="P199" s="137"/>
      <c r="Q199" s="137"/>
      <c r="R199" s="137"/>
      <c r="S199" s="137"/>
      <c r="T199" s="137"/>
      <c r="U199" s="99"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37"/>
      <c r="C200" s="137"/>
      <c r="D200" s="137"/>
      <c r="E200" s="137"/>
      <c r="F200" s="138"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39"/>
      <c r="H200" s="138" t="str">
        <f>IF(G200="","",IF(ISNUMBER(SEARCH(",",G200)),"Several items (the script lists them)",IFERROR(INDEX('Dashboard Items'!$B$2:$B$495,MATCH(G200,'Dashboard Items'!$A$2:$A$495,0))&amp;": "&amp;INDEX('Dashboard Items'!$C$2:$C$495,MATCH(G200,'Dashboard Items'!$A$2:$A$495,0)),"ID not found")))</f>
        <v/>
      </c>
      <c r="I200" s="137"/>
      <c r="J200" s="137"/>
      <c r="K200" s="137"/>
      <c r="L200" s="137"/>
      <c r="M200" s="137"/>
      <c r="N200" s="137"/>
      <c r="O200" s="137"/>
      <c r="P200" s="137"/>
      <c r="Q200" s="137"/>
      <c r="R200" s="137"/>
      <c r="S200" s="137"/>
      <c r="T200" s="137"/>
      <c r="U200" s="99"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37"/>
      <c r="C201" s="137"/>
      <c r="D201" s="137"/>
      <c r="E201" s="137"/>
      <c r="F201" s="138"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39"/>
      <c r="H201" s="138" t="str">
        <f>IF(G201="","",IF(ISNUMBER(SEARCH(",",G201)),"Several items (the script lists them)",IFERROR(INDEX('Dashboard Items'!$B$2:$B$495,MATCH(G201,'Dashboard Items'!$A$2:$A$495,0))&amp;": "&amp;INDEX('Dashboard Items'!$C$2:$C$495,MATCH(G201,'Dashboard Items'!$A$2:$A$495,0)),"ID not found")))</f>
        <v/>
      </c>
      <c r="I201" s="137"/>
      <c r="J201" s="137"/>
      <c r="K201" s="137"/>
      <c r="L201" s="137"/>
      <c r="M201" s="137"/>
      <c r="N201" s="137"/>
      <c r="O201" s="137"/>
      <c r="P201" s="137"/>
      <c r="Q201" s="137"/>
      <c r="R201" s="137"/>
      <c r="S201" s="137"/>
      <c r="T201" s="137"/>
      <c r="U201" s="99"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37"/>
      <c r="C202" s="137"/>
      <c r="D202" s="137"/>
      <c r="E202" s="137"/>
      <c r="F202" s="138"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39"/>
      <c r="H202" s="138" t="str">
        <f>IF(G202="","",IF(ISNUMBER(SEARCH(",",G202)),"Several items (the script lists them)",IFERROR(INDEX('Dashboard Items'!$B$2:$B$495,MATCH(G202,'Dashboard Items'!$A$2:$A$495,0))&amp;": "&amp;INDEX('Dashboard Items'!$C$2:$C$495,MATCH(G202,'Dashboard Items'!$A$2:$A$495,0)),"ID not found")))</f>
        <v/>
      </c>
      <c r="I202" s="137"/>
      <c r="J202" s="137"/>
      <c r="K202" s="137"/>
      <c r="L202" s="137"/>
      <c r="M202" s="137"/>
      <c r="N202" s="137"/>
      <c r="O202" s="137"/>
      <c r="P202" s="137"/>
      <c r="Q202" s="137"/>
      <c r="R202" s="137"/>
      <c r="S202" s="137"/>
      <c r="T202" s="137"/>
      <c r="U202" s="99"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37"/>
      <c r="C203" s="137"/>
      <c r="D203" s="137"/>
      <c r="E203" s="137"/>
      <c r="F203" s="138"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39"/>
      <c r="H203" s="138" t="str">
        <f>IF(G203="","",IF(ISNUMBER(SEARCH(",",G203)),"Several items (the script lists them)",IFERROR(INDEX('Dashboard Items'!$B$2:$B$495,MATCH(G203,'Dashboard Items'!$A$2:$A$495,0))&amp;": "&amp;INDEX('Dashboard Items'!$C$2:$C$495,MATCH(G203,'Dashboard Items'!$A$2:$A$495,0)),"ID not found")))</f>
        <v/>
      </c>
      <c r="I203" s="137"/>
      <c r="J203" s="137"/>
      <c r="K203" s="137"/>
      <c r="L203" s="137"/>
      <c r="M203" s="137"/>
      <c r="N203" s="137"/>
      <c r="O203" s="137"/>
      <c r="P203" s="137"/>
      <c r="Q203" s="137"/>
      <c r="R203" s="137"/>
      <c r="S203" s="137"/>
      <c r="T203" s="137"/>
      <c r="U203" s="99"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37"/>
      <c r="C204" s="137"/>
      <c r="D204" s="137"/>
      <c r="E204" s="137"/>
      <c r="F204" s="138"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39"/>
      <c r="H204" s="138" t="str">
        <f>IF(G204="","",IF(ISNUMBER(SEARCH(",",G204)),"Several items (the script lists them)",IFERROR(INDEX('Dashboard Items'!$B$2:$B$495,MATCH(G204,'Dashboard Items'!$A$2:$A$495,0))&amp;": "&amp;INDEX('Dashboard Items'!$C$2:$C$495,MATCH(G204,'Dashboard Items'!$A$2:$A$495,0)),"ID not found")))</f>
        <v/>
      </c>
      <c r="I204" s="137"/>
      <c r="J204" s="137"/>
      <c r="K204" s="137"/>
      <c r="L204" s="137"/>
      <c r="M204" s="137"/>
      <c r="N204" s="137"/>
      <c r="O204" s="137"/>
      <c r="P204" s="137"/>
      <c r="Q204" s="137"/>
      <c r="R204" s="137"/>
      <c r="S204" s="137"/>
      <c r="T204" s="137"/>
      <c r="U204" s="99"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37"/>
      <c r="C205" s="137"/>
      <c r="D205" s="137"/>
      <c r="E205" s="137"/>
      <c r="F205" s="138"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39"/>
      <c r="H205" s="138" t="str">
        <f>IF(G205="","",IF(ISNUMBER(SEARCH(",",G205)),"Several items (the script lists them)",IFERROR(INDEX('Dashboard Items'!$B$2:$B$495,MATCH(G205,'Dashboard Items'!$A$2:$A$495,0))&amp;": "&amp;INDEX('Dashboard Items'!$C$2:$C$495,MATCH(G205,'Dashboard Items'!$A$2:$A$495,0)),"ID not found")))</f>
        <v/>
      </c>
      <c r="I205" s="137"/>
      <c r="J205" s="137"/>
      <c r="K205" s="137"/>
      <c r="L205" s="137"/>
      <c r="M205" s="137"/>
      <c r="N205" s="137"/>
      <c r="O205" s="137"/>
      <c r="P205" s="137"/>
      <c r="Q205" s="137"/>
      <c r="R205" s="137"/>
      <c r="S205" s="137"/>
      <c r="T205" s="137"/>
      <c r="U205" s="99"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37"/>
      <c r="C206" s="137"/>
      <c r="D206" s="137"/>
      <c r="E206" s="137"/>
      <c r="F206" s="138"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39"/>
      <c r="H206" s="138" t="str">
        <f>IF(G206="","",IF(ISNUMBER(SEARCH(",",G206)),"Several items (the script lists them)",IFERROR(INDEX('Dashboard Items'!$B$2:$B$495,MATCH(G206,'Dashboard Items'!$A$2:$A$495,0))&amp;": "&amp;INDEX('Dashboard Items'!$C$2:$C$495,MATCH(G206,'Dashboard Items'!$A$2:$A$495,0)),"ID not found")))</f>
        <v/>
      </c>
      <c r="I206" s="137"/>
      <c r="J206" s="137"/>
      <c r="K206" s="137"/>
      <c r="L206" s="137"/>
      <c r="M206" s="137"/>
      <c r="N206" s="137"/>
      <c r="O206" s="137"/>
      <c r="P206" s="137"/>
      <c r="Q206" s="137"/>
      <c r="R206" s="137"/>
      <c r="S206" s="137"/>
      <c r="T206" s="137"/>
      <c r="U206" s="99"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37"/>
      <c r="C207" s="137"/>
      <c r="D207" s="137"/>
      <c r="E207" s="137"/>
      <c r="F207" s="138"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39"/>
      <c r="H207" s="138" t="str">
        <f>IF(G207="","",IF(ISNUMBER(SEARCH(",",G207)),"Several items (the script lists them)",IFERROR(INDEX('Dashboard Items'!$B$2:$B$495,MATCH(G207,'Dashboard Items'!$A$2:$A$495,0))&amp;": "&amp;INDEX('Dashboard Items'!$C$2:$C$495,MATCH(G207,'Dashboard Items'!$A$2:$A$495,0)),"ID not found")))</f>
        <v/>
      </c>
      <c r="I207" s="137"/>
      <c r="J207" s="137"/>
      <c r="K207" s="137"/>
      <c r="L207" s="137"/>
      <c r="M207" s="137"/>
      <c r="N207" s="137"/>
      <c r="O207" s="137"/>
      <c r="P207" s="137"/>
      <c r="Q207" s="137"/>
      <c r="R207" s="137"/>
      <c r="S207" s="137"/>
      <c r="T207" s="137"/>
      <c r="U207" s="99"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37"/>
      <c r="C208" s="137"/>
      <c r="D208" s="137"/>
      <c r="E208" s="137"/>
      <c r="F208" s="138"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39"/>
      <c r="H208" s="138" t="str">
        <f>IF(G208="","",IF(ISNUMBER(SEARCH(",",G208)),"Several items (the script lists them)",IFERROR(INDEX('Dashboard Items'!$B$2:$B$495,MATCH(G208,'Dashboard Items'!$A$2:$A$495,0))&amp;": "&amp;INDEX('Dashboard Items'!$C$2:$C$495,MATCH(G208,'Dashboard Items'!$A$2:$A$495,0)),"ID not found")))</f>
        <v/>
      </c>
      <c r="I208" s="137"/>
      <c r="J208" s="137"/>
      <c r="K208" s="137"/>
      <c r="L208" s="137"/>
      <c r="M208" s="137"/>
      <c r="N208" s="137"/>
      <c r="O208" s="137"/>
      <c r="P208" s="137"/>
      <c r="Q208" s="137"/>
      <c r="R208" s="137"/>
      <c r="S208" s="137"/>
      <c r="T208" s="137"/>
      <c r="U208" s="99"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37"/>
      <c r="C209" s="137"/>
      <c r="D209" s="137"/>
      <c r="E209" s="137"/>
      <c r="F209" s="138"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39"/>
      <c r="H209" s="138" t="str">
        <f>IF(G209="","",IF(ISNUMBER(SEARCH(",",G209)),"Several items (the script lists them)",IFERROR(INDEX('Dashboard Items'!$B$2:$B$495,MATCH(G209,'Dashboard Items'!$A$2:$A$495,0))&amp;": "&amp;INDEX('Dashboard Items'!$C$2:$C$495,MATCH(G209,'Dashboard Items'!$A$2:$A$495,0)),"ID not found")))</f>
        <v/>
      </c>
      <c r="I209" s="137"/>
      <c r="J209" s="137"/>
      <c r="K209" s="137"/>
      <c r="L209" s="137"/>
      <c r="M209" s="137"/>
      <c r="N209" s="137"/>
      <c r="O209" s="137"/>
      <c r="P209" s="137"/>
      <c r="Q209" s="137"/>
      <c r="R209" s="137"/>
      <c r="S209" s="137"/>
      <c r="T209" s="137"/>
      <c r="U209" s="99"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37"/>
      <c r="C210" s="137"/>
      <c r="D210" s="137"/>
      <c r="E210" s="137"/>
      <c r="F210" s="138"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39"/>
      <c r="H210" s="138" t="str">
        <f>IF(G210="","",IF(ISNUMBER(SEARCH(",",G210)),"Several items (the script lists them)",IFERROR(INDEX('Dashboard Items'!$B$2:$B$495,MATCH(G210,'Dashboard Items'!$A$2:$A$495,0))&amp;": "&amp;INDEX('Dashboard Items'!$C$2:$C$495,MATCH(G210,'Dashboard Items'!$A$2:$A$495,0)),"ID not found")))</f>
        <v/>
      </c>
      <c r="I210" s="137"/>
      <c r="J210" s="137"/>
      <c r="K210" s="137"/>
      <c r="L210" s="137"/>
      <c r="M210" s="137"/>
      <c r="N210" s="137"/>
      <c r="O210" s="137"/>
      <c r="P210" s="137"/>
      <c r="Q210" s="137"/>
      <c r="R210" s="137"/>
      <c r="S210" s="137"/>
      <c r="T210" s="137"/>
      <c r="U210" s="99"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37"/>
      <c r="C211" s="137"/>
      <c r="D211" s="137"/>
      <c r="E211" s="137"/>
      <c r="F211" s="138"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39"/>
      <c r="H211" s="138" t="str">
        <f>IF(G211="","",IF(ISNUMBER(SEARCH(",",G211)),"Several items (the script lists them)",IFERROR(INDEX('Dashboard Items'!$B$2:$B$495,MATCH(G211,'Dashboard Items'!$A$2:$A$495,0))&amp;": "&amp;INDEX('Dashboard Items'!$C$2:$C$495,MATCH(G211,'Dashboard Items'!$A$2:$A$495,0)),"ID not found")))</f>
        <v/>
      </c>
      <c r="I211" s="137"/>
      <c r="J211" s="137"/>
      <c r="K211" s="137"/>
      <c r="L211" s="137"/>
      <c r="M211" s="137"/>
      <c r="N211" s="137"/>
      <c r="O211" s="137"/>
      <c r="P211" s="137"/>
      <c r="Q211" s="137"/>
      <c r="R211" s="137"/>
      <c r="S211" s="137"/>
      <c r="T211" s="137"/>
      <c r="U211" s="99"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37"/>
      <c r="C212" s="137"/>
      <c r="D212" s="137"/>
      <c r="E212" s="137"/>
      <c r="F212" s="138"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39"/>
      <c r="H212" s="138" t="str">
        <f>IF(G212="","",IF(ISNUMBER(SEARCH(",",G212)),"Several items (the script lists them)",IFERROR(INDEX('Dashboard Items'!$B$2:$B$495,MATCH(G212,'Dashboard Items'!$A$2:$A$495,0))&amp;": "&amp;INDEX('Dashboard Items'!$C$2:$C$495,MATCH(G212,'Dashboard Items'!$A$2:$A$495,0)),"ID not found")))</f>
        <v/>
      </c>
      <c r="I212" s="137"/>
      <c r="J212" s="137"/>
      <c r="K212" s="137"/>
      <c r="L212" s="137"/>
      <c r="M212" s="137"/>
      <c r="N212" s="137"/>
      <c r="O212" s="137"/>
      <c r="P212" s="137"/>
      <c r="Q212" s="137"/>
      <c r="R212" s="137"/>
      <c r="S212" s="137"/>
      <c r="T212" s="137"/>
      <c r="U212" s="99"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37"/>
      <c r="C213" s="137"/>
      <c r="D213" s="137"/>
      <c r="E213" s="137"/>
      <c r="F213" s="138"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39"/>
      <c r="H213" s="138" t="str">
        <f>IF(G213="","",IF(ISNUMBER(SEARCH(",",G213)),"Several items (the script lists them)",IFERROR(INDEX('Dashboard Items'!$B$2:$B$495,MATCH(G213,'Dashboard Items'!$A$2:$A$495,0))&amp;": "&amp;INDEX('Dashboard Items'!$C$2:$C$495,MATCH(G213,'Dashboard Items'!$A$2:$A$495,0)),"ID not found")))</f>
        <v/>
      </c>
      <c r="I213" s="137"/>
      <c r="J213" s="137"/>
      <c r="K213" s="137"/>
      <c r="L213" s="137"/>
      <c r="M213" s="137"/>
      <c r="N213" s="137"/>
      <c r="O213" s="137"/>
      <c r="P213" s="137"/>
      <c r="Q213" s="137"/>
      <c r="R213" s="137"/>
      <c r="S213" s="137"/>
      <c r="T213" s="137"/>
      <c r="U213" s="99"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37"/>
      <c r="C214" s="137"/>
      <c r="D214" s="137"/>
      <c r="E214" s="137"/>
      <c r="F214" s="138"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39"/>
      <c r="H214" s="138" t="str">
        <f>IF(G214="","",IF(ISNUMBER(SEARCH(",",G214)),"Several items (the script lists them)",IFERROR(INDEX('Dashboard Items'!$B$2:$B$495,MATCH(G214,'Dashboard Items'!$A$2:$A$495,0))&amp;": "&amp;INDEX('Dashboard Items'!$C$2:$C$495,MATCH(G214,'Dashboard Items'!$A$2:$A$495,0)),"ID not found")))</f>
        <v/>
      </c>
      <c r="I214" s="137"/>
      <c r="J214" s="137"/>
      <c r="K214" s="137"/>
      <c r="L214" s="137"/>
      <c r="M214" s="137"/>
      <c r="N214" s="137"/>
      <c r="O214" s="137"/>
      <c r="P214" s="137"/>
      <c r="Q214" s="137"/>
      <c r="R214" s="137"/>
      <c r="S214" s="137"/>
      <c r="T214" s="137"/>
      <c r="U214" s="99"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37"/>
      <c r="C215" s="137"/>
      <c r="D215" s="137"/>
      <c r="E215" s="137"/>
      <c r="F215" s="138"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39"/>
      <c r="H215" s="138" t="str">
        <f>IF(G215="","",IF(ISNUMBER(SEARCH(",",G215)),"Several items (the script lists them)",IFERROR(INDEX('Dashboard Items'!$B$2:$B$495,MATCH(G215,'Dashboard Items'!$A$2:$A$495,0))&amp;": "&amp;INDEX('Dashboard Items'!$C$2:$C$495,MATCH(G215,'Dashboard Items'!$A$2:$A$495,0)),"ID not found")))</f>
        <v/>
      </c>
      <c r="I215" s="137"/>
      <c r="J215" s="137"/>
      <c r="K215" s="137"/>
      <c r="L215" s="137"/>
      <c r="M215" s="137"/>
      <c r="N215" s="137"/>
      <c r="O215" s="137"/>
      <c r="P215" s="137"/>
      <c r="Q215" s="137"/>
      <c r="R215" s="137"/>
      <c r="S215" s="137"/>
      <c r="T215" s="137"/>
      <c r="U215" s="99"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37"/>
      <c r="C216" s="137"/>
      <c r="D216" s="137"/>
      <c r="E216" s="137"/>
      <c r="F216" s="138"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39"/>
      <c r="H216" s="138" t="str">
        <f>IF(G216="","",IF(ISNUMBER(SEARCH(",",G216)),"Several items (the script lists them)",IFERROR(INDEX('Dashboard Items'!$B$2:$B$495,MATCH(G216,'Dashboard Items'!$A$2:$A$495,0))&amp;": "&amp;INDEX('Dashboard Items'!$C$2:$C$495,MATCH(G216,'Dashboard Items'!$A$2:$A$495,0)),"ID not found")))</f>
        <v/>
      </c>
      <c r="I216" s="137"/>
      <c r="J216" s="137"/>
      <c r="K216" s="137"/>
      <c r="L216" s="137"/>
      <c r="M216" s="137"/>
      <c r="N216" s="137"/>
      <c r="O216" s="137"/>
      <c r="P216" s="137"/>
      <c r="Q216" s="137"/>
      <c r="R216" s="137"/>
      <c r="S216" s="137"/>
      <c r="T216" s="137"/>
      <c r="U216" s="99"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37"/>
      <c r="C217" s="137"/>
      <c r="D217" s="137"/>
      <c r="E217" s="137"/>
      <c r="F217" s="138"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39"/>
      <c r="H217" s="138" t="str">
        <f>IF(G217="","",IF(ISNUMBER(SEARCH(",",G217)),"Several items (the script lists them)",IFERROR(INDEX('Dashboard Items'!$B$2:$B$495,MATCH(G217,'Dashboard Items'!$A$2:$A$495,0))&amp;": "&amp;INDEX('Dashboard Items'!$C$2:$C$495,MATCH(G217,'Dashboard Items'!$A$2:$A$495,0)),"ID not found")))</f>
        <v/>
      </c>
      <c r="I217" s="137"/>
      <c r="J217" s="137"/>
      <c r="K217" s="137"/>
      <c r="L217" s="137"/>
      <c r="M217" s="137"/>
      <c r="N217" s="137"/>
      <c r="O217" s="137"/>
      <c r="P217" s="137"/>
      <c r="Q217" s="137"/>
      <c r="R217" s="137"/>
      <c r="S217" s="137"/>
      <c r="T217" s="137"/>
      <c r="U217" s="99"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37"/>
      <c r="C218" s="137"/>
      <c r="D218" s="137"/>
      <c r="E218" s="137"/>
      <c r="F218" s="138"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39"/>
      <c r="H218" s="138" t="str">
        <f>IF(G218="","",IF(ISNUMBER(SEARCH(",",G218)),"Several items (the script lists them)",IFERROR(INDEX('Dashboard Items'!$B$2:$B$495,MATCH(G218,'Dashboard Items'!$A$2:$A$495,0))&amp;": "&amp;INDEX('Dashboard Items'!$C$2:$C$495,MATCH(G218,'Dashboard Items'!$A$2:$A$495,0)),"ID not found")))</f>
        <v/>
      </c>
      <c r="I218" s="137"/>
      <c r="J218" s="137"/>
      <c r="K218" s="137"/>
      <c r="L218" s="137"/>
      <c r="M218" s="137"/>
      <c r="N218" s="137"/>
      <c r="O218" s="137"/>
      <c r="P218" s="137"/>
      <c r="Q218" s="137"/>
      <c r="R218" s="137"/>
      <c r="S218" s="137"/>
      <c r="T218" s="137"/>
      <c r="U218" s="99"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37"/>
      <c r="C219" s="137"/>
      <c r="D219" s="137"/>
      <c r="E219" s="137"/>
      <c r="F219" s="138"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39"/>
      <c r="H219" s="138" t="str">
        <f>IF(G219="","",IF(ISNUMBER(SEARCH(",",G219)),"Several items (the script lists them)",IFERROR(INDEX('Dashboard Items'!$B$2:$B$495,MATCH(G219,'Dashboard Items'!$A$2:$A$495,0))&amp;": "&amp;INDEX('Dashboard Items'!$C$2:$C$495,MATCH(G219,'Dashboard Items'!$A$2:$A$495,0)),"ID not found")))</f>
        <v/>
      </c>
      <c r="I219" s="137"/>
      <c r="J219" s="137"/>
      <c r="K219" s="137"/>
      <c r="L219" s="137"/>
      <c r="M219" s="137"/>
      <c r="N219" s="137"/>
      <c r="O219" s="137"/>
      <c r="P219" s="137"/>
      <c r="Q219" s="137"/>
      <c r="R219" s="137"/>
      <c r="S219" s="137"/>
      <c r="T219" s="137"/>
      <c r="U219" s="99"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37"/>
      <c r="C220" s="137"/>
      <c r="D220" s="137"/>
      <c r="E220" s="137"/>
      <c r="F220" s="138"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39"/>
      <c r="H220" s="138" t="str">
        <f>IF(G220="","",IF(ISNUMBER(SEARCH(",",G220)),"Several items (the script lists them)",IFERROR(INDEX('Dashboard Items'!$B$2:$B$495,MATCH(G220,'Dashboard Items'!$A$2:$A$495,0))&amp;": "&amp;INDEX('Dashboard Items'!$C$2:$C$495,MATCH(G220,'Dashboard Items'!$A$2:$A$495,0)),"ID not found")))</f>
        <v/>
      </c>
      <c r="I220" s="137"/>
      <c r="J220" s="137"/>
      <c r="K220" s="137"/>
      <c r="L220" s="137"/>
      <c r="M220" s="137"/>
      <c r="N220" s="137"/>
      <c r="O220" s="137"/>
      <c r="P220" s="137"/>
      <c r="Q220" s="137"/>
      <c r="R220" s="137"/>
      <c r="S220" s="137"/>
      <c r="T220" s="137"/>
      <c r="U220" s="99"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37"/>
      <c r="C221" s="137"/>
      <c r="D221" s="137"/>
      <c r="E221" s="137"/>
      <c r="F221" s="138"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39"/>
      <c r="H221" s="138" t="str">
        <f>IF(G221="","",IF(ISNUMBER(SEARCH(",",G221)),"Several items (the script lists them)",IFERROR(INDEX('Dashboard Items'!$B$2:$B$495,MATCH(G221,'Dashboard Items'!$A$2:$A$495,0))&amp;": "&amp;INDEX('Dashboard Items'!$C$2:$C$495,MATCH(G221,'Dashboard Items'!$A$2:$A$495,0)),"ID not found")))</f>
        <v/>
      </c>
      <c r="I221" s="137"/>
      <c r="J221" s="137"/>
      <c r="K221" s="137"/>
      <c r="L221" s="137"/>
      <c r="M221" s="137"/>
      <c r="N221" s="137"/>
      <c r="O221" s="137"/>
      <c r="P221" s="137"/>
      <c r="Q221" s="137"/>
      <c r="R221" s="137"/>
      <c r="S221" s="137"/>
      <c r="T221" s="137"/>
      <c r="U221" s="99"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37"/>
      <c r="C222" s="137"/>
      <c r="D222" s="137"/>
      <c r="E222" s="137"/>
      <c r="F222" s="138"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39"/>
      <c r="H222" s="138" t="str">
        <f>IF(G222="","",IF(ISNUMBER(SEARCH(",",G222)),"Several items (the script lists them)",IFERROR(INDEX('Dashboard Items'!$B$2:$B$495,MATCH(G222,'Dashboard Items'!$A$2:$A$495,0))&amp;": "&amp;INDEX('Dashboard Items'!$C$2:$C$495,MATCH(G222,'Dashboard Items'!$A$2:$A$495,0)),"ID not found")))</f>
        <v/>
      </c>
      <c r="I222" s="137"/>
      <c r="J222" s="137"/>
      <c r="K222" s="137"/>
      <c r="L222" s="137"/>
      <c r="M222" s="137"/>
      <c r="N222" s="137"/>
      <c r="O222" s="137"/>
      <c r="P222" s="137"/>
      <c r="Q222" s="137"/>
      <c r="R222" s="137"/>
      <c r="S222" s="137"/>
      <c r="T222" s="137"/>
      <c r="U222" s="99"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37"/>
      <c r="C223" s="137"/>
      <c r="D223" s="137"/>
      <c r="E223" s="137"/>
      <c r="F223" s="138"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39"/>
      <c r="H223" s="138" t="str">
        <f>IF(G223="","",IF(ISNUMBER(SEARCH(",",G223)),"Several items (the script lists them)",IFERROR(INDEX('Dashboard Items'!$B$2:$B$495,MATCH(G223,'Dashboard Items'!$A$2:$A$495,0))&amp;": "&amp;INDEX('Dashboard Items'!$C$2:$C$495,MATCH(G223,'Dashboard Items'!$A$2:$A$495,0)),"ID not found")))</f>
        <v/>
      </c>
      <c r="I223" s="137"/>
      <c r="J223" s="137"/>
      <c r="K223" s="137"/>
      <c r="L223" s="137"/>
      <c r="M223" s="137"/>
      <c r="N223" s="137"/>
      <c r="O223" s="137"/>
      <c r="P223" s="137"/>
      <c r="Q223" s="137"/>
      <c r="R223" s="137"/>
      <c r="S223" s="137"/>
      <c r="T223" s="137"/>
      <c r="U223" s="99"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37"/>
      <c r="C224" s="137"/>
      <c r="D224" s="137"/>
      <c r="E224" s="137"/>
      <c r="F224" s="138"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39"/>
      <c r="H224" s="138" t="str">
        <f>IF(G224="","",IF(ISNUMBER(SEARCH(",",G224)),"Several items (the script lists them)",IFERROR(INDEX('Dashboard Items'!$B$2:$B$495,MATCH(G224,'Dashboard Items'!$A$2:$A$495,0))&amp;": "&amp;INDEX('Dashboard Items'!$C$2:$C$495,MATCH(G224,'Dashboard Items'!$A$2:$A$495,0)),"ID not found")))</f>
        <v/>
      </c>
      <c r="I224" s="137"/>
      <c r="J224" s="137"/>
      <c r="K224" s="137"/>
      <c r="L224" s="137"/>
      <c r="M224" s="137"/>
      <c r="N224" s="137"/>
      <c r="O224" s="137"/>
      <c r="P224" s="137"/>
      <c r="Q224" s="137"/>
      <c r="R224" s="137"/>
      <c r="S224" s="137"/>
      <c r="T224" s="137"/>
      <c r="U224" s="99"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37"/>
      <c r="C225" s="137"/>
      <c r="D225" s="137"/>
      <c r="E225" s="137"/>
      <c r="F225" s="138"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39"/>
      <c r="H225" s="138" t="str">
        <f>IF(G225="","",IF(ISNUMBER(SEARCH(",",G225)),"Several items (the script lists them)",IFERROR(INDEX('Dashboard Items'!$B$2:$B$495,MATCH(G225,'Dashboard Items'!$A$2:$A$495,0))&amp;": "&amp;INDEX('Dashboard Items'!$C$2:$C$495,MATCH(G225,'Dashboard Items'!$A$2:$A$495,0)),"ID not found")))</f>
        <v/>
      </c>
      <c r="I225" s="137"/>
      <c r="J225" s="137"/>
      <c r="K225" s="137"/>
      <c r="L225" s="137"/>
      <c r="M225" s="137"/>
      <c r="N225" s="137"/>
      <c r="O225" s="137"/>
      <c r="P225" s="137"/>
      <c r="Q225" s="137"/>
      <c r="R225" s="137"/>
      <c r="S225" s="137"/>
      <c r="T225" s="137"/>
      <c r="U225" s="99"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37"/>
      <c r="C226" s="137"/>
      <c r="D226" s="137"/>
      <c r="E226" s="137"/>
      <c r="F226" s="138"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39"/>
      <c r="H226" s="138" t="str">
        <f>IF(G226="","",IF(ISNUMBER(SEARCH(",",G226)),"Several items (the script lists them)",IFERROR(INDEX('Dashboard Items'!$B$2:$B$495,MATCH(G226,'Dashboard Items'!$A$2:$A$495,0))&amp;": "&amp;INDEX('Dashboard Items'!$C$2:$C$495,MATCH(G226,'Dashboard Items'!$A$2:$A$495,0)),"ID not found")))</f>
        <v/>
      </c>
      <c r="I226" s="137"/>
      <c r="J226" s="137"/>
      <c r="K226" s="137"/>
      <c r="L226" s="137"/>
      <c r="M226" s="137"/>
      <c r="N226" s="137"/>
      <c r="O226" s="137"/>
      <c r="P226" s="137"/>
      <c r="Q226" s="137"/>
      <c r="R226" s="137"/>
      <c r="S226" s="137"/>
      <c r="T226" s="137"/>
      <c r="U226" s="99"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37"/>
      <c r="C227" s="137"/>
      <c r="D227" s="137"/>
      <c r="E227" s="137"/>
      <c r="F227" s="138"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39"/>
      <c r="H227" s="138" t="str">
        <f>IF(G227="","",IF(ISNUMBER(SEARCH(",",G227)),"Several items (the script lists them)",IFERROR(INDEX('Dashboard Items'!$B$2:$B$495,MATCH(G227,'Dashboard Items'!$A$2:$A$495,0))&amp;": "&amp;INDEX('Dashboard Items'!$C$2:$C$495,MATCH(G227,'Dashboard Items'!$A$2:$A$495,0)),"ID not found")))</f>
        <v/>
      </c>
      <c r="I227" s="137"/>
      <c r="J227" s="137"/>
      <c r="K227" s="137"/>
      <c r="L227" s="137"/>
      <c r="M227" s="137"/>
      <c r="N227" s="137"/>
      <c r="O227" s="137"/>
      <c r="P227" s="137"/>
      <c r="Q227" s="137"/>
      <c r="R227" s="137"/>
      <c r="S227" s="137"/>
      <c r="T227" s="137"/>
      <c r="U227" s="99"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37"/>
      <c r="C228" s="137"/>
      <c r="D228" s="137"/>
      <c r="E228" s="137"/>
      <c r="F228" s="138"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39"/>
      <c r="H228" s="138" t="str">
        <f>IF(G228="","",IF(ISNUMBER(SEARCH(",",G228)),"Several items (the script lists them)",IFERROR(INDEX('Dashboard Items'!$B$2:$B$495,MATCH(G228,'Dashboard Items'!$A$2:$A$495,0))&amp;": "&amp;INDEX('Dashboard Items'!$C$2:$C$495,MATCH(G228,'Dashboard Items'!$A$2:$A$495,0)),"ID not found")))</f>
        <v/>
      </c>
      <c r="I228" s="137"/>
      <c r="J228" s="137"/>
      <c r="K228" s="137"/>
      <c r="L228" s="137"/>
      <c r="M228" s="137"/>
      <c r="N228" s="137"/>
      <c r="O228" s="137"/>
      <c r="P228" s="137"/>
      <c r="Q228" s="137"/>
      <c r="R228" s="137"/>
      <c r="S228" s="137"/>
      <c r="T228" s="137"/>
      <c r="U228" s="99"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37"/>
      <c r="C229" s="137"/>
      <c r="D229" s="137"/>
      <c r="E229" s="137"/>
      <c r="F229" s="138"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39"/>
      <c r="H229" s="138" t="str">
        <f>IF(G229="","",IF(ISNUMBER(SEARCH(",",G229)),"Several items (the script lists them)",IFERROR(INDEX('Dashboard Items'!$B$2:$B$495,MATCH(G229,'Dashboard Items'!$A$2:$A$495,0))&amp;": "&amp;INDEX('Dashboard Items'!$C$2:$C$495,MATCH(G229,'Dashboard Items'!$A$2:$A$495,0)),"ID not found")))</f>
        <v/>
      </c>
      <c r="I229" s="137"/>
      <c r="J229" s="137"/>
      <c r="K229" s="137"/>
      <c r="L229" s="137"/>
      <c r="M229" s="137"/>
      <c r="N229" s="137"/>
      <c r="O229" s="137"/>
      <c r="P229" s="137"/>
      <c r="Q229" s="137"/>
      <c r="R229" s="137"/>
      <c r="S229" s="137"/>
      <c r="T229" s="137"/>
      <c r="U229" s="99"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37"/>
      <c r="C230" s="137"/>
      <c r="D230" s="137"/>
      <c r="E230" s="137"/>
      <c r="F230" s="138"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39"/>
      <c r="H230" s="138" t="str">
        <f>IF(G230="","",IF(ISNUMBER(SEARCH(",",G230)),"Several items (the script lists them)",IFERROR(INDEX('Dashboard Items'!$B$2:$B$495,MATCH(G230,'Dashboard Items'!$A$2:$A$495,0))&amp;": "&amp;INDEX('Dashboard Items'!$C$2:$C$495,MATCH(G230,'Dashboard Items'!$A$2:$A$495,0)),"ID not found")))</f>
        <v/>
      </c>
      <c r="I230" s="137"/>
      <c r="J230" s="137"/>
      <c r="K230" s="137"/>
      <c r="L230" s="137"/>
      <c r="M230" s="137"/>
      <c r="N230" s="137"/>
      <c r="O230" s="137"/>
      <c r="P230" s="137"/>
      <c r="Q230" s="137"/>
      <c r="R230" s="137"/>
      <c r="S230" s="137"/>
      <c r="T230" s="137"/>
      <c r="U230" s="99"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37"/>
      <c r="C231" s="137"/>
      <c r="D231" s="137"/>
      <c r="E231" s="137"/>
      <c r="F231" s="138"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39"/>
      <c r="H231" s="138" t="str">
        <f>IF(G231="","",IF(ISNUMBER(SEARCH(",",G231)),"Several items (the script lists them)",IFERROR(INDEX('Dashboard Items'!$B$2:$B$495,MATCH(G231,'Dashboard Items'!$A$2:$A$495,0))&amp;": "&amp;INDEX('Dashboard Items'!$C$2:$C$495,MATCH(G231,'Dashboard Items'!$A$2:$A$495,0)),"ID not found")))</f>
        <v/>
      </c>
      <c r="I231" s="137"/>
      <c r="J231" s="137"/>
      <c r="K231" s="137"/>
      <c r="L231" s="137"/>
      <c r="M231" s="137"/>
      <c r="N231" s="137"/>
      <c r="O231" s="137"/>
      <c r="P231" s="137"/>
      <c r="Q231" s="137"/>
      <c r="R231" s="137"/>
      <c r="S231" s="137"/>
      <c r="T231" s="137"/>
      <c r="U231" s="99"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37"/>
      <c r="C232" s="137"/>
      <c r="D232" s="137"/>
      <c r="E232" s="137"/>
      <c r="F232" s="138"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39"/>
      <c r="H232" s="138" t="str">
        <f>IF(G232="","",IF(ISNUMBER(SEARCH(",",G232)),"Several items (the script lists them)",IFERROR(INDEX('Dashboard Items'!$B$2:$B$495,MATCH(G232,'Dashboard Items'!$A$2:$A$495,0))&amp;": "&amp;INDEX('Dashboard Items'!$C$2:$C$495,MATCH(G232,'Dashboard Items'!$A$2:$A$495,0)),"ID not found")))</f>
        <v/>
      </c>
      <c r="I232" s="137"/>
      <c r="J232" s="137"/>
      <c r="K232" s="137"/>
      <c r="L232" s="137"/>
      <c r="M232" s="137"/>
      <c r="N232" s="137"/>
      <c r="O232" s="137"/>
      <c r="P232" s="137"/>
      <c r="Q232" s="137"/>
      <c r="R232" s="137"/>
      <c r="S232" s="137"/>
      <c r="T232" s="137"/>
      <c r="U232" s="99"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37"/>
      <c r="C233" s="137"/>
      <c r="D233" s="137"/>
      <c r="E233" s="137"/>
      <c r="F233" s="138"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39"/>
      <c r="H233" s="138" t="str">
        <f>IF(G233="","",IF(ISNUMBER(SEARCH(",",G233)),"Several items (the script lists them)",IFERROR(INDEX('Dashboard Items'!$B$2:$B$495,MATCH(G233,'Dashboard Items'!$A$2:$A$495,0))&amp;": "&amp;INDEX('Dashboard Items'!$C$2:$C$495,MATCH(G233,'Dashboard Items'!$A$2:$A$495,0)),"ID not found")))</f>
        <v/>
      </c>
      <c r="I233" s="137"/>
      <c r="J233" s="137"/>
      <c r="K233" s="137"/>
      <c r="L233" s="137"/>
      <c r="M233" s="137"/>
      <c r="N233" s="137"/>
      <c r="O233" s="137"/>
      <c r="P233" s="137"/>
      <c r="Q233" s="137"/>
      <c r="R233" s="137"/>
      <c r="S233" s="137"/>
      <c r="T233" s="137"/>
      <c r="U233" s="99"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37"/>
      <c r="C234" s="137"/>
      <c r="D234" s="137"/>
      <c r="E234" s="137"/>
      <c r="F234" s="138"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39"/>
      <c r="H234" s="138" t="str">
        <f>IF(G234="","",IF(ISNUMBER(SEARCH(",",G234)),"Several items (the script lists them)",IFERROR(INDEX('Dashboard Items'!$B$2:$B$495,MATCH(G234,'Dashboard Items'!$A$2:$A$495,0))&amp;": "&amp;INDEX('Dashboard Items'!$C$2:$C$495,MATCH(G234,'Dashboard Items'!$A$2:$A$495,0)),"ID not found")))</f>
        <v/>
      </c>
      <c r="I234" s="137"/>
      <c r="J234" s="137"/>
      <c r="K234" s="137"/>
      <c r="L234" s="137"/>
      <c r="M234" s="137"/>
      <c r="N234" s="137"/>
      <c r="O234" s="137"/>
      <c r="P234" s="137"/>
      <c r="Q234" s="137"/>
      <c r="R234" s="137"/>
      <c r="S234" s="137"/>
      <c r="T234" s="137"/>
      <c r="U234" s="99"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37"/>
      <c r="C235" s="137"/>
      <c r="D235" s="137"/>
      <c r="E235" s="137"/>
      <c r="F235" s="138"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39"/>
      <c r="H235" s="138" t="str">
        <f>IF(G235="","",IF(ISNUMBER(SEARCH(",",G235)),"Several items (the script lists them)",IFERROR(INDEX('Dashboard Items'!$B$2:$B$495,MATCH(G235,'Dashboard Items'!$A$2:$A$495,0))&amp;": "&amp;INDEX('Dashboard Items'!$C$2:$C$495,MATCH(G235,'Dashboard Items'!$A$2:$A$495,0)),"ID not found")))</f>
        <v/>
      </c>
      <c r="I235" s="137"/>
      <c r="J235" s="137"/>
      <c r="K235" s="137"/>
      <c r="L235" s="137"/>
      <c r="M235" s="137"/>
      <c r="N235" s="137"/>
      <c r="O235" s="137"/>
      <c r="P235" s="137"/>
      <c r="Q235" s="137"/>
      <c r="R235" s="137"/>
      <c r="S235" s="137"/>
      <c r="T235" s="137"/>
      <c r="U235" s="99"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37"/>
      <c r="C236" s="137"/>
      <c r="D236" s="137"/>
      <c r="E236" s="137"/>
      <c r="F236" s="138"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39"/>
      <c r="H236" s="138" t="str">
        <f>IF(G236="","",IF(ISNUMBER(SEARCH(",",G236)),"Several items (the script lists them)",IFERROR(INDEX('Dashboard Items'!$B$2:$B$495,MATCH(G236,'Dashboard Items'!$A$2:$A$495,0))&amp;": "&amp;INDEX('Dashboard Items'!$C$2:$C$495,MATCH(G236,'Dashboard Items'!$A$2:$A$495,0)),"ID not found")))</f>
        <v/>
      </c>
      <c r="I236" s="137"/>
      <c r="J236" s="137"/>
      <c r="K236" s="137"/>
      <c r="L236" s="137"/>
      <c r="M236" s="137"/>
      <c r="N236" s="137"/>
      <c r="O236" s="137"/>
      <c r="P236" s="137"/>
      <c r="Q236" s="137"/>
      <c r="R236" s="137"/>
      <c r="S236" s="137"/>
      <c r="T236" s="137"/>
      <c r="U236" s="99"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37"/>
      <c r="C237" s="137"/>
      <c r="D237" s="137"/>
      <c r="E237" s="137"/>
      <c r="F237" s="138"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39"/>
      <c r="H237" s="138" t="str">
        <f>IF(G237="","",IF(ISNUMBER(SEARCH(",",G237)),"Several items (the script lists them)",IFERROR(INDEX('Dashboard Items'!$B$2:$B$495,MATCH(G237,'Dashboard Items'!$A$2:$A$495,0))&amp;": "&amp;INDEX('Dashboard Items'!$C$2:$C$495,MATCH(G237,'Dashboard Items'!$A$2:$A$495,0)),"ID not found")))</f>
        <v/>
      </c>
      <c r="I237" s="137"/>
      <c r="J237" s="137"/>
      <c r="K237" s="137"/>
      <c r="L237" s="137"/>
      <c r="M237" s="137"/>
      <c r="N237" s="137"/>
      <c r="O237" s="137"/>
      <c r="P237" s="137"/>
      <c r="Q237" s="137"/>
      <c r="R237" s="137"/>
      <c r="S237" s="137"/>
      <c r="T237" s="137"/>
      <c r="U237" s="99"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37"/>
      <c r="C238" s="137"/>
      <c r="D238" s="137"/>
      <c r="E238" s="137"/>
      <c r="F238" s="138"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39"/>
      <c r="H238" s="138" t="str">
        <f>IF(G238="","",IF(ISNUMBER(SEARCH(",",G238)),"Several items (the script lists them)",IFERROR(INDEX('Dashboard Items'!$B$2:$B$495,MATCH(G238,'Dashboard Items'!$A$2:$A$495,0))&amp;": "&amp;INDEX('Dashboard Items'!$C$2:$C$495,MATCH(G238,'Dashboard Items'!$A$2:$A$495,0)),"ID not found")))</f>
        <v/>
      </c>
      <c r="I238" s="137"/>
      <c r="J238" s="137"/>
      <c r="K238" s="137"/>
      <c r="L238" s="137"/>
      <c r="M238" s="137"/>
      <c r="N238" s="137"/>
      <c r="O238" s="137"/>
      <c r="P238" s="137"/>
      <c r="Q238" s="137"/>
      <c r="R238" s="137"/>
      <c r="S238" s="137"/>
      <c r="T238" s="137"/>
      <c r="U238" s="99"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37"/>
      <c r="C239" s="137"/>
      <c r="D239" s="137"/>
      <c r="E239" s="137"/>
      <c r="F239" s="138"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39"/>
      <c r="H239" s="138" t="str">
        <f>IF(G239="","",IF(ISNUMBER(SEARCH(",",G239)),"Several items (the script lists them)",IFERROR(INDEX('Dashboard Items'!$B$2:$B$495,MATCH(G239,'Dashboard Items'!$A$2:$A$495,0))&amp;": "&amp;INDEX('Dashboard Items'!$C$2:$C$495,MATCH(G239,'Dashboard Items'!$A$2:$A$495,0)),"ID not found")))</f>
        <v/>
      </c>
      <c r="I239" s="137"/>
      <c r="J239" s="137"/>
      <c r="K239" s="137"/>
      <c r="L239" s="137"/>
      <c r="M239" s="137"/>
      <c r="N239" s="137"/>
      <c r="O239" s="137"/>
      <c r="P239" s="137"/>
      <c r="Q239" s="137"/>
      <c r="R239" s="137"/>
      <c r="S239" s="137"/>
      <c r="T239" s="137"/>
      <c r="U239" s="99"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37"/>
      <c r="C240" s="137"/>
      <c r="D240" s="137"/>
      <c r="E240" s="137"/>
      <c r="F240" s="138"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39"/>
      <c r="H240" s="138" t="str">
        <f>IF(G240="","",IF(ISNUMBER(SEARCH(",",G240)),"Several items (the script lists them)",IFERROR(INDEX('Dashboard Items'!$B$2:$B$495,MATCH(G240,'Dashboard Items'!$A$2:$A$495,0))&amp;": "&amp;INDEX('Dashboard Items'!$C$2:$C$495,MATCH(G240,'Dashboard Items'!$A$2:$A$495,0)),"ID not found")))</f>
        <v/>
      </c>
      <c r="I240" s="137"/>
      <c r="J240" s="137"/>
      <c r="K240" s="137"/>
      <c r="L240" s="137"/>
      <c r="M240" s="137"/>
      <c r="N240" s="137"/>
      <c r="O240" s="137"/>
      <c r="P240" s="137"/>
      <c r="Q240" s="137"/>
      <c r="R240" s="137"/>
      <c r="S240" s="137"/>
      <c r="T240" s="137"/>
      <c r="U240" s="99"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37"/>
      <c r="C241" s="137"/>
      <c r="D241" s="137"/>
      <c r="E241" s="137"/>
      <c r="F241" s="138"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39"/>
      <c r="H241" s="138" t="str">
        <f>IF(G241="","",IF(ISNUMBER(SEARCH(",",G241)),"Several items (the script lists them)",IFERROR(INDEX('Dashboard Items'!$B$2:$B$495,MATCH(G241,'Dashboard Items'!$A$2:$A$495,0))&amp;": "&amp;INDEX('Dashboard Items'!$C$2:$C$495,MATCH(G241,'Dashboard Items'!$A$2:$A$495,0)),"ID not found")))</f>
        <v/>
      </c>
      <c r="I241" s="137"/>
      <c r="J241" s="137"/>
      <c r="K241" s="137"/>
      <c r="L241" s="137"/>
      <c r="M241" s="137"/>
      <c r="N241" s="137"/>
      <c r="O241" s="137"/>
      <c r="P241" s="137"/>
      <c r="Q241" s="137"/>
      <c r="R241" s="137"/>
      <c r="S241" s="137"/>
      <c r="T241" s="137"/>
      <c r="U241" s="99"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37"/>
      <c r="C242" s="137"/>
      <c r="D242" s="137"/>
      <c r="E242" s="137"/>
      <c r="F242" s="138"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39"/>
      <c r="H242" s="138" t="str">
        <f>IF(G242="","",IF(ISNUMBER(SEARCH(",",G242)),"Several items (the script lists them)",IFERROR(INDEX('Dashboard Items'!$B$2:$B$495,MATCH(G242,'Dashboard Items'!$A$2:$A$495,0))&amp;": "&amp;INDEX('Dashboard Items'!$C$2:$C$495,MATCH(G242,'Dashboard Items'!$A$2:$A$495,0)),"ID not found")))</f>
        <v/>
      </c>
      <c r="I242" s="137"/>
      <c r="J242" s="137"/>
      <c r="K242" s="137"/>
      <c r="L242" s="137"/>
      <c r="M242" s="137"/>
      <c r="N242" s="137"/>
      <c r="O242" s="137"/>
      <c r="P242" s="137"/>
      <c r="Q242" s="137"/>
      <c r="R242" s="137"/>
      <c r="S242" s="137"/>
      <c r="T242" s="137"/>
      <c r="U242" s="99"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37"/>
      <c r="C243" s="137"/>
      <c r="D243" s="137"/>
      <c r="E243" s="137"/>
      <c r="F243" s="138"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39"/>
      <c r="H243" s="138" t="str">
        <f>IF(G243="","",IF(ISNUMBER(SEARCH(",",G243)),"Several items (the script lists them)",IFERROR(INDEX('Dashboard Items'!$B$2:$B$495,MATCH(G243,'Dashboard Items'!$A$2:$A$495,0))&amp;": "&amp;INDEX('Dashboard Items'!$C$2:$C$495,MATCH(G243,'Dashboard Items'!$A$2:$A$495,0)),"ID not found")))</f>
        <v/>
      </c>
      <c r="I243" s="137"/>
      <c r="J243" s="137"/>
      <c r="K243" s="137"/>
      <c r="L243" s="137"/>
      <c r="M243" s="137"/>
      <c r="N243" s="137"/>
      <c r="O243" s="137"/>
      <c r="P243" s="137"/>
      <c r="Q243" s="137"/>
      <c r="R243" s="137"/>
      <c r="S243" s="137"/>
      <c r="T243" s="137"/>
      <c r="U243" s="99"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37"/>
      <c r="C244" s="137"/>
      <c r="D244" s="137"/>
      <c r="E244" s="137"/>
      <c r="F244" s="138"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39"/>
      <c r="H244" s="138" t="str">
        <f>IF(G244="","",IF(ISNUMBER(SEARCH(",",G244)),"Several items (the script lists them)",IFERROR(INDEX('Dashboard Items'!$B$2:$B$495,MATCH(G244,'Dashboard Items'!$A$2:$A$495,0))&amp;": "&amp;INDEX('Dashboard Items'!$C$2:$C$495,MATCH(G244,'Dashboard Items'!$A$2:$A$495,0)),"ID not found")))</f>
        <v/>
      </c>
      <c r="I244" s="137"/>
      <c r="J244" s="137"/>
      <c r="K244" s="137"/>
      <c r="L244" s="137"/>
      <c r="M244" s="137"/>
      <c r="N244" s="137"/>
      <c r="O244" s="137"/>
      <c r="P244" s="137"/>
      <c r="Q244" s="137"/>
      <c r="R244" s="137"/>
      <c r="S244" s="137"/>
      <c r="T244" s="137"/>
      <c r="U244" s="99"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37"/>
      <c r="C245" s="137"/>
      <c r="D245" s="137"/>
      <c r="E245" s="137"/>
      <c r="F245" s="138"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39"/>
      <c r="H245" s="138" t="str">
        <f>IF(G245="","",IF(ISNUMBER(SEARCH(",",G245)),"Several items (the script lists them)",IFERROR(INDEX('Dashboard Items'!$B$2:$B$495,MATCH(G245,'Dashboard Items'!$A$2:$A$495,0))&amp;": "&amp;INDEX('Dashboard Items'!$C$2:$C$495,MATCH(G245,'Dashboard Items'!$A$2:$A$495,0)),"ID not found")))</f>
        <v/>
      </c>
      <c r="I245" s="137"/>
      <c r="J245" s="137"/>
      <c r="K245" s="137"/>
      <c r="L245" s="137"/>
      <c r="M245" s="137"/>
      <c r="N245" s="137"/>
      <c r="O245" s="137"/>
      <c r="P245" s="137"/>
      <c r="Q245" s="137"/>
      <c r="R245" s="137"/>
      <c r="S245" s="137"/>
      <c r="T245" s="137"/>
      <c r="U245" s="99"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37"/>
      <c r="C246" s="137"/>
      <c r="D246" s="137"/>
      <c r="E246" s="137"/>
      <c r="F246" s="138"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39"/>
      <c r="H246" s="138" t="str">
        <f>IF(G246="","",IF(ISNUMBER(SEARCH(",",G246)),"Several items (the script lists them)",IFERROR(INDEX('Dashboard Items'!$B$2:$B$495,MATCH(G246,'Dashboard Items'!$A$2:$A$495,0))&amp;": "&amp;INDEX('Dashboard Items'!$C$2:$C$495,MATCH(G246,'Dashboard Items'!$A$2:$A$495,0)),"ID not found")))</f>
        <v/>
      </c>
      <c r="I246" s="137"/>
      <c r="J246" s="137"/>
      <c r="K246" s="137"/>
      <c r="L246" s="137"/>
      <c r="M246" s="137"/>
      <c r="N246" s="137"/>
      <c r="O246" s="137"/>
      <c r="P246" s="137"/>
      <c r="Q246" s="137"/>
      <c r="R246" s="137"/>
      <c r="S246" s="137"/>
      <c r="T246" s="137"/>
      <c r="U246" s="99"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37"/>
      <c r="C247" s="137"/>
      <c r="D247" s="137"/>
      <c r="E247" s="137"/>
      <c r="F247" s="138"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39"/>
      <c r="H247" s="138" t="str">
        <f>IF(G247="","",IF(ISNUMBER(SEARCH(",",G247)),"Several items (the script lists them)",IFERROR(INDEX('Dashboard Items'!$B$2:$B$495,MATCH(G247,'Dashboard Items'!$A$2:$A$495,0))&amp;": "&amp;INDEX('Dashboard Items'!$C$2:$C$495,MATCH(G247,'Dashboard Items'!$A$2:$A$495,0)),"ID not found")))</f>
        <v/>
      </c>
      <c r="I247" s="137"/>
      <c r="J247" s="137"/>
      <c r="K247" s="137"/>
      <c r="L247" s="137"/>
      <c r="M247" s="137"/>
      <c r="N247" s="137"/>
      <c r="O247" s="137"/>
      <c r="P247" s="137"/>
      <c r="Q247" s="137"/>
      <c r="R247" s="137"/>
      <c r="S247" s="137"/>
      <c r="T247" s="137"/>
      <c r="U247" s="99"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37"/>
      <c r="C248" s="137"/>
      <c r="D248" s="137"/>
      <c r="E248" s="137"/>
      <c r="F248" s="138"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39"/>
      <c r="H248" s="138" t="str">
        <f>IF(G248="","",IF(ISNUMBER(SEARCH(",",G248)),"Several items (the script lists them)",IFERROR(INDEX('Dashboard Items'!$B$2:$B$495,MATCH(G248,'Dashboard Items'!$A$2:$A$495,0))&amp;": "&amp;INDEX('Dashboard Items'!$C$2:$C$495,MATCH(G248,'Dashboard Items'!$A$2:$A$495,0)),"ID not found")))</f>
        <v/>
      </c>
      <c r="I248" s="137"/>
      <c r="J248" s="137"/>
      <c r="K248" s="137"/>
      <c r="L248" s="137"/>
      <c r="M248" s="137"/>
      <c r="N248" s="137"/>
      <c r="O248" s="137"/>
      <c r="P248" s="137"/>
      <c r="Q248" s="137"/>
      <c r="R248" s="137"/>
      <c r="S248" s="137"/>
      <c r="T248" s="137"/>
      <c r="U248" s="99"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37"/>
      <c r="C249" s="137"/>
      <c r="D249" s="137"/>
      <c r="E249" s="137"/>
      <c r="F249" s="138"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39"/>
      <c r="H249" s="138" t="str">
        <f>IF(G249="","",IF(ISNUMBER(SEARCH(",",G249)),"Several items (the script lists them)",IFERROR(INDEX('Dashboard Items'!$B$2:$B$495,MATCH(G249,'Dashboard Items'!$A$2:$A$495,0))&amp;": "&amp;INDEX('Dashboard Items'!$C$2:$C$495,MATCH(G249,'Dashboard Items'!$A$2:$A$495,0)),"ID not found")))</f>
        <v/>
      </c>
      <c r="I249" s="137"/>
      <c r="J249" s="137"/>
      <c r="K249" s="137"/>
      <c r="L249" s="137"/>
      <c r="M249" s="137"/>
      <c r="N249" s="137"/>
      <c r="O249" s="137"/>
      <c r="P249" s="137"/>
      <c r="Q249" s="137"/>
      <c r="R249" s="137"/>
      <c r="S249" s="137"/>
      <c r="T249" s="137"/>
      <c r="U249" s="99"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37"/>
      <c r="C250" s="137"/>
      <c r="D250" s="137"/>
      <c r="E250" s="137"/>
      <c r="F250" s="138"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39"/>
      <c r="H250" s="138" t="str">
        <f>IF(G250="","",IF(ISNUMBER(SEARCH(",",G250)),"Several items (the script lists them)",IFERROR(INDEX('Dashboard Items'!$B$2:$B$495,MATCH(G250,'Dashboard Items'!$A$2:$A$495,0))&amp;": "&amp;INDEX('Dashboard Items'!$C$2:$C$495,MATCH(G250,'Dashboard Items'!$A$2:$A$495,0)),"ID not found")))</f>
        <v/>
      </c>
      <c r="I250" s="137"/>
      <c r="J250" s="137"/>
      <c r="K250" s="137"/>
      <c r="L250" s="137"/>
      <c r="M250" s="137"/>
      <c r="N250" s="137"/>
      <c r="O250" s="137"/>
      <c r="P250" s="137"/>
      <c r="Q250" s="137"/>
      <c r="R250" s="137"/>
      <c r="S250" s="137"/>
      <c r="T250" s="137"/>
      <c r="U250" s="99"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37"/>
      <c r="C251" s="137"/>
      <c r="D251" s="137"/>
      <c r="E251" s="137"/>
      <c r="F251" s="138"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39"/>
      <c r="H251" s="138" t="str">
        <f>IF(G251="","",IF(ISNUMBER(SEARCH(",",G251)),"Several items (the script lists them)",IFERROR(INDEX('Dashboard Items'!$B$2:$B$495,MATCH(G251,'Dashboard Items'!$A$2:$A$495,0))&amp;": "&amp;INDEX('Dashboard Items'!$C$2:$C$495,MATCH(G251,'Dashboard Items'!$A$2:$A$495,0)),"ID not found")))</f>
        <v/>
      </c>
      <c r="I251" s="137"/>
      <c r="J251" s="137"/>
      <c r="K251" s="137"/>
      <c r="L251" s="137"/>
      <c r="M251" s="137"/>
      <c r="N251" s="137"/>
      <c r="O251" s="137"/>
      <c r="P251" s="137"/>
      <c r="Q251" s="137"/>
      <c r="R251" s="137"/>
      <c r="S251" s="137"/>
      <c r="T251" s="137"/>
      <c r="U251" s="99"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37"/>
      <c r="C252" s="137"/>
      <c r="D252" s="137"/>
      <c r="E252" s="137"/>
      <c r="F252" s="138"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39"/>
      <c r="H252" s="138" t="str">
        <f>IF(G252="","",IF(ISNUMBER(SEARCH(",",G252)),"Several items (the script lists them)",IFERROR(INDEX('Dashboard Items'!$B$2:$B$495,MATCH(G252,'Dashboard Items'!$A$2:$A$495,0))&amp;": "&amp;INDEX('Dashboard Items'!$C$2:$C$495,MATCH(G252,'Dashboard Items'!$A$2:$A$495,0)),"ID not found")))</f>
        <v/>
      </c>
      <c r="I252" s="137"/>
      <c r="J252" s="137"/>
      <c r="K252" s="137"/>
      <c r="L252" s="137"/>
      <c r="M252" s="137"/>
      <c r="N252" s="137"/>
      <c r="O252" s="137"/>
      <c r="P252" s="137"/>
      <c r="Q252" s="137"/>
      <c r="R252" s="137"/>
      <c r="S252" s="137"/>
      <c r="T252" s="137"/>
      <c r="U252" s="99"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37"/>
      <c r="C253" s="137"/>
      <c r="D253" s="137"/>
      <c r="E253" s="137"/>
      <c r="F253" s="138"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39"/>
      <c r="H253" s="138" t="str">
        <f>IF(G253="","",IF(ISNUMBER(SEARCH(",",G253)),"Several items (the script lists them)",IFERROR(INDEX('Dashboard Items'!$B$2:$B$495,MATCH(G253,'Dashboard Items'!$A$2:$A$495,0))&amp;": "&amp;INDEX('Dashboard Items'!$C$2:$C$495,MATCH(G253,'Dashboard Items'!$A$2:$A$495,0)),"ID not found")))</f>
        <v/>
      </c>
      <c r="I253" s="137"/>
      <c r="J253" s="137"/>
      <c r="K253" s="137"/>
      <c r="L253" s="137"/>
      <c r="M253" s="137"/>
      <c r="N253" s="137"/>
      <c r="O253" s="137"/>
      <c r="P253" s="137"/>
      <c r="Q253" s="137"/>
      <c r="R253" s="137"/>
      <c r="S253" s="137"/>
      <c r="T253" s="137"/>
      <c r="U253" s="99"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37"/>
      <c r="C254" s="137"/>
      <c r="D254" s="137"/>
      <c r="E254" s="137"/>
      <c r="F254" s="138"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39"/>
      <c r="H254" s="138" t="str">
        <f>IF(G254="","",IF(ISNUMBER(SEARCH(",",G254)),"Several items (the script lists them)",IFERROR(INDEX('Dashboard Items'!$B$2:$B$495,MATCH(G254,'Dashboard Items'!$A$2:$A$495,0))&amp;": "&amp;INDEX('Dashboard Items'!$C$2:$C$495,MATCH(G254,'Dashboard Items'!$A$2:$A$495,0)),"ID not found")))</f>
        <v/>
      </c>
      <c r="I254" s="137"/>
      <c r="J254" s="137"/>
      <c r="K254" s="137"/>
      <c r="L254" s="137"/>
      <c r="M254" s="137"/>
      <c r="N254" s="137"/>
      <c r="O254" s="137"/>
      <c r="P254" s="137"/>
      <c r="Q254" s="137"/>
      <c r="R254" s="137"/>
      <c r="S254" s="137"/>
      <c r="T254" s="137"/>
      <c r="U254" s="99"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37"/>
      <c r="C255" s="137"/>
      <c r="D255" s="137"/>
      <c r="E255" s="137"/>
      <c r="F255" s="138"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39"/>
      <c r="H255" s="138" t="str">
        <f>IF(G255="","",IF(ISNUMBER(SEARCH(",",G255)),"Several items (the script lists them)",IFERROR(INDEX('Dashboard Items'!$B$2:$B$495,MATCH(G255,'Dashboard Items'!$A$2:$A$495,0))&amp;": "&amp;INDEX('Dashboard Items'!$C$2:$C$495,MATCH(G255,'Dashboard Items'!$A$2:$A$495,0)),"ID not found")))</f>
        <v/>
      </c>
      <c r="I255" s="137"/>
      <c r="J255" s="137"/>
      <c r="K255" s="137"/>
      <c r="L255" s="137"/>
      <c r="M255" s="137"/>
      <c r="N255" s="137"/>
      <c r="O255" s="137"/>
      <c r="P255" s="137"/>
      <c r="Q255" s="137"/>
      <c r="R255" s="137"/>
      <c r="S255" s="137"/>
      <c r="T255" s="137"/>
      <c r="U255" s="99"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37"/>
      <c r="C256" s="137"/>
      <c r="D256" s="137"/>
      <c r="E256" s="137"/>
      <c r="F256" s="138"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39"/>
      <c r="H256" s="138" t="str">
        <f>IF(G256="","",IF(ISNUMBER(SEARCH(",",G256)),"Several items (the script lists them)",IFERROR(INDEX('Dashboard Items'!$B$2:$B$495,MATCH(G256,'Dashboard Items'!$A$2:$A$495,0))&amp;": "&amp;INDEX('Dashboard Items'!$C$2:$C$495,MATCH(G256,'Dashboard Items'!$A$2:$A$495,0)),"ID not found")))</f>
        <v/>
      </c>
      <c r="I256" s="137"/>
      <c r="J256" s="137"/>
      <c r="K256" s="137"/>
      <c r="L256" s="137"/>
      <c r="M256" s="137"/>
      <c r="N256" s="137"/>
      <c r="O256" s="137"/>
      <c r="P256" s="137"/>
      <c r="Q256" s="137"/>
      <c r="R256" s="137"/>
      <c r="S256" s="137"/>
      <c r="T256" s="137"/>
      <c r="U256" s="99"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37"/>
      <c r="C257" s="137"/>
      <c r="D257" s="137"/>
      <c r="E257" s="137"/>
      <c r="F257" s="138"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39"/>
      <c r="H257" s="138" t="str">
        <f>IF(G257="","",IF(ISNUMBER(SEARCH(",",G257)),"Several items (the script lists them)",IFERROR(INDEX('Dashboard Items'!$B$2:$B$495,MATCH(G257,'Dashboard Items'!$A$2:$A$495,0))&amp;": "&amp;INDEX('Dashboard Items'!$C$2:$C$495,MATCH(G257,'Dashboard Items'!$A$2:$A$495,0)),"ID not found")))</f>
        <v/>
      </c>
      <c r="I257" s="137"/>
      <c r="J257" s="137"/>
      <c r="K257" s="137"/>
      <c r="L257" s="137"/>
      <c r="M257" s="137"/>
      <c r="N257" s="137"/>
      <c r="O257" s="137"/>
      <c r="P257" s="137"/>
      <c r="Q257" s="137"/>
      <c r="R257" s="137"/>
      <c r="S257" s="137"/>
      <c r="T257" s="137"/>
      <c r="U257" s="99"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37"/>
      <c r="C258" s="137"/>
      <c r="D258" s="137"/>
      <c r="E258" s="137"/>
      <c r="F258" s="138"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39"/>
      <c r="H258" s="138" t="str">
        <f>IF(G258="","",IF(ISNUMBER(SEARCH(",",G258)),"Several items (the script lists them)",IFERROR(INDEX('Dashboard Items'!$B$2:$B$495,MATCH(G258,'Dashboard Items'!$A$2:$A$495,0))&amp;": "&amp;INDEX('Dashboard Items'!$C$2:$C$495,MATCH(G258,'Dashboard Items'!$A$2:$A$495,0)),"ID not found")))</f>
        <v/>
      </c>
      <c r="I258" s="137"/>
      <c r="J258" s="137"/>
      <c r="K258" s="137"/>
      <c r="L258" s="137"/>
      <c r="M258" s="137"/>
      <c r="N258" s="137"/>
      <c r="O258" s="137"/>
      <c r="P258" s="137"/>
      <c r="Q258" s="137"/>
      <c r="R258" s="137"/>
      <c r="S258" s="137"/>
      <c r="T258" s="137"/>
      <c r="U258" s="99"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37"/>
      <c r="C259" s="137"/>
      <c r="D259" s="137"/>
      <c r="E259" s="137"/>
      <c r="F259" s="138"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39"/>
      <c r="H259" s="138" t="str">
        <f>IF(G259="","",IF(ISNUMBER(SEARCH(",",G259)),"Several items (the script lists them)",IFERROR(INDEX('Dashboard Items'!$B$2:$B$495,MATCH(G259,'Dashboard Items'!$A$2:$A$495,0))&amp;": "&amp;INDEX('Dashboard Items'!$C$2:$C$495,MATCH(G259,'Dashboard Items'!$A$2:$A$495,0)),"ID not found")))</f>
        <v/>
      </c>
      <c r="I259" s="137"/>
      <c r="J259" s="137"/>
      <c r="K259" s="137"/>
      <c r="L259" s="137"/>
      <c r="M259" s="137"/>
      <c r="N259" s="137"/>
      <c r="O259" s="137"/>
      <c r="P259" s="137"/>
      <c r="Q259" s="137"/>
      <c r="R259" s="137"/>
      <c r="S259" s="137"/>
      <c r="T259" s="137"/>
      <c r="U259" s="99"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37"/>
      <c r="C260" s="137"/>
      <c r="D260" s="137"/>
      <c r="E260" s="137"/>
      <c r="F260" s="138"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39"/>
      <c r="H260" s="138" t="str">
        <f>IF(G260="","",IF(ISNUMBER(SEARCH(",",G260)),"Several items (the script lists them)",IFERROR(INDEX('Dashboard Items'!$B$2:$B$495,MATCH(G260,'Dashboard Items'!$A$2:$A$495,0))&amp;": "&amp;INDEX('Dashboard Items'!$C$2:$C$495,MATCH(G260,'Dashboard Items'!$A$2:$A$495,0)),"ID not found")))</f>
        <v/>
      </c>
      <c r="I260" s="137"/>
      <c r="J260" s="137"/>
      <c r="K260" s="137"/>
      <c r="L260" s="137"/>
      <c r="M260" s="137"/>
      <c r="N260" s="137"/>
      <c r="O260" s="137"/>
      <c r="P260" s="137"/>
      <c r="Q260" s="137"/>
      <c r="R260" s="137"/>
      <c r="S260" s="137"/>
      <c r="T260" s="137"/>
      <c r="U260" s="99"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37"/>
      <c r="C261" s="137"/>
      <c r="D261" s="137"/>
      <c r="E261" s="137"/>
      <c r="F261" s="138"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39"/>
      <c r="H261" s="138" t="str">
        <f>IF(G261="","",IF(ISNUMBER(SEARCH(",",G261)),"Several items (the script lists them)",IFERROR(INDEX('Dashboard Items'!$B$2:$B$495,MATCH(G261,'Dashboard Items'!$A$2:$A$495,0))&amp;": "&amp;INDEX('Dashboard Items'!$C$2:$C$495,MATCH(G261,'Dashboard Items'!$A$2:$A$495,0)),"ID not found")))</f>
        <v/>
      </c>
      <c r="I261" s="137"/>
      <c r="J261" s="137"/>
      <c r="K261" s="137"/>
      <c r="L261" s="137"/>
      <c r="M261" s="137"/>
      <c r="N261" s="137"/>
      <c r="O261" s="137"/>
      <c r="P261" s="137"/>
      <c r="Q261" s="137"/>
      <c r="R261" s="137"/>
      <c r="S261" s="137"/>
      <c r="T261" s="137"/>
      <c r="U261" s="99"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37"/>
      <c r="C262" s="137"/>
      <c r="D262" s="137"/>
      <c r="E262" s="137"/>
      <c r="F262" s="138"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39"/>
      <c r="H262" s="138" t="str">
        <f>IF(G262="","",IF(ISNUMBER(SEARCH(",",G262)),"Several items (the script lists them)",IFERROR(INDEX('Dashboard Items'!$B$2:$B$495,MATCH(G262,'Dashboard Items'!$A$2:$A$495,0))&amp;": "&amp;INDEX('Dashboard Items'!$C$2:$C$495,MATCH(G262,'Dashboard Items'!$A$2:$A$495,0)),"ID not found")))</f>
        <v/>
      </c>
      <c r="I262" s="137"/>
      <c r="J262" s="137"/>
      <c r="K262" s="137"/>
      <c r="L262" s="137"/>
      <c r="M262" s="137"/>
      <c r="N262" s="137"/>
      <c r="O262" s="137"/>
      <c r="P262" s="137"/>
      <c r="Q262" s="137"/>
      <c r="R262" s="137"/>
      <c r="S262" s="137"/>
      <c r="T262" s="137"/>
      <c r="U262" s="99"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37"/>
      <c r="C263" s="137"/>
      <c r="D263" s="137"/>
      <c r="E263" s="137"/>
      <c r="F263" s="138"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39"/>
      <c r="H263" s="138" t="str">
        <f>IF(G263="","",IF(ISNUMBER(SEARCH(",",G263)),"Several items (the script lists them)",IFERROR(INDEX('Dashboard Items'!$B$2:$B$495,MATCH(G263,'Dashboard Items'!$A$2:$A$495,0))&amp;": "&amp;INDEX('Dashboard Items'!$C$2:$C$495,MATCH(G263,'Dashboard Items'!$A$2:$A$495,0)),"ID not found")))</f>
        <v/>
      </c>
      <c r="I263" s="137"/>
      <c r="J263" s="137"/>
      <c r="K263" s="137"/>
      <c r="L263" s="137"/>
      <c r="M263" s="137"/>
      <c r="N263" s="137"/>
      <c r="O263" s="137"/>
      <c r="P263" s="137"/>
      <c r="Q263" s="137"/>
      <c r="R263" s="137"/>
      <c r="S263" s="137"/>
      <c r="T263" s="137"/>
      <c r="U263" s="99"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37"/>
      <c r="C264" s="137"/>
      <c r="D264" s="137"/>
      <c r="E264" s="137"/>
      <c r="F264" s="138"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39"/>
      <c r="H264" s="138" t="str">
        <f>IF(G264="","",IF(ISNUMBER(SEARCH(",",G264)),"Several items (the script lists them)",IFERROR(INDEX('Dashboard Items'!$B$2:$B$495,MATCH(G264,'Dashboard Items'!$A$2:$A$495,0))&amp;": "&amp;INDEX('Dashboard Items'!$C$2:$C$495,MATCH(G264,'Dashboard Items'!$A$2:$A$495,0)),"ID not found")))</f>
        <v/>
      </c>
      <c r="I264" s="137"/>
      <c r="J264" s="137"/>
      <c r="K264" s="137"/>
      <c r="L264" s="137"/>
      <c r="M264" s="137"/>
      <c r="N264" s="137"/>
      <c r="O264" s="137"/>
      <c r="P264" s="137"/>
      <c r="Q264" s="137"/>
      <c r="R264" s="137"/>
      <c r="S264" s="137"/>
      <c r="T264" s="137"/>
      <c r="U264" s="99"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37"/>
      <c r="C265" s="137"/>
      <c r="D265" s="137"/>
      <c r="E265" s="137"/>
      <c r="F265" s="138"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39"/>
      <c r="H265" s="138" t="str">
        <f>IF(G265="","",IF(ISNUMBER(SEARCH(",",G265)),"Several items (the script lists them)",IFERROR(INDEX('Dashboard Items'!$B$2:$B$495,MATCH(G265,'Dashboard Items'!$A$2:$A$495,0))&amp;": "&amp;INDEX('Dashboard Items'!$C$2:$C$495,MATCH(G265,'Dashboard Items'!$A$2:$A$495,0)),"ID not found")))</f>
        <v/>
      </c>
      <c r="I265" s="137"/>
      <c r="J265" s="137"/>
      <c r="K265" s="137"/>
      <c r="L265" s="137"/>
      <c r="M265" s="137"/>
      <c r="N265" s="137"/>
      <c r="O265" s="137"/>
      <c r="P265" s="137"/>
      <c r="Q265" s="137"/>
      <c r="R265" s="137"/>
      <c r="S265" s="137"/>
      <c r="T265" s="137"/>
      <c r="U265" s="99"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37"/>
      <c r="C266" s="137"/>
      <c r="D266" s="137"/>
      <c r="E266" s="137"/>
      <c r="F266" s="138"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39"/>
      <c r="H266" s="138" t="str">
        <f>IF(G266="","",IF(ISNUMBER(SEARCH(",",G266)),"Several items (the script lists them)",IFERROR(INDEX('Dashboard Items'!$B$2:$B$495,MATCH(G266,'Dashboard Items'!$A$2:$A$495,0))&amp;": "&amp;INDEX('Dashboard Items'!$C$2:$C$495,MATCH(G266,'Dashboard Items'!$A$2:$A$495,0)),"ID not found")))</f>
        <v/>
      </c>
      <c r="I266" s="137"/>
      <c r="J266" s="137"/>
      <c r="K266" s="137"/>
      <c r="L266" s="137"/>
      <c r="M266" s="137"/>
      <c r="N266" s="137"/>
      <c r="O266" s="137"/>
      <c r="P266" s="137"/>
      <c r="Q266" s="137"/>
      <c r="R266" s="137"/>
      <c r="S266" s="137"/>
      <c r="T266" s="137"/>
      <c r="U266" s="99"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37"/>
      <c r="C267" s="137"/>
      <c r="D267" s="137"/>
      <c r="E267" s="137"/>
      <c r="F267" s="138"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39"/>
      <c r="H267" s="138" t="str">
        <f>IF(G267="","",IF(ISNUMBER(SEARCH(",",G267)),"Several items (the script lists them)",IFERROR(INDEX('Dashboard Items'!$B$2:$B$495,MATCH(G267,'Dashboard Items'!$A$2:$A$495,0))&amp;": "&amp;INDEX('Dashboard Items'!$C$2:$C$495,MATCH(G267,'Dashboard Items'!$A$2:$A$495,0)),"ID not found")))</f>
        <v/>
      </c>
      <c r="I267" s="137"/>
      <c r="J267" s="137"/>
      <c r="K267" s="137"/>
      <c r="L267" s="137"/>
      <c r="M267" s="137"/>
      <c r="N267" s="137"/>
      <c r="O267" s="137"/>
      <c r="P267" s="137"/>
      <c r="Q267" s="137"/>
      <c r="R267" s="137"/>
      <c r="S267" s="137"/>
      <c r="T267" s="137"/>
      <c r="U267" s="99"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37"/>
      <c r="C268" s="137"/>
      <c r="D268" s="137"/>
      <c r="E268" s="137"/>
      <c r="F268" s="138"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39"/>
      <c r="H268" s="138" t="str">
        <f>IF(G268="","",IF(ISNUMBER(SEARCH(",",G268)),"Several items (the script lists them)",IFERROR(INDEX('Dashboard Items'!$B$2:$B$495,MATCH(G268,'Dashboard Items'!$A$2:$A$495,0))&amp;": "&amp;INDEX('Dashboard Items'!$C$2:$C$495,MATCH(G268,'Dashboard Items'!$A$2:$A$495,0)),"ID not found")))</f>
        <v/>
      </c>
      <c r="I268" s="137"/>
      <c r="J268" s="137"/>
      <c r="K268" s="137"/>
      <c r="L268" s="137"/>
      <c r="M268" s="137"/>
      <c r="N268" s="137"/>
      <c r="O268" s="137"/>
      <c r="P268" s="137"/>
      <c r="Q268" s="137"/>
      <c r="R268" s="137"/>
      <c r="S268" s="137"/>
      <c r="T268" s="137"/>
      <c r="U268" s="99"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37"/>
      <c r="C269" s="137"/>
      <c r="D269" s="137"/>
      <c r="E269" s="137"/>
      <c r="F269" s="138"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39"/>
      <c r="H269" s="138" t="str">
        <f>IF(G269="","",IF(ISNUMBER(SEARCH(",",G269)),"Several items (the script lists them)",IFERROR(INDEX('Dashboard Items'!$B$2:$B$495,MATCH(G269,'Dashboard Items'!$A$2:$A$495,0))&amp;": "&amp;INDEX('Dashboard Items'!$C$2:$C$495,MATCH(G269,'Dashboard Items'!$A$2:$A$495,0)),"ID not found")))</f>
        <v/>
      </c>
      <c r="I269" s="137"/>
      <c r="J269" s="137"/>
      <c r="K269" s="137"/>
      <c r="L269" s="137"/>
      <c r="M269" s="137"/>
      <c r="N269" s="137"/>
      <c r="O269" s="137"/>
      <c r="P269" s="137"/>
      <c r="Q269" s="137"/>
      <c r="R269" s="137"/>
      <c r="S269" s="137"/>
      <c r="T269" s="137"/>
      <c r="U269" s="99"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37"/>
      <c r="C270" s="137"/>
      <c r="D270" s="137"/>
      <c r="E270" s="137"/>
      <c r="F270" s="138"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39"/>
      <c r="H270" s="138" t="str">
        <f>IF(G270="","",IF(ISNUMBER(SEARCH(",",G270)),"Several items (the script lists them)",IFERROR(INDEX('Dashboard Items'!$B$2:$B$495,MATCH(G270,'Dashboard Items'!$A$2:$A$495,0))&amp;": "&amp;INDEX('Dashboard Items'!$C$2:$C$495,MATCH(G270,'Dashboard Items'!$A$2:$A$495,0)),"ID not found")))</f>
        <v/>
      </c>
      <c r="I270" s="137"/>
      <c r="J270" s="137"/>
      <c r="K270" s="137"/>
      <c r="L270" s="137"/>
      <c r="M270" s="137"/>
      <c r="N270" s="137"/>
      <c r="O270" s="137"/>
      <c r="P270" s="137"/>
      <c r="Q270" s="137"/>
      <c r="R270" s="137"/>
      <c r="S270" s="137"/>
      <c r="T270" s="137"/>
      <c r="U270" s="99"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37"/>
      <c r="C271" s="137"/>
      <c r="D271" s="137"/>
      <c r="E271" s="137"/>
      <c r="F271" s="138"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39"/>
      <c r="H271" s="138" t="str">
        <f>IF(G271="","",IF(ISNUMBER(SEARCH(",",G271)),"Several items (the script lists them)",IFERROR(INDEX('Dashboard Items'!$B$2:$B$495,MATCH(G271,'Dashboard Items'!$A$2:$A$495,0))&amp;": "&amp;INDEX('Dashboard Items'!$C$2:$C$495,MATCH(G271,'Dashboard Items'!$A$2:$A$495,0)),"ID not found")))</f>
        <v/>
      </c>
      <c r="I271" s="137"/>
      <c r="J271" s="137"/>
      <c r="K271" s="137"/>
      <c r="L271" s="137"/>
      <c r="M271" s="137"/>
      <c r="N271" s="137"/>
      <c r="O271" s="137"/>
      <c r="P271" s="137"/>
      <c r="Q271" s="137"/>
      <c r="R271" s="137"/>
      <c r="S271" s="137"/>
      <c r="T271" s="137"/>
      <c r="U271" s="99"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37"/>
      <c r="C272" s="137"/>
      <c r="D272" s="137"/>
      <c r="E272" s="137"/>
      <c r="F272" s="138"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39"/>
      <c r="H272" s="138" t="str">
        <f>IF(G272="","",IF(ISNUMBER(SEARCH(",",G272)),"Several items (the script lists them)",IFERROR(INDEX('Dashboard Items'!$B$2:$B$495,MATCH(G272,'Dashboard Items'!$A$2:$A$495,0))&amp;": "&amp;INDEX('Dashboard Items'!$C$2:$C$495,MATCH(G272,'Dashboard Items'!$A$2:$A$495,0)),"ID not found")))</f>
        <v/>
      </c>
      <c r="I272" s="137"/>
      <c r="J272" s="137"/>
      <c r="K272" s="137"/>
      <c r="L272" s="137"/>
      <c r="M272" s="137"/>
      <c r="N272" s="137"/>
      <c r="O272" s="137"/>
      <c r="P272" s="137"/>
      <c r="Q272" s="137"/>
      <c r="R272" s="137"/>
      <c r="S272" s="137"/>
      <c r="T272" s="137"/>
      <c r="U272" s="99"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37"/>
      <c r="C273" s="137"/>
      <c r="D273" s="137"/>
      <c r="E273" s="137"/>
      <c r="F273" s="138"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39"/>
      <c r="H273" s="138" t="str">
        <f>IF(G273="","",IF(ISNUMBER(SEARCH(",",G273)),"Several items (the script lists them)",IFERROR(INDEX('Dashboard Items'!$B$2:$B$495,MATCH(G273,'Dashboard Items'!$A$2:$A$495,0))&amp;": "&amp;INDEX('Dashboard Items'!$C$2:$C$495,MATCH(G273,'Dashboard Items'!$A$2:$A$495,0)),"ID not found")))</f>
        <v/>
      </c>
      <c r="I273" s="137"/>
      <c r="J273" s="137"/>
      <c r="K273" s="137"/>
      <c r="L273" s="137"/>
      <c r="M273" s="137"/>
      <c r="N273" s="137"/>
      <c r="O273" s="137"/>
      <c r="P273" s="137"/>
      <c r="Q273" s="137"/>
      <c r="R273" s="137"/>
      <c r="S273" s="137"/>
      <c r="T273" s="137"/>
      <c r="U273" s="99"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37"/>
      <c r="C274" s="137"/>
      <c r="D274" s="137"/>
      <c r="E274" s="137"/>
      <c r="F274" s="138"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39"/>
      <c r="H274" s="138" t="str">
        <f>IF(G274="","",IF(ISNUMBER(SEARCH(",",G274)),"Several items (the script lists them)",IFERROR(INDEX('Dashboard Items'!$B$2:$B$495,MATCH(G274,'Dashboard Items'!$A$2:$A$495,0))&amp;": "&amp;INDEX('Dashboard Items'!$C$2:$C$495,MATCH(G274,'Dashboard Items'!$A$2:$A$495,0)),"ID not found")))</f>
        <v/>
      </c>
      <c r="I274" s="137"/>
      <c r="J274" s="137"/>
      <c r="K274" s="137"/>
      <c r="L274" s="137"/>
      <c r="M274" s="137"/>
      <c r="N274" s="137"/>
      <c r="O274" s="137"/>
      <c r="P274" s="137"/>
      <c r="Q274" s="137"/>
      <c r="R274" s="137"/>
      <c r="S274" s="137"/>
      <c r="T274" s="137"/>
      <c r="U274" s="99"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37"/>
      <c r="C275" s="137"/>
      <c r="D275" s="137"/>
      <c r="E275" s="137"/>
      <c r="F275" s="138"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39"/>
      <c r="H275" s="138" t="str">
        <f>IF(G275="","",IF(ISNUMBER(SEARCH(",",G275)),"Several items (the script lists them)",IFERROR(INDEX('Dashboard Items'!$B$2:$B$495,MATCH(G275,'Dashboard Items'!$A$2:$A$495,0))&amp;": "&amp;INDEX('Dashboard Items'!$C$2:$C$495,MATCH(G275,'Dashboard Items'!$A$2:$A$495,0)),"ID not found")))</f>
        <v/>
      </c>
      <c r="I275" s="137"/>
      <c r="J275" s="137"/>
      <c r="K275" s="137"/>
      <c r="L275" s="137"/>
      <c r="M275" s="137"/>
      <c r="N275" s="137"/>
      <c r="O275" s="137"/>
      <c r="P275" s="137"/>
      <c r="Q275" s="137"/>
      <c r="R275" s="137"/>
      <c r="S275" s="137"/>
      <c r="T275" s="137"/>
      <c r="U275" s="99"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37"/>
      <c r="C276" s="137"/>
      <c r="D276" s="137"/>
      <c r="E276" s="137"/>
      <c r="F276" s="138"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39"/>
      <c r="H276" s="138" t="str">
        <f>IF(G276="","",IF(ISNUMBER(SEARCH(",",G276)),"Several items (the script lists them)",IFERROR(INDEX('Dashboard Items'!$B$2:$B$495,MATCH(G276,'Dashboard Items'!$A$2:$A$495,0))&amp;": "&amp;INDEX('Dashboard Items'!$C$2:$C$495,MATCH(G276,'Dashboard Items'!$A$2:$A$495,0)),"ID not found")))</f>
        <v/>
      </c>
      <c r="I276" s="137"/>
      <c r="J276" s="137"/>
      <c r="K276" s="137"/>
      <c r="L276" s="137"/>
      <c r="M276" s="137"/>
      <c r="N276" s="137"/>
      <c r="O276" s="137"/>
      <c r="P276" s="137"/>
      <c r="Q276" s="137"/>
      <c r="R276" s="137"/>
      <c r="S276" s="137"/>
      <c r="T276" s="137"/>
      <c r="U276" s="99"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37"/>
      <c r="C277" s="137"/>
      <c r="D277" s="137"/>
      <c r="E277" s="137"/>
      <c r="F277" s="138"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39"/>
      <c r="H277" s="138" t="str">
        <f>IF(G277="","",IF(ISNUMBER(SEARCH(",",G277)),"Several items (the script lists them)",IFERROR(INDEX('Dashboard Items'!$B$2:$B$495,MATCH(G277,'Dashboard Items'!$A$2:$A$495,0))&amp;": "&amp;INDEX('Dashboard Items'!$C$2:$C$495,MATCH(G277,'Dashboard Items'!$A$2:$A$495,0)),"ID not found")))</f>
        <v/>
      </c>
      <c r="I277" s="137"/>
      <c r="J277" s="137"/>
      <c r="K277" s="137"/>
      <c r="L277" s="137"/>
      <c r="M277" s="137"/>
      <c r="N277" s="137"/>
      <c r="O277" s="137"/>
      <c r="P277" s="137"/>
      <c r="Q277" s="137"/>
      <c r="R277" s="137"/>
      <c r="S277" s="137"/>
      <c r="T277" s="137"/>
      <c r="U277" s="99"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37"/>
      <c r="C278" s="137"/>
      <c r="D278" s="137"/>
      <c r="E278" s="137"/>
      <c r="F278" s="138"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39"/>
      <c r="H278" s="138" t="str">
        <f>IF(G278="","",IF(ISNUMBER(SEARCH(",",G278)),"Several items (the script lists them)",IFERROR(INDEX('Dashboard Items'!$B$2:$B$495,MATCH(G278,'Dashboard Items'!$A$2:$A$495,0))&amp;": "&amp;INDEX('Dashboard Items'!$C$2:$C$495,MATCH(G278,'Dashboard Items'!$A$2:$A$495,0)),"ID not found")))</f>
        <v/>
      </c>
      <c r="I278" s="137"/>
      <c r="J278" s="137"/>
      <c r="K278" s="137"/>
      <c r="L278" s="137"/>
      <c r="M278" s="137"/>
      <c r="N278" s="137"/>
      <c r="O278" s="137"/>
      <c r="P278" s="137"/>
      <c r="Q278" s="137"/>
      <c r="R278" s="137"/>
      <c r="S278" s="137"/>
      <c r="T278" s="137"/>
      <c r="U278" s="99"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37"/>
      <c r="C279" s="137"/>
      <c r="D279" s="137"/>
      <c r="E279" s="137"/>
      <c r="F279" s="138"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39"/>
      <c r="H279" s="138" t="str">
        <f>IF(G279="","",IF(ISNUMBER(SEARCH(",",G279)),"Several items (the script lists them)",IFERROR(INDEX('Dashboard Items'!$B$2:$B$495,MATCH(G279,'Dashboard Items'!$A$2:$A$495,0))&amp;": "&amp;INDEX('Dashboard Items'!$C$2:$C$495,MATCH(G279,'Dashboard Items'!$A$2:$A$495,0)),"ID not found")))</f>
        <v/>
      </c>
      <c r="I279" s="137"/>
      <c r="J279" s="137"/>
      <c r="K279" s="137"/>
      <c r="L279" s="137"/>
      <c r="M279" s="137"/>
      <c r="N279" s="137"/>
      <c r="O279" s="137"/>
      <c r="P279" s="137"/>
      <c r="Q279" s="137"/>
      <c r="R279" s="137"/>
      <c r="S279" s="137"/>
      <c r="T279" s="137"/>
      <c r="U279" s="99"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37"/>
      <c r="C280" s="137"/>
      <c r="D280" s="137"/>
      <c r="E280" s="137"/>
      <c r="F280" s="138"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39"/>
      <c r="H280" s="138" t="str">
        <f>IF(G280="","",IF(ISNUMBER(SEARCH(",",G280)),"Several items (the script lists them)",IFERROR(INDEX('Dashboard Items'!$B$2:$B$495,MATCH(G280,'Dashboard Items'!$A$2:$A$495,0))&amp;": "&amp;INDEX('Dashboard Items'!$C$2:$C$495,MATCH(G280,'Dashboard Items'!$A$2:$A$495,0)),"ID not found")))</f>
        <v/>
      </c>
      <c r="I280" s="137"/>
      <c r="J280" s="137"/>
      <c r="K280" s="137"/>
      <c r="L280" s="137"/>
      <c r="M280" s="137"/>
      <c r="N280" s="137"/>
      <c r="O280" s="137"/>
      <c r="P280" s="137"/>
      <c r="Q280" s="137"/>
      <c r="R280" s="137"/>
      <c r="S280" s="137"/>
      <c r="T280" s="137"/>
      <c r="U280" s="99"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37"/>
      <c r="C281" s="137"/>
      <c r="D281" s="137"/>
      <c r="E281" s="137"/>
      <c r="F281" s="138"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39"/>
      <c r="H281" s="138" t="str">
        <f>IF(G281="","",IF(ISNUMBER(SEARCH(",",G281)),"Several items (the script lists them)",IFERROR(INDEX('Dashboard Items'!$B$2:$B$495,MATCH(G281,'Dashboard Items'!$A$2:$A$495,0))&amp;": "&amp;INDEX('Dashboard Items'!$C$2:$C$495,MATCH(G281,'Dashboard Items'!$A$2:$A$495,0)),"ID not found")))</f>
        <v/>
      </c>
      <c r="I281" s="137"/>
      <c r="J281" s="137"/>
      <c r="K281" s="137"/>
      <c r="L281" s="137"/>
      <c r="M281" s="137"/>
      <c r="N281" s="137"/>
      <c r="O281" s="137"/>
      <c r="P281" s="137"/>
      <c r="Q281" s="137"/>
      <c r="R281" s="137"/>
      <c r="S281" s="137"/>
      <c r="T281" s="137"/>
      <c r="U281" s="99"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37"/>
      <c r="C282" s="137"/>
      <c r="D282" s="137"/>
      <c r="E282" s="137"/>
      <c r="F282" s="138"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39"/>
      <c r="H282" s="138" t="str">
        <f>IF(G282="","",IF(ISNUMBER(SEARCH(",",G282)),"Several items (the script lists them)",IFERROR(INDEX('Dashboard Items'!$B$2:$B$495,MATCH(G282,'Dashboard Items'!$A$2:$A$495,0))&amp;": "&amp;INDEX('Dashboard Items'!$C$2:$C$495,MATCH(G282,'Dashboard Items'!$A$2:$A$495,0)),"ID not found")))</f>
        <v/>
      </c>
      <c r="I282" s="137"/>
      <c r="J282" s="137"/>
      <c r="K282" s="137"/>
      <c r="L282" s="137"/>
      <c r="M282" s="137"/>
      <c r="N282" s="137"/>
      <c r="O282" s="137"/>
      <c r="P282" s="137"/>
      <c r="Q282" s="137"/>
      <c r="R282" s="137"/>
      <c r="S282" s="137"/>
      <c r="T282" s="137"/>
      <c r="U282" s="99"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37"/>
      <c r="C283" s="137"/>
      <c r="D283" s="137"/>
      <c r="E283" s="137"/>
      <c r="F283" s="138"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39"/>
      <c r="H283" s="138" t="str">
        <f>IF(G283="","",IF(ISNUMBER(SEARCH(",",G283)),"Several items (the script lists them)",IFERROR(INDEX('Dashboard Items'!$B$2:$B$495,MATCH(G283,'Dashboard Items'!$A$2:$A$495,0))&amp;": "&amp;INDEX('Dashboard Items'!$C$2:$C$495,MATCH(G283,'Dashboard Items'!$A$2:$A$495,0)),"ID not found")))</f>
        <v/>
      </c>
      <c r="I283" s="137"/>
      <c r="J283" s="137"/>
      <c r="K283" s="137"/>
      <c r="L283" s="137"/>
      <c r="M283" s="137"/>
      <c r="N283" s="137"/>
      <c r="O283" s="137"/>
      <c r="P283" s="137"/>
      <c r="Q283" s="137"/>
      <c r="R283" s="137"/>
      <c r="S283" s="137"/>
      <c r="T283" s="137"/>
      <c r="U283" s="99"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37"/>
      <c r="C284" s="137"/>
      <c r="D284" s="137"/>
      <c r="E284" s="137"/>
      <c r="F284" s="138"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39"/>
      <c r="H284" s="138" t="str">
        <f>IF(G284="","",IF(ISNUMBER(SEARCH(",",G284)),"Several items (the script lists them)",IFERROR(INDEX('Dashboard Items'!$B$2:$B$495,MATCH(G284,'Dashboard Items'!$A$2:$A$495,0))&amp;": "&amp;INDEX('Dashboard Items'!$C$2:$C$495,MATCH(G284,'Dashboard Items'!$A$2:$A$495,0)),"ID not found")))</f>
        <v/>
      </c>
      <c r="I284" s="137"/>
      <c r="J284" s="137"/>
      <c r="K284" s="137"/>
      <c r="L284" s="137"/>
      <c r="M284" s="137"/>
      <c r="N284" s="137"/>
      <c r="O284" s="137"/>
      <c r="P284" s="137"/>
      <c r="Q284" s="137"/>
      <c r="R284" s="137"/>
      <c r="S284" s="137"/>
      <c r="T284" s="137"/>
      <c r="U284" s="99"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37"/>
      <c r="C285" s="137"/>
      <c r="D285" s="137"/>
      <c r="E285" s="137"/>
      <c r="F285" s="138"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39"/>
      <c r="H285" s="138" t="str">
        <f>IF(G285="","",IF(ISNUMBER(SEARCH(",",G285)),"Several items (the script lists them)",IFERROR(INDEX('Dashboard Items'!$B$2:$B$495,MATCH(G285,'Dashboard Items'!$A$2:$A$495,0))&amp;": "&amp;INDEX('Dashboard Items'!$C$2:$C$495,MATCH(G285,'Dashboard Items'!$A$2:$A$495,0)),"ID not found")))</f>
        <v/>
      </c>
      <c r="I285" s="137"/>
      <c r="J285" s="137"/>
      <c r="K285" s="137"/>
      <c r="L285" s="137"/>
      <c r="M285" s="137"/>
      <c r="N285" s="137"/>
      <c r="O285" s="137"/>
      <c r="P285" s="137"/>
      <c r="Q285" s="137"/>
      <c r="R285" s="137"/>
      <c r="S285" s="137"/>
      <c r="T285" s="137"/>
      <c r="U285" s="99"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37"/>
      <c r="C286" s="137"/>
      <c r="D286" s="137"/>
      <c r="E286" s="137"/>
      <c r="F286" s="138"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39"/>
      <c r="H286" s="138" t="str">
        <f>IF(G286="","",IF(ISNUMBER(SEARCH(",",G286)),"Several items (the script lists them)",IFERROR(INDEX('Dashboard Items'!$B$2:$B$495,MATCH(G286,'Dashboard Items'!$A$2:$A$495,0))&amp;": "&amp;INDEX('Dashboard Items'!$C$2:$C$495,MATCH(G286,'Dashboard Items'!$A$2:$A$495,0)),"ID not found")))</f>
        <v/>
      </c>
      <c r="I286" s="137"/>
      <c r="J286" s="137"/>
      <c r="K286" s="137"/>
      <c r="L286" s="137"/>
      <c r="M286" s="137"/>
      <c r="N286" s="137"/>
      <c r="O286" s="137"/>
      <c r="P286" s="137"/>
      <c r="Q286" s="137"/>
      <c r="R286" s="137"/>
      <c r="S286" s="137"/>
      <c r="T286" s="137"/>
      <c r="U286" s="99"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37"/>
      <c r="C287" s="137"/>
      <c r="D287" s="137"/>
      <c r="E287" s="137"/>
      <c r="F287" s="138"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39"/>
      <c r="H287" s="138" t="str">
        <f>IF(G287="","",IF(ISNUMBER(SEARCH(",",G287)),"Several items (the script lists them)",IFERROR(INDEX('Dashboard Items'!$B$2:$B$495,MATCH(G287,'Dashboard Items'!$A$2:$A$495,0))&amp;": "&amp;INDEX('Dashboard Items'!$C$2:$C$495,MATCH(G287,'Dashboard Items'!$A$2:$A$495,0)),"ID not found")))</f>
        <v/>
      </c>
      <c r="I287" s="137"/>
      <c r="J287" s="137"/>
      <c r="K287" s="137"/>
      <c r="L287" s="137"/>
      <c r="M287" s="137"/>
      <c r="N287" s="137"/>
      <c r="O287" s="137"/>
      <c r="P287" s="137"/>
      <c r="Q287" s="137"/>
      <c r="R287" s="137"/>
      <c r="S287" s="137"/>
      <c r="T287" s="137"/>
      <c r="U287" s="99"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37"/>
      <c r="C288" s="137"/>
      <c r="D288" s="137"/>
      <c r="E288" s="137"/>
      <c r="F288" s="138"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39"/>
      <c r="H288" s="138" t="str">
        <f>IF(G288="","",IF(ISNUMBER(SEARCH(",",G288)),"Several items (the script lists them)",IFERROR(INDEX('Dashboard Items'!$B$2:$B$495,MATCH(G288,'Dashboard Items'!$A$2:$A$495,0))&amp;": "&amp;INDEX('Dashboard Items'!$C$2:$C$495,MATCH(G288,'Dashboard Items'!$A$2:$A$495,0)),"ID not found")))</f>
        <v/>
      </c>
      <c r="I288" s="137"/>
      <c r="J288" s="137"/>
      <c r="K288" s="137"/>
      <c r="L288" s="137"/>
      <c r="M288" s="137"/>
      <c r="N288" s="137"/>
      <c r="O288" s="137"/>
      <c r="P288" s="137"/>
      <c r="Q288" s="137"/>
      <c r="R288" s="137"/>
      <c r="S288" s="137"/>
      <c r="T288" s="137"/>
      <c r="U288" s="99"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37"/>
      <c r="C289" s="137"/>
      <c r="D289" s="137"/>
      <c r="E289" s="137"/>
      <c r="F289" s="138"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39"/>
      <c r="H289" s="138" t="str">
        <f>IF(G289="","",IF(ISNUMBER(SEARCH(",",G289)),"Several items (the script lists them)",IFERROR(INDEX('Dashboard Items'!$B$2:$B$495,MATCH(G289,'Dashboard Items'!$A$2:$A$495,0))&amp;": "&amp;INDEX('Dashboard Items'!$C$2:$C$495,MATCH(G289,'Dashboard Items'!$A$2:$A$495,0)),"ID not found")))</f>
        <v/>
      </c>
      <c r="I289" s="137"/>
      <c r="J289" s="137"/>
      <c r="K289" s="137"/>
      <c r="L289" s="137"/>
      <c r="M289" s="137"/>
      <c r="N289" s="137"/>
      <c r="O289" s="137"/>
      <c r="P289" s="137"/>
      <c r="Q289" s="137"/>
      <c r="R289" s="137"/>
      <c r="S289" s="137"/>
      <c r="T289" s="137"/>
      <c r="U289" s="99"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37"/>
      <c r="C290" s="137"/>
      <c r="D290" s="137"/>
      <c r="E290" s="137"/>
      <c r="F290" s="138"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39"/>
      <c r="H290" s="138" t="str">
        <f>IF(G290="","",IF(ISNUMBER(SEARCH(",",G290)),"Several items (the script lists them)",IFERROR(INDEX('Dashboard Items'!$B$2:$B$495,MATCH(G290,'Dashboard Items'!$A$2:$A$495,0))&amp;": "&amp;INDEX('Dashboard Items'!$C$2:$C$495,MATCH(G290,'Dashboard Items'!$A$2:$A$495,0)),"ID not found")))</f>
        <v/>
      </c>
      <c r="I290" s="137"/>
      <c r="J290" s="137"/>
      <c r="K290" s="137"/>
      <c r="L290" s="137"/>
      <c r="M290" s="137"/>
      <c r="N290" s="137"/>
      <c r="O290" s="137"/>
      <c r="P290" s="137"/>
      <c r="Q290" s="137"/>
      <c r="R290" s="137"/>
      <c r="S290" s="137"/>
      <c r="T290" s="137"/>
      <c r="U290" s="99"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37"/>
      <c r="C291" s="137"/>
      <c r="D291" s="137"/>
      <c r="E291" s="137"/>
      <c r="F291" s="138"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39"/>
      <c r="H291" s="138" t="str">
        <f>IF(G291="","",IF(ISNUMBER(SEARCH(",",G291)),"Several items (the script lists them)",IFERROR(INDEX('Dashboard Items'!$B$2:$B$495,MATCH(G291,'Dashboard Items'!$A$2:$A$495,0))&amp;": "&amp;INDEX('Dashboard Items'!$C$2:$C$495,MATCH(G291,'Dashboard Items'!$A$2:$A$495,0)),"ID not found")))</f>
        <v/>
      </c>
      <c r="I291" s="137"/>
      <c r="J291" s="137"/>
      <c r="K291" s="137"/>
      <c r="L291" s="137"/>
      <c r="M291" s="137"/>
      <c r="N291" s="137"/>
      <c r="O291" s="137"/>
      <c r="P291" s="137"/>
      <c r="Q291" s="137"/>
      <c r="R291" s="137"/>
      <c r="S291" s="137"/>
      <c r="T291" s="137"/>
      <c r="U291" s="99"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37"/>
      <c r="C292" s="137"/>
      <c r="D292" s="137"/>
      <c r="E292" s="137"/>
      <c r="F292" s="138"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39"/>
      <c r="H292" s="138" t="str">
        <f>IF(G292="","",IF(ISNUMBER(SEARCH(",",G292)),"Several items (the script lists them)",IFERROR(INDEX('Dashboard Items'!$B$2:$B$495,MATCH(G292,'Dashboard Items'!$A$2:$A$495,0))&amp;": "&amp;INDEX('Dashboard Items'!$C$2:$C$495,MATCH(G292,'Dashboard Items'!$A$2:$A$495,0)),"ID not found")))</f>
        <v/>
      </c>
      <c r="I292" s="137"/>
      <c r="J292" s="137"/>
      <c r="K292" s="137"/>
      <c r="L292" s="137"/>
      <c r="M292" s="137"/>
      <c r="N292" s="137"/>
      <c r="O292" s="137"/>
      <c r="P292" s="137"/>
      <c r="Q292" s="137"/>
      <c r="R292" s="137"/>
      <c r="S292" s="137"/>
      <c r="T292" s="137"/>
      <c r="U292" s="99"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37"/>
      <c r="C293" s="137"/>
      <c r="D293" s="137"/>
      <c r="E293" s="137"/>
      <c r="F293" s="138"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39"/>
      <c r="H293" s="138" t="str">
        <f>IF(G293="","",IF(ISNUMBER(SEARCH(",",G293)),"Several items (the script lists them)",IFERROR(INDEX('Dashboard Items'!$B$2:$B$495,MATCH(G293,'Dashboard Items'!$A$2:$A$495,0))&amp;": "&amp;INDEX('Dashboard Items'!$C$2:$C$495,MATCH(G293,'Dashboard Items'!$A$2:$A$495,0)),"ID not found")))</f>
        <v/>
      </c>
      <c r="I293" s="137"/>
      <c r="J293" s="137"/>
      <c r="K293" s="137"/>
      <c r="L293" s="137"/>
      <c r="M293" s="137"/>
      <c r="N293" s="137"/>
      <c r="O293" s="137"/>
      <c r="P293" s="137"/>
      <c r="Q293" s="137"/>
      <c r="R293" s="137"/>
      <c r="S293" s="137"/>
      <c r="T293" s="137"/>
      <c r="U293" s="99"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37"/>
      <c r="C294" s="137"/>
      <c r="D294" s="137"/>
      <c r="E294" s="137"/>
      <c r="F294" s="138"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39"/>
      <c r="H294" s="138" t="str">
        <f>IF(G294="","",IF(ISNUMBER(SEARCH(",",G294)),"Several items (the script lists them)",IFERROR(INDEX('Dashboard Items'!$B$2:$B$495,MATCH(G294,'Dashboard Items'!$A$2:$A$495,0))&amp;": "&amp;INDEX('Dashboard Items'!$C$2:$C$495,MATCH(G294,'Dashboard Items'!$A$2:$A$495,0)),"ID not found")))</f>
        <v/>
      </c>
      <c r="I294" s="137"/>
      <c r="J294" s="137"/>
      <c r="K294" s="137"/>
      <c r="L294" s="137"/>
      <c r="M294" s="137"/>
      <c r="N294" s="137"/>
      <c r="O294" s="137"/>
      <c r="P294" s="137"/>
      <c r="Q294" s="137"/>
      <c r="R294" s="137"/>
      <c r="S294" s="137"/>
      <c r="T294" s="137"/>
      <c r="U294" s="99"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37"/>
      <c r="C295" s="137"/>
      <c r="D295" s="137"/>
      <c r="E295" s="137"/>
      <c r="F295" s="138"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39"/>
      <c r="H295" s="138" t="str">
        <f>IF(G295="","",IF(ISNUMBER(SEARCH(",",G295)),"Several items (the script lists them)",IFERROR(INDEX('Dashboard Items'!$B$2:$B$495,MATCH(G295,'Dashboard Items'!$A$2:$A$495,0))&amp;": "&amp;INDEX('Dashboard Items'!$C$2:$C$495,MATCH(G295,'Dashboard Items'!$A$2:$A$495,0)),"ID not found")))</f>
        <v/>
      </c>
      <c r="I295" s="137"/>
      <c r="J295" s="137"/>
      <c r="K295" s="137"/>
      <c r="L295" s="137"/>
      <c r="M295" s="137"/>
      <c r="N295" s="137"/>
      <c r="O295" s="137"/>
      <c r="P295" s="137"/>
      <c r="Q295" s="137"/>
      <c r="R295" s="137"/>
      <c r="S295" s="137"/>
      <c r="T295" s="137"/>
      <c r="U295" s="99"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37"/>
      <c r="C296" s="137"/>
      <c r="D296" s="137"/>
      <c r="E296" s="137"/>
      <c r="F296" s="138"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39"/>
      <c r="H296" s="138" t="str">
        <f>IF(G296="","",IF(ISNUMBER(SEARCH(",",G296)),"Several items (the script lists them)",IFERROR(INDEX('Dashboard Items'!$B$2:$B$495,MATCH(G296,'Dashboard Items'!$A$2:$A$495,0))&amp;": "&amp;INDEX('Dashboard Items'!$C$2:$C$495,MATCH(G296,'Dashboard Items'!$A$2:$A$495,0)),"ID not found")))</f>
        <v/>
      </c>
      <c r="I296" s="137"/>
      <c r="J296" s="137"/>
      <c r="K296" s="137"/>
      <c r="L296" s="137"/>
      <c r="M296" s="137"/>
      <c r="N296" s="137"/>
      <c r="O296" s="137"/>
      <c r="P296" s="137"/>
      <c r="Q296" s="137"/>
      <c r="R296" s="137"/>
      <c r="S296" s="137"/>
      <c r="T296" s="137"/>
      <c r="U296" s="99"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37"/>
      <c r="C297" s="137"/>
      <c r="D297" s="137"/>
      <c r="E297" s="137"/>
      <c r="F297" s="138"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39"/>
      <c r="H297" s="138" t="str">
        <f>IF(G297="","",IF(ISNUMBER(SEARCH(",",G297)),"Several items (the script lists them)",IFERROR(INDEX('Dashboard Items'!$B$2:$B$495,MATCH(G297,'Dashboard Items'!$A$2:$A$495,0))&amp;": "&amp;INDEX('Dashboard Items'!$C$2:$C$495,MATCH(G297,'Dashboard Items'!$A$2:$A$495,0)),"ID not found")))</f>
        <v/>
      </c>
      <c r="I297" s="137"/>
      <c r="J297" s="137"/>
      <c r="K297" s="137"/>
      <c r="L297" s="137"/>
      <c r="M297" s="137"/>
      <c r="N297" s="137"/>
      <c r="O297" s="137"/>
      <c r="P297" s="137"/>
      <c r="Q297" s="137"/>
      <c r="R297" s="137"/>
      <c r="S297" s="137"/>
      <c r="T297" s="137"/>
      <c r="U297" s="99"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37"/>
      <c r="C298" s="137"/>
      <c r="D298" s="137"/>
      <c r="E298" s="137"/>
      <c r="F298" s="138"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39"/>
      <c r="H298" s="138" t="str">
        <f>IF(G298="","",IF(ISNUMBER(SEARCH(",",G298)),"Several items (the script lists them)",IFERROR(INDEX('Dashboard Items'!$B$2:$B$495,MATCH(G298,'Dashboard Items'!$A$2:$A$495,0))&amp;": "&amp;INDEX('Dashboard Items'!$C$2:$C$495,MATCH(G298,'Dashboard Items'!$A$2:$A$495,0)),"ID not found")))</f>
        <v/>
      </c>
      <c r="I298" s="137"/>
      <c r="J298" s="137"/>
      <c r="K298" s="137"/>
      <c r="L298" s="137"/>
      <c r="M298" s="137"/>
      <c r="N298" s="137"/>
      <c r="O298" s="137"/>
      <c r="P298" s="137"/>
      <c r="Q298" s="137"/>
      <c r="R298" s="137"/>
      <c r="S298" s="137"/>
      <c r="T298" s="137"/>
      <c r="U298" s="99"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37"/>
      <c r="C299" s="137"/>
      <c r="D299" s="137"/>
      <c r="E299" s="137"/>
      <c r="F299" s="138"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39"/>
      <c r="H299" s="138" t="str">
        <f>IF(G299="","",IF(ISNUMBER(SEARCH(",",G299)),"Several items (the script lists them)",IFERROR(INDEX('Dashboard Items'!$B$2:$B$495,MATCH(G299,'Dashboard Items'!$A$2:$A$495,0))&amp;": "&amp;INDEX('Dashboard Items'!$C$2:$C$495,MATCH(G299,'Dashboard Items'!$A$2:$A$495,0)),"ID not found")))</f>
        <v/>
      </c>
      <c r="I299" s="137"/>
      <c r="J299" s="137"/>
      <c r="K299" s="137"/>
      <c r="L299" s="137"/>
      <c r="M299" s="137"/>
      <c r="N299" s="137"/>
      <c r="O299" s="137"/>
      <c r="P299" s="137"/>
      <c r="Q299" s="137"/>
      <c r="R299" s="137"/>
      <c r="S299" s="137"/>
      <c r="T299" s="137"/>
      <c r="U299" s="99"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37"/>
      <c r="C300" s="137"/>
      <c r="D300" s="137"/>
      <c r="E300" s="137"/>
      <c r="F300" s="138"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39"/>
      <c r="H300" s="138" t="str">
        <f>IF(G300="","",IF(ISNUMBER(SEARCH(",",G300)),"Several items (the script lists them)",IFERROR(INDEX('Dashboard Items'!$B$2:$B$495,MATCH(G300,'Dashboard Items'!$A$2:$A$495,0))&amp;": "&amp;INDEX('Dashboard Items'!$C$2:$C$495,MATCH(G300,'Dashboard Items'!$A$2:$A$495,0)),"ID not found")))</f>
        <v/>
      </c>
      <c r="I300" s="137"/>
      <c r="J300" s="137"/>
      <c r="K300" s="137"/>
      <c r="L300" s="137"/>
      <c r="M300" s="137"/>
      <c r="N300" s="137"/>
      <c r="O300" s="137"/>
      <c r="P300" s="137"/>
      <c r="Q300" s="137"/>
      <c r="R300" s="137"/>
      <c r="S300" s="137"/>
      <c r="T300" s="137"/>
      <c r="U300" s="99"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37"/>
      <c r="C301" s="137"/>
      <c r="D301" s="137"/>
      <c r="E301" s="137"/>
      <c r="F301" s="138"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39"/>
      <c r="H301" s="138" t="str">
        <f>IF(G301="","",IF(ISNUMBER(SEARCH(",",G301)),"Several items (the script lists them)",IFERROR(INDEX('Dashboard Items'!$B$2:$B$495,MATCH(G301,'Dashboard Items'!$A$2:$A$495,0))&amp;": "&amp;INDEX('Dashboard Items'!$C$2:$C$495,MATCH(G301,'Dashboard Items'!$A$2:$A$495,0)),"ID not found")))</f>
        <v/>
      </c>
      <c r="I301" s="137"/>
      <c r="J301" s="137"/>
      <c r="K301" s="137"/>
      <c r="L301" s="137"/>
      <c r="M301" s="137"/>
      <c r="N301" s="137"/>
      <c r="O301" s="137"/>
      <c r="P301" s="137"/>
      <c r="Q301" s="137"/>
      <c r="R301" s="137"/>
      <c r="S301" s="137"/>
      <c r="T301" s="137"/>
      <c r="U301" s="99"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37"/>
      <c r="C302" s="137"/>
      <c r="D302" s="137"/>
      <c r="E302" s="137"/>
      <c r="F302" s="138"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39"/>
      <c r="H302" s="138" t="str">
        <f>IF(G302="","",IF(ISNUMBER(SEARCH(",",G302)),"Several items (the script lists them)",IFERROR(INDEX('Dashboard Items'!$B$2:$B$495,MATCH(G302,'Dashboard Items'!$A$2:$A$495,0))&amp;": "&amp;INDEX('Dashboard Items'!$C$2:$C$495,MATCH(G302,'Dashboard Items'!$A$2:$A$495,0)),"ID not found")))</f>
        <v/>
      </c>
      <c r="I302" s="137"/>
      <c r="J302" s="137"/>
      <c r="K302" s="137"/>
      <c r="L302" s="137"/>
      <c r="M302" s="137"/>
      <c r="N302" s="137"/>
      <c r="O302" s="137"/>
      <c r="P302" s="137"/>
      <c r="Q302" s="137"/>
      <c r="R302" s="137"/>
      <c r="S302" s="137"/>
      <c r="T302" s="137"/>
      <c r="U302" s="99"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37"/>
      <c r="C303" s="137"/>
      <c r="D303" s="137"/>
      <c r="E303" s="137"/>
      <c r="F303" s="138"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39"/>
      <c r="H303" s="138" t="str">
        <f>IF(G303="","",IF(ISNUMBER(SEARCH(",",G303)),"Several items (the script lists them)",IFERROR(INDEX('Dashboard Items'!$B$2:$B$495,MATCH(G303,'Dashboard Items'!$A$2:$A$495,0))&amp;": "&amp;INDEX('Dashboard Items'!$C$2:$C$495,MATCH(G303,'Dashboard Items'!$A$2:$A$495,0)),"ID not found")))</f>
        <v/>
      </c>
      <c r="I303" s="137"/>
      <c r="J303" s="137"/>
      <c r="K303" s="137"/>
      <c r="L303" s="137"/>
      <c r="M303" s="137"/>
      <c r="N303" s="137"/>
      <c r="O303" s="137"/>
      <c r="P303" s="137"/>
      <c r="Q303" s="137"/>
      <c r="R303" s="137"/>
      <c r="S303" s="137"/>
      <c r="T303" s="137"/>
      <c r="U303" s="99"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37"/>
      <c r="C304" s="137"/>
      <c r="D304" s="137"/>
      <c r="E304" s="137"/>
      <c r="F304" s="138"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39"/>
      <c r="H304" s="138" t="str">
        <f>IF(G304="","",IF(ISNUMBER(SEARCH(",",G304)),"Several items (the script lists them)",IFERROR(INDEX('Dashboard Items'!$B$2:$B$495,MATCH(G304,'Dashboard Items'!$A$2:$A$495,0))&amp;": "&amp;INDEX('Dashboard Items'!$C$2:$C$495,MATCH(G304,'Dashboard Items'!$A$2:$A$495,0)),"ID not found")))</f>
        <v/>
      </c>
      <c r="I304" s="137"/>
      <c r="J304" s="137"/>
      <c r="K304" s="137"/>
      <c r="L304" s="137"/>
      <c r="M304" s="137"/>
      <c r="N304" s="137"/>
      <c r="O304" s="137"/>
      <c r="P304" s="137"/>
      <c r="Q304" s="137"/>
      <c r="R304" s="137"/>
      <c r="S304" s="137"/>
      <c r="T304" s="137"/>
      <c r="U304" s="99"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37"/>
      <c r="C305" s="137"/>
      <c r="D305" s="137"/>
      <c r="E305" s="137"/>
      <c r="F305" s="138"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39"/>
      <c r="H305" s="138" t="str">
        <f>IF(G305="","",IF(ISNUMBER(SEARCH(",",G305)),"Several items (the script lists them)",IFERROR(INDEX('Dashboard Items'!$B$2:$B$495,MATCH(G305,'Dashboard Items'!$A$2:$A$495,0))&amp;": "&amp;INDEX('Dashboard Items'!$C$2:$C$495,MATCH(G305,'Dashboard Items'!$A$2:$A$495,0)),"ID not found")))</f>
        <v/>
      </c>
      <c r="I305" s="137"/>
      <c r="J305" s="137"/>
      <c r="K305" s="137"/>
      <c r="L305" s="137"/>
      <c r="M305" s="137"/>
      <c r="N305" s="137"/>
      <c r="O305" s="137"/>
      <c r="P305" s="137"/>
      <c r="Q305" s="137"/>
      <c r="R305" s="137"/>
      <c r="S305" s="137"/>
      <c r="T305" s="137"/>
      <c r="U305" s="99"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15" customWidth="1"/>
    <col min="4" max="4" width="24" style="15" customWidth="1"/>
    <col min="5" max="5" width="11.6640625" style="15" customWidth="1"/>
    <col min="6" max="6" width="9" style="15" customWidth="1"/>
    <col min="7" max="7" width="13" style="15" customWidth="1"/>
    <col min="8" max="8" width="20.33203125" customWidth="1"/>
  </cols>
  <sheetData>
    <row r="1" spans="1:8" ht="15" customHeight="1" x14ac:dyDescent="0.2">
      <c r="A1" s="93" t="s">
        <v>0</v>
      </c>
      <c r="B1" s="140" t="s">
        <v>529</v>
      </c>
      <c r="C1" s="93" t="s">
        <v>773</v>
      </c>
      <c r="D1" s="93" t="s">
        <v>774</v>
      </c>
      <c r="E1" s="93" t="s">
        <v>775</v>
      </c>
      <c r="F1" s="93" t="s">
        <v>552</v>
      </c>
      <c r="G1" s="93" t="s">
        <v>776</v>
      </c>
      <c r="H1" s="93" t="s">
        <v>38</v>
      </c>
    </row>
    <row r="2" spans="1:8" s="141" customFormat="1" ht="13.5" customHeight="1" x14ac:dyDescent="0.2">
      <c r="A2" s="141" t="str">
        <f t="shared" ref="A2:A65" si="0">LEFT(B2, FIND("-", B2) - 1)</f>
        <v>CLERK</v>
      </c>
      <c r="B2" s="141" t="s">
        <v>568</v>
      </c>
      <c r="C2" s="142" t="s">
        <v>777</v>
      </c>
      <c r="D2" s="142"/>
      <c r="E2" s="142"/>
      <c r="F2" s="142"/>
      <c r="G2" s="142"/>
    </row>
    <row r="3" spans="1:8" s="141" customFormat="1" ht="13.5" customHeight="1" x14ac:dyDescent="0.2">
      <c r="A3" s="141" t="str">
        <f t="shared" si="0"/>
        <v>CLERK</v>
      </c>
      <c r="B3" s="141" t="s">
        <v>572</v>
      </c>
      <c r="C3" s="142" t="s">
        <v>777</v>
      </c>
      <c r="D3" s="142"/>
      <c r="E3" s="142"/>
      <c r="F3" s="142"/>
      <c r="G3" s="142"/>
    </row>
    <row r="4" spans="1:8" s="141" customFormat="1" ht="13.5" customHeight="1" x14ac:dyDescent="0.2">
      <c r="A4" s="141" t="str">
        <f t="shared" si="0"/>
        <v>CLERK</v>
      </c>
      <c r="B4" s="141" t="s">
        <v>576</v>
      </c>
      <c r="C4" s="142" t="s">
        <v>777</v>
      </c>
      <c r="D4" s="142"/>
      <c r="E4" s="142"/>
      <c r="F4" s="142"/>
      <c r="G4" s="142"/>
    </row>
    <row r="5" spans="1:8" s="141" customFormat="1" ht="13.5" customHeight="1" x14ac:dyDescent="0.2">
      <c r="A5" s="141" t="str">
        <f t="shared" si="0"/>
        <v>CLERK</v>
      </c>
      <c r="B5" s="141" t="s">
        <v>571</v>
      </c>
      <c r="C5" s="142" t="s">
        <v>777</v>
      </c>
      <c r="D5" s="142"/>
      <c r="E5" s="142"/>
      <c r="F5" s="142"/>
      <c r="G5" s="142"/>
    </row>
    <row r="6" spans="1:8" s="141" customFormat="1" ht="13.5" customHeight="1" x14ac:dyDescent="0.2">
      <c r="A6" s="141" t="str">
        <f t="shared" si="0"/>
        <v>CLERK</v>
      </c>
      <c r="B6" s="141" t="s">
        <v>569</v>
      </c>
      <c r="C6" s="142" t="s">
        <v>777</v>
      </c>
      <c r="D6" s="142"/>
      <c r="E6" s="142"/>
      <c r="F6" s="142"/>
      <c r="G6" s="142"/>
    </row>
    <row r="7" spans="1:8" s="141" customFormat="1" ht="13.5" customHeight="1" x14ac:dyDescent="0.2">
      <c r="A7" s="141" t="str">
        <f t="shared" si="0"/>
        <v>CLERK</v>
      </c>
      <c r="B7" s="141" t="s">
        <v>565</v>
      </c>
      <c r="C7" s="142" t="s">
        <v>777</v>
      </c>
      <c r="D7" s="142"/>
      <c r="E7" s="142"/>
      <c r="F7" s="142"/>
      <c r="G7" s="142"/>
    </row>
    <row r="8" spans="1:8" s="141" customFormat="1" ht="13.5" customHeight="1" x14ac:dyDescent="0.2">
      <c r="A8" s="141" t="str">
        <f t="shared" si="0"/>
        <v>CLERK</v>
      </c>
      <c r="B8" s="141" t="s">
        <v>570</v>
      </c>
      <c r="C8" s="142" t="s">
        <v>777</v>
      </c>
      <c r="D8" s="142"/>
      <c r="E8" s="142"/>
      <c r="F8" s="142"/>
      <c r="G8" s="142"/>
    </row>
    <row r="9" spans="1:8" s="141" customFormat="1" ht="13.5" customHeight="1" x14ac:dyDescent="0.2">
      <c r="A9" s="141" t="str">
        <f t="shared" si="0"/>
        <v>CLERK</v>
      </c>
      <c r="B9" s="141" t="s">
        <v>567</v>
      </c>
      <c r="C9" s="142" t="s">
        <v>777</v>
      </c>
      <c r="D9" s="142"/>
      <c r="E9" s="142"/>
      <c r="F9" s="142"/>
      <c r="G9" s="142"/>
    </row>
    <row r="10" spans="1:8" s="108" customFormat="1" ht="13.5" customHeight="1" x14ac:dyDescent="0.2">
      <c r="A10" s="108" t="str">
        <f t="shared" si="0"/>
        <v>HR</v>
      </c>
      <c r="B10" s="108" t="s">
        <v>584</v>
      </c>
      <c r="C10" s="143" t="s">
        <v>778</v>
      </c>
      <c r="D10" s="143"/>
      <c r="E10" s="143">
        <v>69</v>
      </c>
      <c r="F10" s="143"/>
      <c r="G10" s="143">
        <v>76.599999999999994</v>
      </c>
      <c r="H10" s="108" t="s">
        <v>779</v>
      </c>
    </row>
    <row r="11" spans="1:8" s="108" customFormat="1" ht="13.5" customHeight="1" x14ac:dyDescent="0.2">
      <c r="A11" s="108" t="str">
        <f t="shared" si="0"/>
        <v>HR</v>
      </c>
      <c r="B11" s="108" t="s">
        <v>584</v>
      </c>
      <c r="C11" s="143" t="s">
        <v>780</v>
      </c>
      <c r="D11" s="143"/>
      <c r="E11" s="143">
        <v>81.3</v>
      </c>
      <c r="F11" s="143"/>
      <c r="G11" s="143">
        <v>75.099999999999994</v>
      </c>
      <c r="H11" s="108" t="s">
        <v>779</v>
      </c>
    </row>
    <row r="12" spans="1:8" s="108" customFormat="1" ht="13.5" customHeight="1" x14ac:dyDescent="0.2">
      <c r="A12" s="108" t="str">
        <f t="shared" si="0"/>
        <v>HR</v>
      </c>
      <c r="B12" s="108" t="s">
        <v>584</v>
      </c>
      <c r="C12" s="143" t="s">
        <v>781</v>
      </c>
      <c r="D12" s="143"/>
      <c r="E12" s="143">
        <v>79.3</v>
      </c>
      <c r="F12" s="143"/>
      <c r="G12" s="143">
        <v>76.599999999999994</v>
      </c>
    </row>
    <row r="13" spans="1:8" s="108" customFormat="1" ht="13.5" customHeight="1" x14ac:dyDescent="0.2">
      <c r="A13" s="108" t="str">
        <f t="shared" si="0"/>
        <v>HR</v>
      </c>
      <c r="B13" s="108" t="s">
        <v>584</v>
      </c>
      <c r="C13" s="143" t="s">
        <v>781</v>
      </c>
      <c r="D13" s="143" t="s">
        <v>782</v>
      </c>
      <c r="E13" s="143">
        <v>79.900000000000006</v>
      </c>
      <c r="F13" s="143"/>
      <c r="G13" s="143"/>
    </row>
    <row r="14" spans="1:8" s="108" customFormat="1" ht="13.5" customHeight="1" x14ac:dyDescent="0.2">
      <c r="A14" s="108" t="str">
        <f t="shared" si="0"/>
        <v>HR</v>
      </c>
      <c r="B14" s="108" t="s">
        <v>584</v>
      </c>
      <c r="C14" s="143" t="s">
        <v>781</v>
      </c>
      <c r="D14" s="143" t="s">
        <v>783</v>
      </c>
      <c r="E14" s="143">
        <v>78.2</v>
      </c>
      <c r="F14" s="143"/>
      <c r="G14" s="143"/>
    </row>
    <row r="15" spans="1:8" s="108" customFormat="1" ht="13.5" customHeight="1" x14ac:dyDescent="0.2">
      <c r="A15" s="108" t="str">
        <f t="shared" si="0"/>
        <v>HR</v>
      </c>
      <c r="B15" s="108" t="s">
        <v>584</v>
      </c>
      <c r="C15" s="143"/>
      <c r="D15" s="143"/>
      <c r="E15" s="143"/>
      <c r="F15" s="143"/>
      <c r="G15" s="143"/>
    </row>
    <row r="16" spans="1:8" s="108" customFormat="1" ht="13.5" customHeight="1" x14ac:dyDescent="0.2">
      <c r="A16" s="108" t="str">
        <f t="shared" si="0"/>
        <v>HR</v>
      </c>
      <c r="B16" s="108" t="s">
        <v>602</v>
      </c>
      <c r="C16" s="143"/>
      <c r="D16" s="143"/>
      <c r="E16" s="143"/>
      <c r="F16" s="143"/>
      <c r="G16" s="143"/>
    </row>
    <row r="17" spans="1:7" s="108" customFormat="1" ht="13.5" customHeight="1" x14ac:dyDescent="0.2">
      <c r="A17" s="108" t="str">
        <f t="shared" si="0"/>
        <v>HR</v>
      </c>
      <c r="B17" s="108" t="s">
        <v>605</v>
      </c>
      <c r="C17" s="143"/>
      <c r="D17" s="143"/>
      <c r="E17" s="143"/>
      <c r="F17" s="143"/>
      <c r="G17" s="143"/>
    </row>
    <row r="18" spans="1:7" s="108" customFormat="1" ht="13.5" customHeight="1" x14ac:dyDescent="0.2">
      <c r="A18" s="108" t="str">
        <f t="shared" si="0"/>
        <v>HR</v>
      </c>
      <c r="B18" s="108" t="s">
        <v>580</v>
      </c>
      <c r="C18" s="143"/>
      <c r="D18" s="143"/>
      <c r="E18" s="143"/>
      <c r="F18" s="143"/>
      <c r="G18" s="143"/>
    </row>
    <row r="19" spans="1:7" s="108" customFormat="1" ht="13.5" customHeight="1" x14ac:dyDescent="0.2">
      <c r="A19" s="108" t="str">
        <f t="shared" si="0"/>
        <v>HR</v>
      </c>
      <c r="B19" s="108" t="s">
        <v>604</v>
      </c>
      <c r="C19" s="143"/>
      <c r="D19" s="143"/>
      <c r="E19" s="143"/>
      <c r="F19" s="143"/>
      <c r="G19" s="143"/>
    </row>
    <row r="20" spans="1:7" s="108" customFormat="1" ht="13.5" customHeight="1" x14ac:dyDescent="0.2">
      <c r="A20" s="108" t="str">
        <f t="shared" si="0"/>
        <v>HR</v>
      </c>
      <c r="B20" s="108" t="s">
        <v>598</v>
      </c>
      <c r="C20" s="143"/>
      <c r="D20" s="143"/>
      <c r="E20" s="143"/>
      <c r="F20" s="143"/>
      <c r="G20" s="143"/>
    </row>
    <row r="21" spans="1:7" s="108" customFormat="1" ht="13.5" customHeight="1" x14ac:dyDescent="0.2">
      <c r="A21" s="108" t="str">
        <f t="shared" si="0"/>
        <v>HR</v>
      </c>
      <c r="B21" s="108" t="s">
        <v>594</v>
      </c>
      <c r="C21" s="143"/>
      <c r="D21" s="143"/>
      <c r="E21" s="143"/>
      <c r="F21" s="143"/>
      <c r="G21" s="143"/>
    </row>
    <row r="22" spans="1:7" s="108" customFormat="1" ht="13.5" customHeight="1" x14ac:dyDescent="0.2">
      <c r="A22" s="108" t="str">
        <f t="shared" si="0"/>
        <v>HR</v>
      </c>
      <c r="B22" s="108" t="s">
        <v>578</v>
      </c>
      <c r="C22" s="143"/>
      <c r="D22" s="143"/>
      <c r="E22" s="143"/>
      <c r="F22" s="143"/>
      <c r="G22" s="143"/>
    </row>
    <row r="23" spans="1:7" s="108" customFormat="1" ht="13.5" customHeight="1" x14ac:dyDescent="0.2">
      <c r="A23" s="108" t="str">
        <f t="shared" si="0"/>
        <v>HR</v>
      </c>
      <c r="B23" s="108" t="s">
        <v>603</v>
      </c>
      <c r="C23" s="143"/>
      <c r="D23" s="143"/>
      <c r="E23" s="143"/>
      <c r="F23" s="143"/>
      <c r="G23" s="143"/>
    </row>
    <row r="24" spans="1:7" s="108" customFormat="1" ht="13.5" customHeight="1" x14ac:dyDescent="0.2">
      <c r="A24" s="108" t="str">
        <f t="shared" si="0"/>
        <v>HR</v>
      </c>
      <c r="B24" s="108" t="s">
        <v>597</v>
      </c>
      <c r="C24" s="143"/>
      <c r="D24" s="143"/>
      <c r="E24" s="143"/>
      <c r="F24" s="143"/>
      <c r="G24" s="143"/>
    </row>
    <row r="25" spans="1:7" s="108" customFormat="1" ht="13.5" customHeight="1" x14ac:dyDescent="0.2">
      <c r="A25" s="108" t="str">
        <f t="shared" si="0"/>
        <v>HR</v>
      </c>
      <c r="B25" s="108" t="s">
        <v>607</v>
      </c>
      <c r="C25" s="143"/>
      <c r="D25" s="143"/>
      <c r="E25" s="143"/>
      <c r="F25" s="143"/>
      <c r="G25" s="143"/>
    </row>
    <row r="26" spans="1:7" s="108" customFormat="1" ht="13.5" customHeight="1" x14ac:dyDescent="0.2">
      <c r="A26" s="108" t="str">
        <f t="shared" si="0"/>
        <v>HR</v>
      </c>
      <c r="B26" s="108" t="s">
        <v>600</v>
      </c>
      <c r="C26" s="143"/>
      <c r="D26" s="143"/>
      <c r="E26" s="143"/>
      <c r="F26" s="143"/>
      <c r="G26" s="143"/>
    </row>
    <row r="27" spans="1:7" s="108" customFormat="1" ht="13.5" customHeight="1" x14ac:dyDescent="0.2">
      <c r="A27" s="108" t="str">
        <f t="shared" si="0"/>
        <v>HR</v>
      </c>
      <c r="B27" s="108" t="s">
        <v>593</v>
      </c>
      <c r="C27" s="143"/>
      <c r="D27" s="143"/>
      <c r="E27" s="143"/>
      <c r="F27" s="143"/>
      <c r="G27" s="143"/>
    </row>
    <row r="28" spans="1:7" s="108" customFormat="1" ht="13.5" customHeight="1" x14ac:dyDescent="0.2">
      <c r="A28" s="108" t="str">
        <f t="shared" si="0"/>
        <v>HR</v>
      </c>
      <c r="B28" s="108" t="s">
        <v>581</v>
      </c>
      <c r="C28" s="143"/>
      <c r="D28" s="143"/>
      <c r="E28" s="143"/>
      <c r="F28" s="143"/>
      <c r="G28" s="143"/>
    </row>
    <row r="29" spans="1:7" s="108" customFormat="1" ht="13.5" customHeight="1" x14ac:dyDescent="0.2">
      <c r="A29" s="108" t="str">
        <f t="shared" si="0"/>
        <v>HR</v>
      </c>
      <c r="B29" s="106" t="s">
        <v>582</v>
      </c>
      <c r="C29" s="143"/>
      <c r="D29" s="143"/>
      <c r="E29" s="143"/>
      <c r="F29" s="143"/>
      <c r="G29" s="143"/>
    </row>
    <row r="30" spans="1:7" s="108" customFormat="1" ht="13.5" customHeight="1" x14ac:dyDescent="0.2">
      <c r="A30" s="108" t="str">
        <f t="shared" si="0"/>
        <v>HR</v>
      </c>
      <c r="B30" s="108" t="s">
        <v>583</v>
      </c>
      <c r="C30" s="143"/>
      <c r="D30" s="143"/>
      <c r="E30" s="143"/>
      <c r="F30" s="143"/>
      <c r="G30" s="143"/>
    </row>
    <row r="31" spans="1:7" s="108" customFormat="1" ht="13.5" customHeight="1" x14ac:dyDescent="0.2">
      <c r="A31" s="108" t="str">
        <f t="shared" si="0"/>
        <v>HR</v>
      </c>
      <c r="B31" s="108" t="s">
        <v>596</v>
      </c>
      <c r="C31" s="143"/>
      <c r="D31" s="143"/>
      <c r="E31" s="143"/>
      <c r="F31" s="143"/>
      <c r="G31" s="143"/>
    </row>
    <row r="32" spans="1:7" s="108" customFormat="1" ht="13.5" customHeight="1" x14ac:dyDescent="0.2">
      <c r="A32" s="108" t="str">
        <f t="shared" si="0"/>
        <v>HR</v>
      </c>
      <c r="B32" s="108" t="s">
        <v>599</v>
      </c>
      <c r="C32" s="143"/>
      <c r="D32" s="143"/>
      <c r="E32" s="143"/>
      <c r="F32" s="143"/>
      <c r="G32" s="143"/>
    </row>
    <row r="33" spans="1:8" s="108" customFormat="1" ht="13.5" customHeight="1" x14ac:dyDescent="0.2">
      <c r="A33" s="108" t="str">
        <f t="shared" si="0"/>
        <v>HR</v>
      </c>
      <c r="B33" s="95" t="s">
        <v>577</v>
      </c>
      <c r="C33" s="143"/>
      <c r="D33" s="143"/>
      <c r="E33" s="143"/>
      <c r="F33" s="143"/>
      <c r="G33" s="143"/>
    </row>
    <row r="34" spans="1:8" s="108" customFormat="1" ht="13.5" customHeight="1" x14ac:dyDescent="0.2">
      <c r="A34" s="108" t="str">
        <f t="shared" si="0"/>
        <v>HR</v>
      </c>
      <c r="B34" s="95" t="s">
        <v>601</v>
      </c>
      <c r="C34" s="143"/>
      <c r="D34" s="143"/>
      <c r="E34" s="143"/>
      <c r="F34" s="143"/>
      <c r="G34" s="143"/>
    </row>
    <row r="35" spans="1:8" s="149" customFormat="1" ht="15" customHeight="1" x14ac:dyDescent="0.2">
      <c r="A35" s="144" t="str">
        <f t="shared" si="0"/>
        <v>IT</v>
      </c>
      <c r="B35" s="145" t="s">
        <v>618</v>
      </c>
      <c r="C35" s="146" t="s">
        <v>784</v>
      </c>
      <c r="D35" s="147"/>
      <c r="E35" s="147">
        <v>99.89</v>
      </c>
      <c r="F35" s="147">
        <v>99.99</v>
      </c>
      <c r="G35" s="147">
        <v>99.998999999999995</v>
      </c>
      <c r="H35" s="148"/>
    </row>
    <row r="36" spans="1:8" s="149" customFormat="1" ht="15" customHeight="1" x14ac:dyDescent="0.2">
      <c r="A36" s="144" t="str">
        <f t="shared" si="0"/>
        <v>IT</v>
      </c>
      <c r="B36" s="145" t="s">
        <v>618</v>
      </c>
      <c r="C36" s="146" t="s">
        <v>785</v>
      </c>
      <c r="D36" s="147"/>
      <c r="E36" s="147">
        <v>99.98</v>
      </c>
      <c r="F36" s="147">
        <v>99.99</v>
      </c>
      <c r="G36" s="147">
        <v>99.998999999999995</v>
      </c>
      <c r="H36" s="148"/>
    </row>
    <row r="37" spans="1:8" s="149" customFormat="1" ht="15" customHeight="1" x14ac:dyDescent="0.2">
      <c r="A37" s="144" t="str">
        <f t="shared" si="0"/>
        <v>IT</v>
      </c>
      <c r="B37" s="145" t="s">
        <v>618</v>
      </c>
      <c r="C37" s="146" t="s">
        <v>778</v>
      </c>
      <c r="D37" s="147"/>
      <c r="E37" s="147">
        <v>99.92</v>
      </c>
      <c r="F37" s="147">
        <v>99.99</v>
      </c>
      <c r="G37" s="147">
        <v>99.998999999999995</v>
      </c>
      <c r="H37" s="148"/>
    </row>
    <row r="38" spans="1:8" s="149" customFormat="1" ht="15" customHeight="1" x14ac:dyDescent="0.2">
      <c r="A38" s="144" t="str">
        <f t="shared" si="0"/>
        <v>IT</v>
      </c>
      <c r="B38" s="145" t="s">
        <v>618</v>
      </c>
      <c r="C38" s="146" t="s">
        <v>786</v>
      </c>
      <c r="D38" s="147"/>
      <c r="E38" s="147">
        <v>99.91</v>
      </c>
      <c r="F38" s="147">
        <v>99.99</v>
      </c>
      <c r="G38" s="147">
        <v>99.998999999999995</v>
      </c>
      <c r="H38" s="148"/>
    </row>
    <row r="39" spans="1:8" s="149" customFormat="1" ht="15" customHeight="1" x14ac:dyDescent="0.2">
      <c r="A39" s="144" t="str">
        <f t="shared" si="0"/>
        <v>IT</v>
      </c>
      <c r="B39" s="145" t="s">
        <v>618</v>
      </c>
      <c r="C39" s="146" t="s">
        <v>780</v>
      </c>
      <c r="D39" s="147"/>
      <c r="E39" s="147">
        <v>99.79</v>
      </c>
      <c r="F39" s="147">
        <v>99.99</v>
      </c>
      <c r="G39" s="147">
        <v>99.998999999999995</v>
      </c>
      <c r="H39" s="148"/>
    </row>
    <row r="40" spans="1:8" s="149" customFormat="1" ht="15" customHeight="1" x14ac:dyDescent="0.2">
      <c r="A40" s="144" t="str">
        <f t="shared" si="0"/>
        <v>IT</v>
      </c>
      <c r="B40" s="145" t="s">
        <v>618</v>
      </c>
      <c r="C40" s="146" t="s">
        <v>787</v>
      </c>
      <c r="D40" s="147"/>
      <c r="E40" s="147">
        <v>99.85</v>
      </c>
      <c r="F40" s="147">
        <v>99.99</v>
      </c>
      <c r="G40" s="147">
        <v>99.998999999999995</v>
      </c>
      <c r="H40" s="148"/>
    </row>
    <row r="41" spans="1:8" s="149" customFormat="1" ht="15" customHeight="1" x14ac:dyDescent="0.2">
      <c r="A41" s="144" t="str">
        <f t="shared" si="0"/>
        <v>IT</v>
      </c>
      <c r="B41" s="145" t="s">
        <v>613</v>
      </c>
      <c r="C41" s="146" t="s">
        <v>778</v>
      </c>
      <c r="D41" s="147"/>
      <c r="E41" s="147">
        <v>80</v>
      </c>
      <c r="F41" s="147">
        <v>85</v>
      </c>
      <c r="G41" s="147"/>
      <c r="H41" s="148"/>
    </row>
    <row r="42" spans="1:8" s="149" customFormat="1" ht="15" customHeight="1" x14ac:dyDescent="0.2">
      <c r="A42" s="144" t="str">
        <f t="shared" si="0"/>
        <v>IT</v>
      </c>
      <c r="B42" s="145" t="s">
        <v>613</v>
      </c>
      <c r="C42" s="146" t="s">
        <v>786</v>
      </c>
      <c r="D42" s="147"/>
      <c r="E42" s="147">
        <v>89.86</v>
      </c>
      <c r="F42" s="147">
        <v>85</v>
      </c>
      <c r="G42" s="147"/>
      <c r="H42" s="148"/>
    </row>
    <row r="43" spans="1:8" s="149" customFormat="1" ht="15" customHeight="1" x14ac:dyDescent="0.2">
      <c r="A43" s="144" t="str">
        <f t="shared" si="0"/>
        <v>IT</v>
      </c>
      <c r="B43" s="145" t="s">
        <v>613</v>
      </c>
      <c r="C43" s="146" t="s">
        <v>780</v>
      </c>
      <c r="D43" s="147"/>
      <c r="E43" s="147">
        <v>85.71</v>
      </c>
      <c r="F43" s="147">
        <v>85</v>
      </c>
      <c r="G43" s="147"/>
      <c r="H43" s="148"/>
    </row>
    <row r="44" spans="1:8" s="149" customFormat="1" ht="15" customHeight="1" x14ac:dyDescent="0.2">
      <c r="A44" s="144" t="str">
        <f t="shared" si="0"/>
        <v>IT</v>
      </c>
      <c r="B44" s="145" t="s">
        <v>613</v>
      </c>
      <c r="C44" s="146" t="s">
        <v>787</v>
      </c>
      <c r="D44" s="147"/>
      <c r="E44" s="147">
        <v>89.97</v>
      </c>
      <c r="F44" s="147">
        <v>85</v>
      </c>
      <c r="G44" s="147"/>
      <c r="H44" s="148"/>
    </row>
    <row r="45" spans="1:8" s="149" customFormat="1" ht="15" customHeight="1" x14ac:dyDescent="0.2">
      <c r="A45" s="144" t="str">
        <f t="shared" si="0"/>
        <v>IT</v>
      </c>
      <c r="B45" s="145" t="s">
        <v>616</v>
      </c>
      <c r="C45" s="146" t="s">
        <v>778</v>
      </c>
      <c r="D45" s="147" t="s">
        <v>788</v>
      </c>
      <c r="E45" s="147"/>
      <c r="F45" s="147">
        <v>95</v>
      </c>
      <c r="G45" s="147">
        <v>100</v>
      </c>
      <c r="H45" s="148"/>
    </row>
    <row r="46" spans="1:8" s="149" customFormat="1" ht="15" customHeight="1" x14ac:dyDescent="0.2">
      <c r="A46" s="144" t="str">
        <f t="shared" si="0"/>
        <v>IT</v>
      </c>
      <c r="B46" s="145" t="s">
        <v>616</v>
      </c>
      <c r="C46" s="146" t="s">
        <v>778</v>
      </c>
      <c r="D46" s="147" t="s">
        <v>789</v>
      </c>
      <c r="E46" s="147"/>
      <c r="F46" s="147">
        <v>95</v>
      </c>
      <c r="G46" s="147">
        <v>100</v>
      </c>
      <c r="H46" s="148"/>
    </row>
    <row r="47" spans="1:8" s="149" customFormat="1" ht="15" customHeight="1" x14ac:dyDescent="0.2">
      <c r="A47" s="144" t="str">
        <f t="shared" si="0"/>
        <v>IT</v>
      </c>
      <c r="B47" s="145" t="s">
        <v>616</v>
      </c>
      <c r="C47" s="146" t="s">
        <v>778</v>
      </c>
      <c r="D47" s="147" t="s">
        <v>790</v>
      </c>
      <c r="E47" s="147"/>
      <c r="F47" s="147">
        <v>95</v>
      </c>
      <c r="G47" s="147">
        <v>100</v>
      </c>
      <c r="H47" s="148"/>
    </row>
    <row r="48" spans="1:8" s="149" customFormat="1" ht="15" customHeight="1" x14ac:dyDescent="0.2">
      <c r="A48" s="144" t="str">
        <f t="shared" si="0"/>
        <v>IT</v>
      </c>
      <c r="B48" s="145" t="s">
        <v>616</v>
      </c>
      <c r="C48" s="146" t="s">
        <v>778</v>
      </c>
      <c r="D48" s="147" t="s">
        <v>791</v>
      </c>
      <c r="E48" s="147"/>
      <c r="F48" s="147">
        <v>95</v>
      </c>
      <c r="G48" s="147">
        <v>100</v>
      </c>
      <c r="H48" s="148"/>
    </row>
    <row r="49" spans="1:8" s="149" customFormat="1" ht="15" customHeight="1" x14ac:dyDescent="0.2">
      <c r="A49" s="144" t="str">
        <f t="shared" si="0"/>
        <v>IT</v>
      </c>
      <c r="B49" s="145" t="s">
        <v>616</v>
      </c>
      <c r="C49" s="146" t="s">
        <v>786</v>
      </c>
      <c r="D49" s="147" t="s">
        <v>788</v>
      </c>
      <c r="E49" s="147"/>
      <c r="F49" s="147">
        <v>95</v>
      </c>
      <c r="G49" s="147">
        <v>100</v>
      </c>
      <c r="H49" s="148"/>
    </row>
    <row r="50" spans="1:8" s="149" customFormat="1" ht="15" customHeight="1" x14ac:dyDescent="0.2">
      <c r="A50" s="144" t="str">
        <f t="shared" si="0"/>
        <v>IT</v>
      </c>
      <c r="B50" s="145" t="s">
        <v>616</v>
      </c>
      <c r="C50" s="146" t="s">
        <v>786</v>
      </c>
      <c r="D50" s="147" t="s">
        <v>789</v>
      </c>
      <c r="E50" s="147"/>
      <c r="F50" s="147">
        <v>95</v>
      </c>
      <c r="G50" s="147">
        <v>100</v>
      </c>
      <c r="H50" s="148"/>
    </row>
    <row r="51" spans="1:8" s="149" customFormat="1" ht="15" customHeight="1" x14ac:dyDescent="0.2">
      <c r="A51" s="144" t="str">
        <f t="shared" si="0"/>
        <v>IT</v>
      </c>
      <c r="B51" s="145" t="s">
        <v>616</v>
      </c>
      <c r="C51" s="146" t="s">
        <v>786</v>
      </c>
      <c r="D51" s="147" t="s">
        <v>790</v>
      </c>
      <c r="E51" s="147"/>
      <c r="F51" s="147">
        <v>95</v>
      </c>
      <c r="G51" s="147">
        <v>100</v>
      </c>
      <c r="H51" s="148"/>
    </row>
    <row r="52" spans="1:8" s="149" customFormat="1" ht="15" customHeight="1" x14ac:dyDescent="0.2">
      <c r="A52" s="144" t="str">
        <f t="shared" si="0"/>
        <v>IT</v>
      </c>
      <c r="B52" s="145" t="s">
        <v>616</v>
      </c>
      <c r="C52" s="146" t="s">
        <v>786</v>
      </c>
      <c r="D52" s="147" t="s">
        <v>791</v>
      </c>
      <c r="E52" s="147"/>
      <c r="F52" s="147">
        <v>95</v>
      </c>
      <c r="G52" s="147">
        <v>100</v>
      </c>
      <c r="H52" s="148"/>
    </row>
    <row r="53" spans="1:8" s="149" customFormat="1" ht="15" customHeight="1" x14ac:dyDescent="0.2">
      <c r="A53" s="144" t="str">
        <f t="shared" si="0"/>
        <v>IT</v>
      </c>
      <c r="B53" s="145" t="s">
        <v>616</v>
      </c>
      <c r="C53" s="146" t="s">
        <v>780</v>
      </c>
      <c r="D53" s="147" t="s">
        <v>788</v>
      </c>
      <c r="E53" s="147"/>
      <c r="F53" s="147">
        <v>95</v>
      </c>
      <c r="G53" s="147">
        <v>100</v>
      </c>
      <c r="H53" s="148"/>
    </row>
    <row r="54" spans="1:8" s="149" customFormat="1" ht="15" customHeight="1" x14ac:dyDescent="0.2">
      <c r="A54" s="144" t="str">
        <f t="shared" si="0"/>
        <v>IT</v>
      </c>
      <c r="B54" s="145" t="s">
        <v>616</v>
      </c>
      <c r="C54" s="146" t="s">
        <v>780</v>
      </c>
      <c r="D54" s="147" t="s">
        <v>789</v>
      </c>
      <c r="E54" s="147"/>
      <c r="F54" s="147">
        <v>95</v>
      </c>
      <c r="G54" s="147">
        <v>100</v>
      </c>
      <c r="H54" s="148"/>
    </row>
    <row r="55" spans="1:8" s="149" customFormat="1" ht="15" customHeight="1" x14ac:dyDescent="0.2">
      <c r="A55" s="144" t="str">
        <f t="shared" si="0"/>
        <v>IT</v>
      </c>
      <c r="B55" s="145" t="s">
        <v>616</v>
      </c>
      <c r="C55" s="146" t="s">
        <v>780</v>
      </c>
      <c r="D55" s="147" t="s">
        <v>790</v>
      </c>
      <c r="E55" s="147"/>
      <c r="F55" s="147">
        <v>95</v>
      </c>
      <c r="G55" s="147">
        <v>100</v>
      </c>
      <c r="H55" s="148"/>
    </row>
    <row r="56" spans="1:8" s="149" customFormat="1" ht="15" customHeight="1" x14ac:dyDescent="0.2">
      <c r="A56" s="144" t="str">
        <f t="shared" si="0"/>
        <v>IT</v>
      </c>
      <c r="B56" s="145" t="s">
        <v>616</v>
      </c>
      <c r="C56" s="146" t="s">
        <v>780</v>
      </c>
      <c r="D56" s="147" t="s">
        <v>791</v>
      </c>
      <c r="E56" s="147"/>
      <c r="F56" s="147">
        <v>95</v>
      </c>
      <c r="G56" s="147">
        <v>100</v>
      </c>
      <c r="H56" s="148"/>
    </row>
    <row r="57" spans="1:8" s="149" customFormat="1" ht="15" customHeight="1" x14ac:dyDescent="0.2">
      <c r="A57" s="144" t="str">
        <f t="shared" si="0"/>
        <v>IT</v>
      </c>
      <c r="B57" s="145" t="s">
        <v>616</v>
      </c>
      <c r="C57" s="146" t="s">
        <v>787</v>
      </c>
      <c r="D57" s="147" t="s">
        <v>788</v>
      </c>
      <c r="E57" s="147"/>
      <c r="F57" s="147">
        <v>95</v>
      </c>
      <c r="G57" s="147">
        <v>100</v>
      </c>
      <c r="H57" s="148"/>
    </row>
    <row r="58" spans="1:8" s="149" customFormat="1" ht="15" customHeight="1" x14ac:dyDescent="0.2">
      <c r="A58" s="144" t="str">
        <f t="shared" si="0"/>
        <v>IT</v>
      </c>
      <c r="B58" s="145" t="s">
        <v>616</v>
      </c>
      <c r="C58" s="146" t="s">
        <v>787</v>
      </c>
      <c r="D58" s="147" t="s">
        <v>789</v>
      </c>
      <c r="E58" s="147"/>
      <c r="F58" s="147">
        <v>95</v>
      </c>
      <c r="G58" s="147">
        <v>100</v>
      </c>
      <c r="H58" s="148"/>
    </row>
    <row r="59" spans="1:8" s="149" customFormat="1" ht="15" customHeight="1" x14ac:dyDescent="0.2">
      <c r="A59" s="144" t="str">
        <f t="shared" si="0"/>
        <v>IT</v>
      </c>
      <c r="B59" s="145" t="s">
        <v>616</v>
      </c>
      <c r="C59" s="146" t="s">
        <v>787</v>
      </c>
      <c r="D59" s="147" t="s">
        <v>790</v>
      </c>
      <c r="E59" s="147"/>
      <c r="F59" s="147">
        <v>95</v>
      </c>
      <c r="G59" s="147">
        <v>100</v>
      </c>
      <c r="H59" s="148"/>
    </row>
    <row r="60" spans="1:8" s="149" customFormat="1" ht="15" customHeight="1" x14ac:dyDescent="0.2">
      <c r="A60" s="144" t="str">
        <f t="shared" si="0"/>
        <v>IT</v>
      </c>
      <c r="B60" s="145" t="s">
        <v>616</v>
      </c>
      <c r="C60" s="146" t="s">
        <v>787</v>
      </c>
      <c r="D60" s="147" t="s">
        <v>791</v>
      </c>
      <c r="E60" s="147"/>
      <c r="F60" s="147">
        <v>95</v>
      </c>
      <c r="G60" s="147">
        <v>100</v>
      </c>
      <c r="H60" s="148"/>
    </row>
    <row r="61" spans="1:8" s="149" customFormat="1" ht="15" customHeight="1" x14ac:dyDescent="0.2">
      <c r="A61" s="144" t="str">
        <f t="shared" si="0"/>
        <v>IT</v>
      </c>
      <c r="B61" s="145" t="s">
        <v>608</v>
      </c>
      <c r="C61" s="146" t="s">
        <v>792</v>
      </c>
      <c r="D61" s="150"/>
      <c r="E61" s="147">
        <v>8.9</v>
      </c>
      <c r="F61" s="147">
        <v>3.9</v>
      </c>
      <c r="G61" s="147">
        <v>3.9</v>
      </c>
      <c r="H61" s="148"/>
    </row>
    <row r="62" spans="1:8" s="149" customFormat="1" ht="15" customHeight="1" x14ac:dyDescent="0.2">
      <c r="A62" s="144" t="str">
        <f t="shared" si="0"/>
        <v>IT</v>
      </c>
      <c r="B62" s="145" t="s">
        <v>608</v>
      </c>
      <c r="C62" s="146" t="s">
        <v>793</v>
      </c>
      <c r="D62" s="150"/>
      <c r="E62" s="147">
        <v>2.4</v>
      </c>
      <c r="F62" s="147">
        <v>3.9</v>
      </c>
      <c r="G62" s="147">
        <v>3.9</v>
      </c>
      <c r="H62" s="148"/>
    </row>
    <row r="63" spans="1:8" s="148" customFormat="1" ht="13.5" customHeight="1" x14ac:dyDescent="0.2">
      <c r="A63" s="148" t="str">
        <f t="shared" si="0"/>
        <v>IT</v>
      </c>
      <c r="B63" s="148" t="s">
        <v>608</v>
      </c>
      <c r="C63" s="151" t="s">
        <v>794</v>
      </c>
      <c r="D63" s="151"/>
      <c r="E63" s="151">
        <v>1.05</v>
      </c>
      <c r="F63" s="151">
        <v>3.9</v>
      </c>
      <c r="G63" s="151">
        <v>3.9</v>
      </c>
    </row>
    <row r="64" spans="1:8" s="148" customFormat="1" ht="13.5" customHeight="1" x14ac:dyDescent="0.2">
      <c r="A64" s="148" t="str">
        <f t="shared" si="0"/>
        <v>IT</v>
      </c>
      <c r="B64" s="148" t="s">
        <v>608</v>
      </c>
      <c r="C64" s="151" t="s">
        <v>795</v>
      </c>
      <c r="D64" s="151"/>
      <c r="E64" s="151">
        <v>0.9</v>
      </c>
      <c r="F64" s="151">
        <v>3.9</v>
      </c>
      <c r="G64" s="151">
        <v>3.9</v>
      </c>
    </row>
    <row r="65" spans="1:7" s="148" customFormat="1" ht="13.5" customHeight="1" x14ac:dyDescent="0.2">
      <c r="A65" s="148" t="str">
        <f t="shared" si="0"/>
        <v>IT</v>
      </c>
      <c r="B65" s="148" t="s">
        <v>608</v>
      </c>
      <c r="C65" s="151" t="s">
        <v>796</v>
      </c>
      <c r="D65" s="151"/>
      <c r="E65" s="151">
        <v>0.63333333333333297</v>
      </c>
      <c r="F65" s="151">
        <v>3.9</v>
      </c>
      <c r="G65" s="151">
        <v>3.9</v>
      </c>
    </row>
    <row r="66" spans="1:7" s="148" customFormat="1" ht="13.5" customHeight="1" x14ac:dyDescent="0.2">
      <c r="A66" s="148" t="str">
        <f t="shared" ref="A66:A129" si="1">LEFT(B66, FIND("-", B66) - 1)</f>
        <v>IT</v>
      </c>
      <c r="B66" s="148" t="s">
        <v>608</v>
      </c>
      <c r="C66" s="151" t="s">
        <v>797</v>
      </c>
      <c r="D66" s="151"/>
      <c r="E66" s="151">
        <v>0.7</v>
      </c>
      <c r="F66" s="151">
        <v>3.9</v>
      </c>
      <c r="G66" s="151">
        <v>3.9</v>
      </c>
    </row>
    <row r="67" spans="1:7" s="148" customFormat="1" ht="13.5" customHeight="1" x14ac:dyDescent="0.2">
      <c r="A67" s="148" t="str">
        <f t="shared" si="1"/>
        <v>IT</v>
      </c>
      <c r="B67" s="148" t="s">
        <v>608</v>
      </c>
      <c r="C67" s="151" t="s">
        <v>798</v>
      </c>
      <c r="D67" s="151"/>
      <c r="E67" s="151">
        <v>1.13333333333333</v>
      </c>
      <c r="F67" s="151">
        <v>3.9</v>
      </c>
      <c r="G67" s="151">
        <v>3.9</v>
      </c>
    </row>
    <row r="68" spans="1:7" s="148" customFormat="1" ht="13.5" customHeight="1" x14ac:dyDescent="0.2">
      <c r="A68" s="148" t="str">
        <f t="shared" si="1"/>
        <v>IT</v>
      </c>
      <c r="B68" s="148" t="s">
        <v>608</v>
      </c>
      <c r="C68" s="151" t="s">
        <v>799</v>
      </c>
      <c r="D68" s="151"/>
      <c r="E68" s="151">
        <v>0.56666666666666698</v>
      </c>
      <c r="F68" s="151">
        <v>3.9</v>
      </c>
      <c r="G68" s="151">
        <v>3.9</v>
      </c>
    </row>
    <row r="69" spans="1:7" s="148" customFormat="1" ht="13.5" customHeight="1" x14ac:dyDescent="0.2">
      <c r="A69" s="148" t="str">
        <f t="shared" si="1"/>
        <v>IT</v>
      </c>
      <c r="B69" s="148" t="s">
        <v>608</v>
      </c>
      <c r="C69" s="151" t="s">
        <v>800</v>
      </c>
      <c r="D69" s="151"/>
      <c r="E69" s="151">
        <v>0.83333333333333304</v>
      </c>
      <c r="F69" s="151">
        <v>3.9</v>
      </c>
      <c r="G69" s="151">
        <v>3.9</v>
      </c>
    </row>
    <row r="70" spans="1:7" s="148" customFormat="1" ht="13.5" customHeight="1" x14ac:dyDescent="0.2">
      <c r="A70" s="148" t="str">
        <f t="shared" si="1"/>
        <v>IT</v>
      </c>
      <c r="B70" s="148" t="s">
        <v>608</v>
      </c>
      <c r="C70" s="151" t="s">
        <v>801</v>
      </c>
      <c r="D70" s="151"/>
      <c r="E70" s="151">
        <v>1.5333333333333301</v>
      </c>
      <c r="F70" s="151">
        <v>3.9</v>
      </c>
      <c r="G70" s="151">
        <v>3.9</v>
      </c>
    </row>
    <row r="71" spans="1:7" s="148" customFormat="1" ht="13.5" customHeight="1" x14ac:dyDescent="0.2">
      <c r="A71" s="148" t="str">
        <f t="shared" si="1"/>
        <v>IT</v>
      </c>
      <c r="B71" s="148" t="s">
        <v>608</v>
      </c>
      <c r="C71" s="151" t="s">
        <v>802</v>
      </c>
      <c r="D71" s="151"/>
      <c r="E71" s="151">
        <v>1.1000000000000001</v>
      </c>
      <c r="F71" s="151">
        <v>3.9</v>
      </c>
      <c r="G71" s="151">
        <v>3.9</v>
      </c>
    </row>
    <row r="72" spans="1:7" s="148" customFormat="1" ht="13.5" customHeight="1" x14ac:dyDescent="0.2">
      <c r="A72" s="148" t="str">
        <f t="shared" si="1"/>
        <v>IT</v>
      </c>
      <c r="B72" s="148" t="s">
        <v>608</v>
      </c>
      <c r="C72" s="151" t="s">
        <v>803</v>
      </c>
      <c r="D72" s="151"/>
      <c r="E72" s="151">
        <v>0.66666666666666696</v>
      </c>
      <c r="F72" s="151">
        <v>3.9</v>
      </c>
      <c r="G72" s="151">
        <v>3.9</v>
      </c>
    </row>
    <row r="73" spans="1:7" s="148" customFormat="1" ht="13.5" customHeight="1" x14ac:dyDescent="0.2">
      <c r="A73" s="148" t="str">
        <f t="shared" si="1"/>
        <v>IT</v>
      </c>
      <c r="B73" s="148" t="s">
        <v>608</v>
      </c>
      <c r="C73" s="151" t="s">
        <v>804</v>
      </c>
      <c r="D73" s="151"/>
      <c r="E73" s="151">
        <v>0.73333333333333295</v>
      </c>
      <c r="F73" s="151">
        <v>3.9</v>
      </c>
      <c r="G73" s="151">
        <v>3.9</v>
      </c>
    </row>
    <row r="74" spans="1:7" s="148" customFormat="1" ht="13.5" customHeight="1" x14ac:dyDescent="0.2">
      <c r="A74" s="148" t="str">
        <f t="shared" si="1"/>
        <v>IT</v>
      </c>
      <c r="B74" s="148" t="s">
        <v>608</v>
      </c>
      <c r="C74" s="151" t="s">
        <v>805</v>
      </c>
      <c r="D74" s="151"/>
      <c r="E74" s="151">
        <v>0.75</v>
      </c>
      <c r="F74" s="151">
        <v>3.9</v>
      </c>
      <c r="G74" s="151">
        <v>3.9</v>
      </c>
    </row>
    <row r="75" spans="1:7" s="148" customFormat="1" ht="13.5" customHeight="1" x14ac:dyDescent="0.2">
      <c r="A75" s="148" t="str">
        <f t="shared" si="1"/>
        <v>IT</v>
      </c>
      <c r="B75" s="148" t="s">
        <v>608</v>
      </c>
      <c r="C75" s="151" t="s">
        <v>806</v>
      </c>
      <c r="D75" s="151"/>
      <c r="E75" s="151">
        <v>8.3666666666666707</v>
      </c>
      <c r="F75" s="151">
        <v>3.9</v>
      </c>
      <c r="G75" s="151">
        <v>3.9</v>
      </c>
    </row>
    <row r="76" spans="1:7" s="148" customFormat="1" ht="13.5" customHeight="1" x14ac:dyDescent="0.2">
      <c r="A76" s="148" t="str">
        <f t="shared" si="1"/>
        <v>IT</v>
      </c>
      <c r="B76" s="148" t="s">
        <v>608</v>
      </c>
      <c r="C76" s="151" t="s">
        <v>807</v>
      </c>
      <c r="D76" s="151"/>
      <c r="E76" s="151">
        <v>9.6999999999999993</v>
      </c>
      <c r="F76" s="151">
        <v>3.9</v>
      </c>
      <c r="G76" s="151">
        <v>3.9</v>
      </c>
    </row>
    <row r="77" spans="1:7" s="148" customFormat="1" ht="13.5" customHeight="1" x14ac:dyDescent="0.2">
      <c r="A77" s="148" t="str">
        <f t="shared" si="1"/>
        <v>IT</v>
      </c>
      <c r="B77" s="148" t="s">
        <v>608</v>
      </c>
      <c r="C77" s="151" t="s">
        <v>808</v>
      </c>
      <c r="D77" s="151"/>
      <c r="E77" s="151">
        <v>10.5666666666667</v>
      </c>
      <c r="F77" s="151">
        <v>3.9</v>
      </c>
      <c r="G77" s="151">
        <v>3.9</v>
      </c>
    </row>
    <row r="78" spans="1:7" s="148" customFormat="1" ht="13.5" customHeight="1" x14ac:dyDescent="0.2">
      <c r="A78" s="148" t="str">
        <f t="shared" si="1"/>
        <v>IT</v>
      </c>
      <c r="B78" s="148" t="s">
        <v>608</v>
      </c>
      <c r="C78" s="151" t="s">
        <v>809</v>
      </c>
      <c r="D78" s="151"/>
      <c r="E78" s="151">
        <v>1.7</v>
      </c>
      <c r="F78" s="151">
        <v>3.9</v>
      </c>
      <c r="G78" s="151">
        <v>3.9</v>
      </c>
    </row>
    <row r="79" spans="1:7" s="148" customFormat="1" ht="13.5" customHeight="1" x14ac:dyDescent="0.2">
      <c r="A79" s="148" t="str">
        <f t="shared" si="1"/>
        <v>IT</v>
      </c>
      <c r="B79" s="148" t="s">
        <v>608</v>
      </c>
      <c r="C79" s="151" t="s">
        <v>810</v>
      </c>
      <c r="D79" s="151"/>
      <c r="E79" s="151">
        <v>0.73333333333333295</v>
      </c>
      <c r="F79" s="151">
        <v>3.9</v>
      </c>
      <c r="G79" s="151">
        <v>3.9</v>
      </c>
    </row>
    <row r="80" spans="1:7" s="148" customFormat="1" ht="13.5" customHeight="1" x14ac:dyDescent="0.2">
      <c r="A80" s="148" t="str">
        <f t="shared" si="1"/>
        <v>IT</v>
      </c>
      <c r="B80" s="148" t="s">
        <v>608</v>
      </c>
      <c r="C80" s="151" t="s">
        <v>811</v>
      </c>
      <c r="D80" s="151"/>
      <c r="E80" s="151">
        <v>0.76666666666666705</v>
      </c>
      <c r="F80" s="151">
        <v>3.9</v>
      </c>
      <c r="G80" s="151">
        <v>3.9</v>
      </c>
    </row>
    <row r="81" spans="1:7" s="152" customFormat="1" ht="13.5" customHeight="1" x14ac:dyDescent="0.15">
      <c r="A81" s="152" t="str">
        <f t="shared" si="1"/>
        <v>LIB</v>
      </c>
      <c r="B81" s="152" t="s">
        <v>622</v>
      </c>
      <c r="C81" s="153" t="s">
        <v>785</v>
      </c>
      <c r="D81" s="153"/>
      <c r="E81" s="153">
        <v>143</v>
      </c>
      <c r="F81" s="153">
        <v>150</v>
      </c>
      <c r="G81" s="153">
        <v>150</v>
      </c>
    </row>
    <row r="82" spans="1:7" s="152" customFormat="1" ht="13.5" customHeight="1" x14ac:dyDescent="0.15">
      <c r="A82" s="152" t="str">
        <f t="shared" si="1"/>
        <v>LIB</v>
      </c>
      <c r="B82" s="152" t="s">
        <v>622</v>
      </c>
      <c r="C82" s="153" t="s">
        <v>778</v>
      </c>
      <c r="D82" s="153"/>
      <c r="E82" s="153">
        <v>146</v>
      </c>
      <c r="F82" s="153">
        <v>150</v>
      </c>
      <c r="G82" s="153">
        <v>150</v>
      </c>
    </row>
    <row r="83" spans="1:7" s="152" customFormat="1" ht="13.5" customHeight="1" x14ac:dyDescent="0.15">
      <c r="A83" s="152" t="str">
        <f t="shared" si="1"/>
        <v>LIB</v>
      </c>
      <c r="B83" s="152" t="s">
        <v>622</v>
      </c>
      <c r="C83" s="153" t="s">
        <v>786</v>
      </c>
      <c r="D83" s="153"/>
      <c r="E83" s="153">
        <v>47</v>
      </c>
      <c r="F83" s="153">
        <v>150</v>
      </c>
      <c r="G83" s="153">
        <v>150</v>
      </c>
    </row>
    <row r="84" spans="1:7" s="152" customFormat="1" ht="13.5" customHeight="1" x14ac:dyDescent="0.15">
      <c r="A84" s="152" t="str">
        <f t="shared" si="1"/>
        <v>LIB</v>
      </c>
      <c r="B84" s="152" t="s">
        <v>622</v>
      </c>
      <c r="C84" s="153" t="s">
        <v>780</v>
      </c>
      <c r="D84" s="153"/>
      <c r="E84" s="153">
        <v>122</v>
      </c>
      <c r="F84" s="153">
        <v>150</v>
      </c>
      <c r="G84" s="153">
        <v>150</v>
      </c>
    </row>
    <row r="85" spans="1:7" s="152" customFormat="1" ht="13.5" customHeight="1" x14ac:dyDescent="0.15">
      <c r="A85" s="152" t="str">
        <f t="shared" si="1"/>
        <v>LIB</v>
      </c>
      <c r="B85" s="152" t="s">
        <v>622</v>
      </c>
      <c r="C85" s="153" t="s">
        <v>787</v>
      </c>
      <c r="D85" s="153"/>
      <c r="E85" s="153">
        <v>112</v>
      </c>
      <c r="F85" s="153">
        <v>150</v>
      </c>
      <c r="G85" s="153">
        <v>150</v>
      </c>
    </row>
    <row r="86" spans="1:7" s="152" customFormat="1" ht="13.5" customHeight="1" x14ac:dyDescent="0.15">
      <c r="A86" s="152" t="str">
        <f t="shared" si="1"/>
        <v>LIB</v>
      </c>
      <c r="B86" s="152" t="s">
        <v>622</v>
      </c>
      <c r="C86" s="153" t="s">
        <v>785</v>
      </c>
      <c r="D86" s="153" t="s">
        <v>812</v>
      </c>
      <c r="E86" s="153">
        <v>55</v>
      </c>
      <c r="F86" s="153">
        <v>50</v>
      </c>
      <c r="G86" s="153">
        <v>50</v>
      </c>
    </row>
    <row r="87" spans="1:7" s="152" customFormat="1" ht="13.5" customHeight="1" x14ac:dyDescent="0.15">
      <c r="A87" s="152" t="str">
        <f t="shared" si="1"/>
        <v>LIB</v>
      </c>
      <c r="B87" s="152" t="s">
        <v>622</v>
      </c>
      <c r="C87" s="153" t="s">
        <v>778</v>
      </c>
      <c r="D87" s="153" t="s">
        <v>812</v>
      </c>
      <c r="E87" s="153">
        <v>48</v>
      </c>
      <c r="F87" s="153">
        <v>50</v>
      </c>
      <c r="G87" s="153">
        <v>50</v>
      </c>
    </row>
    <row r="88" spans="1:7" s="152" customFormat="1" ht="13.5" customHeight="1" x14ac:dyDescent="0.15">
      <c r="A88" s="152" t="str">
        <f t="shared" si="1"/>
        <v>LIB</v>
      </c>
      <c r="B88" s="152" t="s">
        <v>622</v>
      </c>
      <c r="C88" s="153" t="s">
        <v>786</v>
      </c>
      <c r="D88" s="153" t="s">
        <v>812</v>
      </c>
      <c r="E88" s="153">
        <v>25</v>
      </c>
      <c r="F88" s="153">
        <v>50</v>
      </c>
      <c r="G88" s="153">
        <v>50</v>
      </c>
    </row>
    <row r="89" spans="1:7" s="152" customFormat="1" ht="13.5" customHeight="1" x14ac:dyDescent="0.15">
      <c r="A89" s="152" t="str">
        <f t="shared" si="1"/>
        <v>LIB</v>
      </c>
      <c r="B89" s="152" t="s">
        <v>622</v>
      </c>
      <c r="C89" s="153" t="s">
        <v>780</v>
      </c>
      <c r="D89" s="153" t="s">
        <v>812</v>
      </c>
      <c r="E89" s="153">
        <v>68</v>
      </c>
      <c r="F89" s="153">
        <v>50</v>
      </c>
      <c r="G89" s="153">
        <v>50</v>
      </c>
    </row>
    <row r="90" spans="1:7" s="152" customFormat="1" ht="13.5" customHeight="1" x14ac:dyDescent="0.15">
      <c r="A90" s="152" t="str">
        <f t="shared" si="1"/>
        <v>LIB</v>
      </c>
      <c r="B90" s="152" t="s">
        <v>622</v>
      </c>
      <c r="C90" s="153" t="s">
        <v>787</v>
      </c>
      <c r="D90" s="153" t="s">
        <v>812</v>
      </c>
      <c r="E90" s="153">
        <v>54</v>
      </c>
      <c r="F90" s="153">
        <v>50</v>
      </c>
      <c r="G90" s="153">
        <v>50</v>
      </c>
    </row>
    <row r="91" spans="1:7" s="152" customFormat="1" ht="13.5" customHeight="1" x14ac:dyDescent="0.15">
      <c r="A91" s="152" t="str">
        <f t="shared" si="1"/>
        <v>LIB</v>
      </c>
      <c r="B91" s="152" t="s">
        <v>622</v>
      </c>
      <c r="C91" s="153" t="s">
        <v>785</v>
      </c>
      <c r="D91" s="153" t="s">
        <v>813</v>
      </c>
      <c r="E91" s="153">
        <v>88</v>
      </c>
      <c r="F91" s="153">
        <v>50</v>
      </c>
      <c r="G91" s="153">
        <v>50</v>
      </c>
    </row>
    <row r="92" spans="1:7" s="152" customFormat="1" ht="13.5" customHeight="1" x14ac:dyDescent="0.15">
      <c r="A92" s="152" t="str">
        <f t="shared" si="1"/>
        <v>LIB</v>
      </c>
      <c r="B92" s="152" t="s">
        <v>622</v>
      </c>
      <c r="C92" s="153" t="s">
        <v>778</v>
      </c>
      <c r="D92" s="153" t="s">
        <v>813</v>
      </c>
      <c r="E92" s="153">
        <v>98</v>
      </c>
      <c r="F92" s="153">
        <v>50</v>
      </c>
      <c r="G92" s="153">
        <v>50</v>
      </c>
    </row>
    <row r="93" spans="1:7" s="152" customFormat="1" ht="13.5" customHeight="1" x14ac:dyDescent="0.15">
      <c r="A93" s="152" t="str">
        <f t="shared" si="1"/>
        <v>LIB</v>
      </c>
      <c r="B93" s="152" t="s">
        <v>622</v>
      </c>
      <c r="C93" s="153" t="s">
        <v>786</v>
      </c>
      <c r="D93" s="153" t="s">
        <v>813</v>
      </c>
      <c r="E93" s="153">
        <v>22</v>
      </c>
      <c r="F93" s="153">
        <v>50</v>
      </c>
      <c r="G93" s="153">
        <v>50</v>
      </c>
    </row>
    <row r="94" spans="1:7" s="152" customFormat="1" ht="13.5" customHeight="1" x14ac:dyDescent="0.15">
      <c r="A94" s="152" t="str">
        <f t="shared" si="1"/>
        <v>LIB</v>
      </c>
      <c r="B94" s="152" t="s">
        <v>622</v>
      </c>
      <c r="C94" s="153" t="s">
        <v>780</v>
      </c>
      <c r="D94" s="153" t="s">
        <v>813</v>
      </c>
      <c r="E94" s="153">
        <v>54</v>
      </c>
      <c r="F94" s="153">
        <v>50</v>
      </c>
      <c r="G94" s="153">
        <v>50</v>
      </c>
    </row>
    <row r="95" spans="1:7" s="152" customFormat="1" ht="13.5" customHeight="1" x14ac:dyDescent="0.15">
      <c r="A95" s="152" t="str">
        <f t="shared" si="1"/>
        <v>LIB</v>
      </c>
      <c r="B95" s="152" t="s">
        <v>622</v>
      </c>
      <c r="C95" s="153" t="s">
        <v>787</v>
      </c>
      <c r="D95" s="153" t="s">
        <v>813</v>
      </c>
      <c r="E95" s="153">
        <v>58</v>
      </c>
      <c r="F95" s="153">
        <v>50</v>
      </c>
      <c r="G95" s="153">
        <v>50</v>
      </c>
    </row>
    <row r="96" spans="1:7" s="152" customFormat="1" ht="13.5" customHeight="1" x14ac:dyDescent="0.15">
      <c r="A96" s="152" t="str">
        <f t="shared" si="1"/>
        <v>LIB</v>
      </c>
      <c r="B96" s="152" t="s">
        <v>631</v>
      </c>
      <c r="C96" s="153" t="s">
        <v>777</v>
      </c>
      <c r="D96" s="153"/>
      <c r="E96" s="153"/>
      <c r="F96" s="153"/>
      <c r="G96" s="153"/>
    </row>
    <row r="97" spans="1:7" s="152" customFormat="1" ht="13.5" customHeight="1" x14ac:dyDescent="0.15">
      <c r="A97" s="152" t="str">
        <f t="shared" si="1"/>
        <v>LIB</v>
      </c>
      <c r="B97" s="152" t="s">
        <v>626</v>
      </c>
      <c r="C97" s="153" t="s">
        <v>777</v>
      </c>
      <c r="D97" s="153"/>
      <c r="E97" s="153"/>
      <c r="F97" s="153"/>
      <c r="G97" s="153"/>
    </row>
    <row r="98" spans="1:7" s="152" customFormat="1" ht="13.5" customHeight="1" x14ac:dyDescent="0.15">
      <c r="A98" s="152" t="str">
        <f t="shared" si="1"/>
        <v>LIB</v>
      </c>
      <c r="B98" s="152" t="s">
        <v>630</v>
      </c>
      <c r="C98" s="153" t="s">
        <v>777</v>
      </c>
      <c r="D98" s="153"/>
      <c r="E98" s="153"/>
      <c r="F98" s="153"/>
      <c r="G98" s="153"/>
    </row>
    <row r="99" spans="1:7" s="152" customFormat="1" ht="13.5" customHeight="1" x14ac:dyDescent="0.15">
      <c r="A99" s="152" t="str">
        <f t="shared" si="1"/>
        <v>LIB</v>
      </c>
      <c r="B99" s="152" t="s">
        <v>632</v>
      </c>
      <c r="C99" s="153" t="s">
        <v>777</v>
      </c>
      <c r="D99" s="153"/>
      <c r="E99" s="153"/>
      <c r="F99" s="153"/>
      <c r="G99" s="153"/>
    </row>
    <row r="100" spans="1:7" s="152" customFormat="1" ht="13.5" customHeight="1" x14ac:dyDescent="0.15">
      <c r="A100" s="152" t="str">
        <f t="shared" si="1"/>
        <v>LIB</v>
      </c>
      <c r="B100" s="152" t="s">
        <v>628</v>
      </c>
      <c r="C100" s="153" t="s">
        <v>777</v>
      </c>
      <c r="D100" s="153"/>
      <c r="E100" s="153"/>
      <c r="F100" s="153"/>
      <c r="G100" s="153"/>
    </row>
    <row r="101" spans="1:7" s="152" customFormat="1" ht="13.5" customHeight="1" x14ac:dyDescent="0.15">
      <c r="A101" s="152" t="str">
        <f t="shared" si="1"/>
        <v>LIB</v>
      </c>
      <c r="B101" s="152" t="s">
        <v>629</v>
      </c>
      <c r="C101" s="153" t="s">
        <v>777</v>
      </c>
      <c r="D101" s="153"/>
      <c r="E101" s="153"/>
      <c r="F101" s="153"/>
      <c r="G101" s="153"/>
    </row>
    <row r="102" spans="1:7" s="152" customFormat="1" ht="13.5" customHeight="1" x14ac:dyDescent="0.15">
      <c r="A102" s="152" t="str">
        <f t="shared" si="1"/>
        <v>LIB</v>
      </c>
      <c r="B102" s="152" t="s">
        <v>627</v>
      </c>
      <c r="C102" s="153" t="s">
        <v>777</v>
      </c>
      <c r="D102" s="153"/>
      <c r="E102" s="153"/>
      <c r="F102" s="153"/>
      <c r="G102" s="153"/>
    </row>
    <row r="103" spans="1:7" s="152" customFormat="1" ht="13.5" customHeight="1" x14ac:dyDescent="0.15">
      <c r="A103" s="152" t="str">
        <f t="shared" si="1"/>
        <v>LIB</v>
      </c>
      <c r="B103" s="152" t="s">
        <v>633</v>
      </c>
      <c r="C103" s="153" t="s">
        <v>784</v>
      </c>
      <c r="D103" s="153"/>
      <c r="E103" s="153">
        <v>65014</v>
      </c>
      <c r="F103" s="153">
        <v>71834</v>
      </c>
      <c r="G103" s="153">
        <v>62464</v>
      </c>
    </row>
    <row r="104" spans="1:7" s="152" customFormat="1" ht="13.5" customHeight="1" x14ac:dyDescent="0.15">
      <c r="A104" s="152" t="str">
        <f t="shared" si="1"/>
        <v>LIB</v>
      </c>
      <c r="B104" s="152" t="s">
        <v>633</v>
      </c>
      <c r="C104" s="153" t="s">
        <v>785</v>
      </c>
      <c r="D104" s="153"/>
      <c r="E104" s="153">
        <v>103774</v>
      </c>
      <c r="F104" s="153">
        <v>102033</v>
      </c>
      <c r="G104" s="153">
        <v>88724</v>
      </c>
    </row>
    <row r="105" spans="1:7" s="152" customFormat="1" ht="13.5" customHeight="1" x14ac:dyDescent="0.15">
      <c r="A105" s="152" t="str">
        <f t="shared" si="1"/>
        <v>LIB</v>
      </c>
      <c r="B105" s="152" t="s">
        <v>633</v>
      </c>
      <c r="C105" s="153" t="s">
        <v>778</v>
      </c>
      <c r="D105" s="153"/>
      <c r="E105" s="153">
        <v>211580</v>
      </c>
      <c r="F105" s="153">
        <v>150513</v>
      </c>
      <c r="G105" s="153">
        <v>130881</v>
      </c>
    </row>
    <row r="106" spans="1:7" s="152" customFormat="1" ht="13.5" customHeight="1" x14ac:dyDescent="0.15">
      <c r="A106" s="152" t="str">
        <f t="shared" si="1"/>
        <v>LIB</v>
      </c>
      <c r="B106" s="152" t="s">
        <v>633</v>
      </c>
      <c r="C106" s="153" t="s">
        <v>786</v>
      </c>
      <c r="D106" s="153"/>
      <c r="E106" s="153">
        <v>280116</v>
      </c>
      <c r="F106" s="153">
        <v>173234</v>
      </c>
      <c r="G106" s="153">
        <v>150638</v>
      </c>
    </row>
    <row r="107" spans="1:7" s="152" customFormat="1" ht="13.5" customHeight="1" x14ac:dyDescent="0.15">
      <c r="A107" s="152" t="str">
        <f t="shared" si="1"/>
        <v>LIB</v>
      </c>
      <c r="B107" s="152" t="s">
        <v>633</v>
      </c>
      <c r="C107" s="153" t="s">
        <v>780</v>
      </c>
      <c r="D107" s="153"/>
      <c r="E107" s="153">
        <v>287958</v>
      </c>
      <c r="F107" s="153">
        <v>197111</v>
      </c>
      <c r="G107" s="153">
        <v>171401</v>
      </c>
    </row>
    <row r="108" spans="1:7" s="152" customFormat="1" ht="13.5" customHeight="1" x14ac:dyDescent="0.15">
      <c r="A108" s="152" t="str">
        <f t="shared" si="1"/>
        <v>LIB</v>
      </c>
      <c r="B108" s="152" t="s">
        <v>633</v>
      </c>
      <c r="C108" s="153" t="s">
        <v>787</v>
      </c>
      <c r="D108" s="153"/>
      <c r="E108" s="153">
        <v>293189</v>
      </c>
      <c r="F108" s="153">
        <v>201250</v>
      </c>
      <c r="G108" s="153">
        <v>175000</v>
      </c>
    </row>
    <row r="109" spans="1:7" s="154" customFormat="1" ht="13.5" customHeight="1" x14ac:dyDescent="0.15">
      <c r="A109" s="154" t="str">
        <f t="shared" si="1"/>
        <v>PIO</v>
      </c>
      <c r="B109" s="154" t="s">
        <v>660</v>
      </c>
      <c r="C109" s="155" t="s">
        <v>785</v>
      </c>
      <c r="D109" s="155" t="s">
        <v>814</v>
      </c>
      <c r="E109" s="155">
        <v>4.1100000000000003</v>
      </c>
      <c r="F109" s="155">
        <v>5.9</v>
      </c>
      <c r="G109" s="155">
        <v>2.6</v>
      </c>
    </row>
    <row r="110" spans="1:7" s="154" customFormat="1" ht="13.5" customHeight="1" x14ac:dyDescent="0.15">
      <c r="A110" s="154" t="str">
        <f t="shared" si="1"/>
        <v>PIO</v>
      </c>
      <c r="B110" s="154" t="s">
        <v>660</v>
      </c>
      <c r="C110" s="155" t="s">
        <v>778</v>
      </c>
      <c r="D110" s="155" t="s">
        <v>814</v>
      </c>
      <c r="E110" s="155">
        <v>4.2</v>
      </c>
      <c r="F110" s="155">
        <v>5.9</v>
      </c>
      <c r="G110" s="155">
        <v>2.6</v>
      </c>
    </row>
    <row r="111" spans="1:7" s="154" customFormat="1" ht="13.5" customHeight="1" x14ac:dyDescent="0.15">
      <c r="A111" s="154" t="str">
        <f t="shared" si="1"/>
        <v>PIO</v>
      </c>
      <c r="B111" s="154" t="s">
        <v>660</v>
      </c>
      <c r="C111" s="155" t="s">
        <v>786</v>
      </c>
      <c r="D111" s="155" t="s">
        <v>814</v>
      </c>
      <c r="E111" s="155">
        <v>5.0999999999999996</v>
      </c>
      <c r="F111" s="155">
        <v>5.9</v>
      </c>
      <c r="G111" s="155">
        <v>2.6</v>
      </c>
    </row>
    <row r="112" spans="1:7" s="154" customFormat="1" ht="13.5" customHeight="1" x14ac:dyDescent="0.15">
      <c r="A112" s="154" t="str">
        <f t="shared" si="1"/>
        <v>PIO</v>
      </c>
      <c r="B112" s="154" t="s">
        <v>660</v>
      </c>
      <c r="C112" s="155" t="s">
        <v>780</v>
      </c>
      <c r="D112" s="155" t="s">
        <v>814</v>
      </c>
      <c r="E112" s="155">
        <v>5.7</v>
      </c>
      <c r="F112" s="155">
        <v>5.9</v>
      </c>
      <c r="G112" s="155">
        <v>2.6</v>
      </c>
    </row>
    <row r="113" spans="1:7" s="154" customFormat="1" ht="13.5" customHeight="1" x14ac:dyDescent="0.15">
      <c r="A113" s="154" t="str">
        <f t="shared" si="1"/>
        <v>PIO</v>
      </c>
      <c r="B113" s="154" t="s">
        <v>660</v>
      </c>
      <c r="C113" s="155" t="s">
        <v>787</v>
      </c>
      <c r="D113" s="155" t="s">
        <v>814</v>
      </c>
      <c r="E113" s="155">
        <v>3.5</v>
      </c>
      <c r="F113" s="155">
        <v>3.5</v>
      </c>
      <c r="G113" s="155">
        <v>3.5</v>
      </c>
    </row>
    <row r="114" spans="1:7" s="154" customFormat="1" ht="13.5" customHeight="1" x14ac:dyDescent="0.15">
      <c r="A114" s="154" t="str">
        <f t="shared" si="1"/>
        <v>PIO</v>
      </c>
      <c r="B114" s="154" t="s">
        <v>660</v>
      </c>
      <c r="C114" s="155" t="s">
        <v>785</v>
      </c>
      <c r="D114" s="155" t="s">
        <v>815</v>
      </c>
      <c r="E114" s="155">
        <v>8.4</v>
      </c>
      <c r="F114" s="155">
        <v>6.5</v>
      </c>
      <c r="G114" s="155">
        <v>2.5</v>
      </c>
    </row>
    <row r="115" spans="1:7" s="154" customFormat="1" ht="13.5" customHeight="1" x14ac:dyDescent="0.15">
      <c r="A115" s="154" t="str">
        <f t="shared" si="1"/>
        <v>PIO</v>
      </c>
      <c r="B115" s="154" t="s">
        <v>660</v>
      </c>
      <c r="C115" s="155" t="s">
        <v>778</v>
      </c>
      <c r="D115" s="155" t="s">
        <v>815</v>
      </c>
      <c r="E115" s="155">
        <v>6.9</v>
      </c>
      <c r="F115" s="155">
        <v>6.5</v>
      </c>
      <c r="G115" s="155">
        <v>2.5</v>
      </c>
    </row>
    <row r="116" spans="1:7" s="154" customFormat="1" ht="13.5" customHeight="1" x14ac:dyDescent="0.15">
      <c r="A116" s="154" t="str">
        <f t="shared" si="1"/>
        <v>PIO</v>
      </c>
      <c r="B116" s="154" t="s">
        <v>660</v>
      </c>
      <c r="C116" s="155" t="s">
        <v>786</v>
      </c>
      <c r="D116" s="155" t="s">
        <v>815</v>
      </c>
      <c r="E116" s="155">
        <v>7.7</v>
      </c>
      <c r="F116" s="155">
        <v>6.5</v>
      </c>
      <c r="G116" s="155">
        <v>2.5</v>
      </c>
    </row>
    <row r="117" spans="1:7" s="154" customFormat="1" ht="13.5" customHeight="1" x14ac:dyDescent="0.15">
      <c r="A117" s="154" t="str">
        <f t="shared" si="1"/>
        <v>PIO</v>
      </c>
      <c r="B117" s="154" t="s">
        <v>660</v>
      </c>
      <c r="C117" s="155" t="s">
        <v>780</v>
      </c>
      <c r="D117" s="155" t="s">
        <v>815</v>
      </c>
      <c r="E117" s="155">
        <v>6.3</v>
      </c>
      <c r="F117" s="155">
        <v>6.5</v>
      </c>
      <c r="G117" s="155">
        <v>2.5</v>
      </c>
    </row>
    <row r="118" spans="1:7" s="154" customFormat="1" ht="13.5" customHeight="1" x14ac:dyDescent="0.15">
      <c r="A118" s="154" t="str">
        <f t="shared" si="1"/>
        <v>PIO</v>
      </c>
      <c r="B118" s="154" t="s">
        <v>660</v>
      </c>
      <c r="C118" s="155" t="s">
        <v>787</v>
      </c>
      <c r="D118" s="155" t="s">
        <v>815</v>
      </c>
      <c r="E118" s="155">
        <v>7.9</v>
      </c>
      <c r="F118" s="155">
        <v>6.5</v>
      </c>
      <c r="G118" s="155">
        <v>3.2</v>
      </c>
    </row>
    <row r="119" spans="1:7" s="154" customFormat="1" ht="13.5" customHeight="1" x14ac:dyDescent="0.15">
      <c r="A119" s="154" t="str">
        <f t="shared" si="1"/>
        <v>PIO</v>
      </c>
      <c r="B119" s="154" t="s">
        <v>660</v>
      </c>
      <c r="C119" s="155" t="s">
        <v>786</v>
      </c>
      <c r="D119" s="155" t="s">
        <v>816</v>
      </c>
      <c r="E119" s="155">
        <v>3.7</v>
      </c>
      <c r="F119" s="155">
        <v>4.7</v>
      </c>
      <c r="G119" s="155">
        <v>1.6</v>
      </c>
    </row>
    <row r="120" spans="1:7" s="154" customFormat="1" ht="13.5" customHeight="1" x14ac:dyDescent="0.15">
      <c r="A120" s="154" t="str">
        <f t="shared" si="1"/>
        <v>PIO</v>
      </c>
      <c r="B120" s="154" t="s">
        <v>660</v>
      </c>
      <c r="C120" s="155" t="s">
        <v>780</v>
      </c>
      <c r="D120" s="155" t="s">
        <v>816</v>
      </c>
      <c r="E120" s="155">
        <v>4.5999999999999996</v>
      </c>
      <c r="F120" s="155">
        <v>4.7</v>
      </c>
      <c r="G120" s="155">
        <v>1.6</v>
      </c>
    </row>
    <row r="121" spans="1:7" s="154" customFormat="1" ht="13.5" customHeight="1" x14ac:dyDescent="0.15">
      <c r="A121" s="154" t="str">
        <f t="shared" si="1"/>
        <v>PIO</v>
      </c>
      <c r="B121" s="154" t="s">
        <v>660</v>
      </c>
      <c r="C121" s="155" t="s">
        <v>787</v>
      </c>
      <c r="D121" s="155" t="s">
        <v>816</v>
      </c>
      <c r="E121" s="155">
        <v>5.4</v>
      </c>
      <c r="F121" s="155">
        <v>4.7</v>
      </c>
      <c r="G121" s="155">
        <v>1.6</v>
      </c>
    </row>
    <row r="122" spans="1:7" s="154" customFormat="1" ht="13.5" customHeight="1" x14ac:dyDescent="0.15">
      <c r="A122" s="154" t="str">
        <f t="shared" si="1"/>
        <v>PIO</v>
      </c>
      <c r="B122" s="127" t="s">
        <v>664</v>
      </c>
      <c r="C122" s="156"/>
      <c r="D122" s="156"/>
      <c r="E122" s="156"/>
      <c r="F122" s="155">
        <v>15</v>
      </c>
      <c r="G122" s="155"/>
    </row>
    <row r="123" spans="1:7" s="154" customFormat="1" ht="13.5" customHeight="1" x14ac:dyDescent="0.15">
      <c r="A123" s="154" t="str">
        <f t="shared" si="1"/>
        <v>PIO</v>
      </c>
      <c r="B123" s="127" t="s">
        <v>665</v>
      </c>
      <c r="C123" s="156"/>
      <c r="D123" s="156"/>
      <c r="E123" s="156"/>
      <c r="F123" s="156" t="s">
        <v>817</v>
      </c>
      <c r="G123" s="155">
        <v>1115176</v>
      </c>
    </row>
    <row r="124" spans="1:7" s="154" customFormat="1" ht="13.5" customHeight="1" x14ac:dyDescent="0.15">
      <c r="A124" s="154" t="str">
        <f t="shared" si="1"/>
        <v>PIO</v>
      </c>
      <c r="B124" s="127" t="s">
        <v>659</v>
      </c>
      <c r="C124" s="156"/>
      <c r="D124" s="155" t="s">
        <v>815</v>
      </c>
      <c r="E124" s="156"/>
      <c r="F124" s="155">
        <v>2</v>
      </c>
      <c r="G124" s="155">
        <v>1.38</v>
      </c>
    </row>
    <row r="125" spans="1:7" s="154" customFormat="1" ht="13.5" customHeight="1" x14ac:dyDescent="0.15">
      <c r="A125" s="154" t="str">
        <f t="shared" si="1"/>
        <v>PIO</v>
      </c>
      <c r="B125" s="127" t="s">
        <v>659</v>
      </c>
      <c r="C125" s="156"/>
      <c r="D125" s="155" t="s">
        <v>814</v>
      </c>
      <c r="E125" s="156"/>
      <c r="F125" s="155">
        <v>2.5</v>
      </c>
      <c r="G125" s="155">
        <v>2.17</v>
      </c>
    </row>
    <row r="126" spans="1:7" s="154" customFormat="1" ht="13.5" customHeight="1" x14ac:dyDescent="0.15">
      <c r="A126" s="154" t="str">
        <f t="shared" si="1"/>
        <v>PIO</v>
      </c>
      <c r="B126" s="127" t="s">
        <v>659</v>
      </c>
      <c r="C126" s="156"/>
      <c r="D126" s="155" t="s">
        <v>816</v>
      </c>
      <c r="E126" s="156"/>
      <c r="F126" s="155">
        <v>1</v>
      </c>
      <c r="G126" s="155">
        <v>7.0000000000000007E-2</v>
      </c>
    </row>
    <row r="127" spans="1:7" s="157" customFormat="1" ht="12.75" customHeight="1" x14ac:dyDescent="0.2">
      <c r="A127" s="157" t="str">
        <f t="shared" si="1"/>
        <v>TRAN</v>
      </c>
      <c r="B127" s="157" t="s">
        <v>709</v>
      </c>
      <c r="C127" s="158"/>
      <c r="D127" s="158"/>
      <c r="E127" s="158"/>
      <c r="F127" s="158">
        <v>85</v>
      </c>
      <c r="G127" s="158"/>
    </row>
    <row r="128" spans="1:7" s="157" customFormat="1" ht="12.75" customHeight="1" x14ac:dyDescent="0.2">
      <c r="A128" s="157" t="str">
        <f t="shared" si="1"/>
        <v>TRAN</v>
      </c>
      <c r="B128" s="157" t="s">
        <v>697</v>
      </c>
      <c r="C128" s="158"/>
      <c r="D128" s="158"/>
      <c r="E128" s="158"/>
      <c r="F128" s="158">
        <v>100</v>
      </c>
      <c r="G128" s="158">
        <v>95</v>
      </c>
    </row>
    <row r="129" spans="1:7" s="157" customFormat="1" ht="12.75" customHeight="1" x14ac:dyDescent="0.2">
      <c r="A129" s="157" t="str">
        <f t="shared" si="1"/>
        <v>TRAN</v>
      </c>
      <c r="B129" s="157" t="s">
        <v>695</v>
      </c>
      <c r="C129" s="158"/>
      <c r="D129" s="158"/>
      <c r="E129" s="158"/>
      <c r="F129" s="158"/>
      <c r="G129" s="158"/>
    </row>
    <row r="130" spans="1:7" s="157" customFormat="1" ht="12.75" customHeight="1" x14ac:dyDescent="0.2">
      <c r="A130" s="157" t="str">
        <f t="shared" ref="A130:A193" si="2">LEFT(B130, FIND("-", B130) - 1)</f>
        <v>TRAN</v>
      </c>
      <c r="B130" s="157" t="s">
        <v>710</v>
      </c>
      <c r="C130" s="158"/>
      <c r="D130" s="158"/>
      <c r="E130" s="158"/>
      <c r="F130" s="158">
        <v>100</v>
      </c>
      <c r="G130" s="158"/>
    </row>
    <row r="131" spans="1:7" s="157" customFormat="1" ht="12.75" customHeight="1" x14ac:dyDescent="0.2">
      <c r="A131" s="157" t="str">
        <f t="shared" si="2"/>
        <v>TRAN</v>
      </c>
      <c r="B131" s="157" t="s">
        <v>693</v>
      </c>
      <c r="C131" s="158"/>
      <c r="D131" s="158"/>
      <c r="E131" s="158"/>
      <c r="F131" s="158"/>
      <c r="G131" s="158"/>
    </row>
    <row r="132" spans="1:7" s="157" customFormat="1" ht="12.75" customHeight="1" x14ac:dyDescent="0.2">
      <c r="A132" s="157" t="str">
        <f t="shared" si="2"/>
        <v>TRAN</v>
      </c>
      <c r="B132" s="157" t="s">
        <v>698</v>
      </c>
      <c r="C132" s="158"/>
      <c r="D132" s="158"/>
      <c r="E132" s="158"/>
      <c r="F132" s="158"/>
      <c r="G132" s="158"/>
    </row>
    <row r="133" spans="1:7" s="157" customFormat="1" ht="12.75" customHeight="1" x14ac:dyDescent="0.2">
      <c r="A133" s="157" t="str">
        <f t="shared" si="2"/>
        <v>TRAN</v>
      </c>
      <c r="B133" s="157" t="s">
        <v>690</v>
      </c>
      <c r="C133" s="158"/>
      <c r="D133" s="158"/>
      <c r="E133" s="158"/>
      <c r="F133" s="158"/>
      <c r="G133" s="158"/>
    </row>
    <row r="134" spans="1:7" s="130" customFormat="1" ht="12.75" customHeight="1" x14ac:dyDescent="0.2">
      <c r="A134" s="130" t="str">
        <f t="shared" si="2"/>
        <v>PROS</v>
      </c>
      <c r="B134" s="130" t="s">
        <v>677</v>
      </c>
      <c r="F134" s="130" t="str">
        <f t="array" ref="F134">IFERROR(_xlfn.XLOOKUP(B2&amp;"|"&amp;(C2-1)&amp;"|"&amp;D2, $B$2:$B$484&amp;"|"&amp;$C$2:$C$484&amp;"|"&amp;$D$2:$D$484, $E$2:$E$484), "")</f>
        <v/>
      </c>
      <c r="G134" s="130">
        <v>99</v>
      </c>
    </row>
    <row r="135" spans="1:7" s="130" customFormat="1" ht="12.75" customHeight="1" x14ac:dyDescent="0.2">
      <c r="A135" s="130" t="str">
        <f t="shared" si="2"/>
        <v>PROS</v>
      </c>
      <c r="B135" s="130" t="s">
        <v>683</v>
      </c>
      <c r="F135" s="130" t="str">
        <f t="array" ref="F135">IFERROR(_xlfn.XLOOKUP(B3&amp;"|"&amp;(C3-1)&amp;"|"&amp;D3, $B$2:$B$484&amp;"|"&amp;$C$2:$C$484&amp;"|"&amp;$D$2:$D$484, $E$2:$E$484), "")</f>
        <v/>
      </c>
      <c r="G135" s="130">
        <v>606</v>
      </c>
    </row>
    <row r="136" spans="1:8" ht="15" customHeight="1" x14ac:dyDescent="0.2">
      <c r="A136" s="130" t="str">
        <f t="shared" si="2"/>
        <v>PROS</v>
      </c>
      <c r="B136" s="130" t="s">
        <v>680</v>
      </c>
      <c r="C136" s="159" t="inlineStr">
        <is>
          <t>2016</t>
        </is>
      </c>
      <c r="D136" s="160"/>
      <c r="E136" s="160">
        <v>516</v>
      </c>
      <c r="F136" s="160"/>
      <c r="G136" s="160"/>
      <c r="H136" s="161"/>
    </row>
    <row r="137" spans="1:7" s="130" customFormat="1" ht="12.75" customHeight="1" x14ac:dyDescent="0.2">
      <c r="A137" s="130" t="str">
        <f t="shared" si="2"/>
        <v>PROS</v>
      </c>
      <c r="B137" s="130" t="s">
        <v>670</v>
      </c>
      <c r="F137" s="130">
        <v>96</v>
      </c>
    </row>
    <row r="138" spans="1:8" s="130" customFormat="1" ht="12.75" customHeight="1" x14ac:dyDescent="0.2">
      <c r="A138" s="130" t="str">
        <f t="shared" si="2"/>
        <v>PROS</v>
      </c>
      <c r="B138" s="130" t="s">
        <v>671</v>
      </c>
      <c r="C138" s="130" t="inlineStr">
        <is>
          <t>2026</t>
        </is>
      </c>
      <c r="E138" s="130">
        <v>121350.25</v>
      </c>
      <c r="F138" s="130">
        <v>368438</v>
      </c>
      <c r="H138" s="130" t="inlineStr">
        <is>
          <t>Year to date as of Oct 15, 2026; 2026 grant reimbursements are still coming in</t>
        </is>
      </c>
    </row>
    <row r="139" spans="1:7" s="130" customFormat="1" ht="12.75" customHeight="1" x14ac:dyDescent="0.2">
      <c r="A139" s="130" t="str">
        <f t="shared" si="2"/>
        <v>PROS</v>
      </c>
      <c r="B139" s="130" t="s">
        <v>685</v>
      </c>
    </row>
    <row r="140" spans="1:7" s="130" customFormat="1" ht="12.75" customHeight="1" x14ac:dyDescent="0.2">
      <c r="A140" s="130" t="str">
        <f t="shared" si="2"/>
        <v>PROS</v>
      </c>
      <c r="B140" s="130" t="s">
        <v>673</v>
      </c>
      <c r="F140" s="130">
        <v>65</v>
      </c>
    </row>
    <row r="141" spans="1:7" s="130" customFormat="1" ht="12.75" customHeight="1" x14ac:dyDescent="0.2">
      <c r="A141" s="130" t="str">
        <f t="shared" si="2"/>
        <v>PROS</v>
      </c>
      <c r="B141" s="130" t="s">
        <v>687</v>
      </c>
      <c r="F141" s="130" t="str">
        <f t="array" ref="F141">IFERROR(_xlfn.XLOOKUP(B3&amp;"|"&amp;(C3-1)&amp;"|"&amp;D3, $B$2:$B$484&amp;"|"&amp;$C$2:$C$484&amp;"|"&amp;$D$2:$D$484, $E$2:$E$484) * 1.01, "")</f>
        <v/>
      </c>
    </row>
    <row r="142" spans="1:8" s="130" customFormat="1" ht="12.75" customHeight="1" x14ac:dyDescent="0.2">
      <c r="A142" s="130" t="str">
        <f t="shared" si="2"/>
        <v>PROS</v>
      </c>
      <c r="B142" s="130" t="s">
        <v>672</v>
      </c>
      <c r="C142" s="130" t="inlineStr">
        <is>
          <t>2026</t>
        </is>
      </c>
      <c r="E142" s="130">
        <v>1949</v>
      </c>
      <c r="F142" s="130">
        <v>1000</v>
      </c>
      <c r="H142" s="130" t="inlineStr">
        <is>
          <t>Estimate as of Oct 21, 2026: nights already stayed plus nights booked for later stays (e.g., Model A Ford Club, June 2027)</t>
        </is>
      </c>
    </row>
    <row r="143" spans="1:7" s="130" customFormat="1" ht="12.75" customHeight="1" x14ac:dyDescent="0.2">
      <c r="A143" s="130" t="str">
        <f t="shared" si="2"/>
        <v>PROS</v>
      </c>
      <c r="B143" s="130" t="s">
        <v>689</v>
      </c>
      <c r="F143" s="130" t="str">
        <f t="array" ref="F143">IFERROR(_xlfn.XLOOKUP(B2&amp;"|"&amp;(C2-1)&amp;"|"&amp;D2, $B$2:$B$484&amp;"|"&amp;$C$2:$C$484&amp;"|"&amp;$D$2:$D$484, $E$2:$E$484) * 1.02, "")</f>
        <v/>
      </c>
    </row>
    <row r="144" spans="1:7" s="130" customFormat="1" ht="12.75" customHeight="1" x14ac:dyDescent="0.2">
      <c r="A144" s="130" t="str">
        <f t="shared" si="2"/>
        <v>PROS</v>
      </c>
      <c r="B144" s="130" t="s">
        <v>666</v>
      </c>
      <c r="F144" s="130">
        <v>190</v>
      </c>
    </row>
    <row r="145" spans="1:6" s="130" customFormat="1" ht="12.75" customHeight="1" x14ac:dyDescent="0.2">
      <c r="A145" s="130" t="str">
        <f t="shared" si="2"/>
        <v>PROS</v>
      </c>
      <c r="B145" s="130" t="s">
        <v>676</v>
      </c>
      <c r="F145" s="130">
        <v>162</v>
      </c>
    </row>
    <row r="146" spans="1:6" s="130" customFormat="1" ht="12.75" customHeight="1" x14ac:dyDescent="0.2">
      <c r="A146" s="130" t="str">
        <f t="shared" si="2"/>
        <v>PROS</v>
      </c>
      <c r="B146" s="130" t="s">
        <v>669</v>
      </c>
    </row>
    <row r="147" spans="1:6" s="122" customFormat="1" ht="12.75" customHeight="1" x14ac:dyDescent="0.2">
      <c r="A147" s="122" t="str">
        <f t="shared" si="2"/>
        <v>PD</v>
      </c>
      <c r="B147" s="122" t="s">
        <v>657</v>
      </c>
    </row>
    <row r="148" spans="1:6" s="122" customFormat="1" ht="12.75" customHeight="1" x14ac:dyDescent="0.2">
      <c r="A148" s="122" t="str">
        <f t="shared" si="2"/>
        <v>PD</v>
      </c>
      <c r="B148" s="122" t="s">
        <v>656</v>
      </c>
    </row>
    <row r="149" spans="1:6" s="122" customFormat="1" ht="12.75" customHeight="1" x14ac:dyDescent="0.2">
      <c r="A149" s="122" t="str">
        <f t="shared" si="2"/>
        <v>PD</v>
      </c>
      <c r="B149" s="122" t="s">
        <v>647</v>
      </c>
    </row>
    <row r="150" spans="1:6" s="122" customFormat="1" ht="12.75" customHeight="1" x14ac:dyDescent="0.2">
      <c r="A150" s="122" t="str">
        <f t="shared" si="2"/>
        <v>PD</v>
      </c>
      <c r="B150" s="122" t="s">
        <v>653</v>
      </c>
    </row>
    <row r="151" spans="1:6" s="122" customFormat="1" ht="12.75" customHeight="1" x14ac:dyDescent="0.2">
      <c r="A151" s="122" t="str">
        <f t="shared" si="2"/>
        <v>PD</v>
      </c>
      <c r="B151" s="122" t="s">
        <v>635</v>
      </c>
    </row>
    <row r="152" spans="1:6" s="122" customFormat="1" ht="12.75" customHeight="1" x14ac:dyDescent="0.2">
      <c r="A152" s="122" t="str">
        <f t="shared" si="2"/>
        <v>PD</v>
      </c>
      <c r="B152" s="122" t="s">
        <v>642</v>
      </c>
    </row>
    <row r="153" spans="1:6" s="122" customFormat="1" ht="12.75" customHeight="1" x14ac:dyDescent="0.2">
      <c r="A153" s="122" t="str">
        <f t="shared" si="2"/>
        <v>PD</v>
      </c>
      <c r="B153" s="122" t="s">
        <v>658</v>
      </c>
    </row>
    <row r="154" spans="1:6" s="122" customFormat="1" ht="12.75" customHeight="1" x14ac:dyDescent="0.2">
      <c r="A154" s="122" t="str">
        <f t="shared" si="2"/>
        <v>PD</v>
      </c>
      <c r="B154" s="122" t="s">
        <v>639</v>
      </c>
    </row>
    <row r="155" spans="1:6" s="122" customFormat="1" ht="12.75" customHeight="1" x14ac:dyDescent="0.2">
      <c r="A155" s="122" t="str">
        <f t="shared" si="2"/>
        <v>PD</v>
      </c>
      <c r="B155" s="122" t="s">
        <v>638</v>
      </c>
    </row>
    <row r="156" spans="1:6" s="122" customFormat="1" ht="12.75" customHeight="1" x14ac:dyDescent="0.2">
      <c r="A156" s="122" t="str">
        <f t="shared" si="2"/>
        <v>PD</v>
      </c>
      <c r="B156" s="122" t="s">
        <v>641</v>
      </c>
    </row>
    <row r="157" spans="1:6" s="122" customFormat="1" ht="12.75" customHeight="1" x14ac:dyDescent="0.2">
      <c r="A157" s="122" t="str">
        <f t="shared" si="2"/>
        <v>PD</v>
      </c>
      <c r="B157" s="122" t="s">
        <v>655</v>
      </c>
    </row>
    <row r="158" spans="1:6" s="122" customFormat="1" ht="12.75" customHeight="1" x14ac:dyDescent="0.2">
      <c r="A158" s="122" t="str">
        <f t="shared" si="2"/>
        <v>PD</v>
      </c>
      <c r="B158" s="122" t="s">
        <v>649</v>
      </c>
    </row>
    <row r="159" spans="1:6" s="122" customFormat="1" ht="12.75" customHeight="1" x14ac:dyDescent="0.2">
      <c r="A159" s="122" t="str">
        <f t="shared" si="2"/>
        <v>PD</v>
      </c>
      <c r="B159" s="122" t="s">
        <v>651</v>
      </c>
    </row>
    <row r="160" spans="1:6" s="122" customFormat="1" ht="12.75" customHeight="1" x14ac:dyDescent="0.2">
      <c r="A160" s="122" t="str">
        <f t="shared" si="2"/>
        <v>PD</v>
      </c>
      <c r="B160" s="122" t="s">
        <v>650</v>
      </c>
    </row>
    <row r="161" spans="1:2" s="122" customFormat="1" ht="12.75" customHeight="1" x14ac:dyDescent="0.2">
      <c r="A161" s="122" t="str">
        <f t="shared" si="2"/>
        <v>PD</v>
      </c>
      <c r="B161" s="122" t="s">
        <v>645</v>
      </c>
    </row>
    <row r="162" spans="1:2" s="122" customFormat="1" ht="12.75" customHeight="1" x14ac:dyDescent="0.2">
      <c r="A162" s="122" t="str">
        <f t="shared" si="2"/>
        <v>PD</v>
      </c>
      <c r="B162" s="122" t="s">
        <v>643</v>
      </c>
    </row>
    <row r="163" spans="1:2" s="122" customFormat="1" ht="12.75" customHeight="1" x14ac:dyDescent="0.2">
      <c r="A163" s="122" t="str">
        <f t="shared" si="2"/>
        <v>PD</v>
      </c>
      <c r="B163" s="122" t="s">
        <v>636</v>
      </c>
    </row>
    <row r="164" spans="1:2" s="122" customFormat="1" ht="12.75" customHeight="1" x14ac:dyDescent="0.2">
      <c r="A164" s="122" t="str">
        <f t="shared" si="2"/>
        <v>PD</v>
      </c>
      <c r="B164" s="122" t="s">
        <v>648</v>
      </c>
    </row>
    <row r="165" spans="1:2" s="122" customFormat="1" ht="12.75" customHeight="1" x14ac:dyDescent="0.2">
      <c r="A165" s="122" t="str">
        <f t="shared" si="2"/>
        <v>PD</v>
      </c>
      <c r="B165" s="122" t="s">
        <v>640</v>
      </c>
    </row>
    <row r="166" spans="1:2" s="122" customFormat="1" ht="12.75" customHeight="1" x14ac:dyDescent="0.2">
      <c r="A166" s="122" t="str">
        <f t="shared" si="2"/>
        <v>PD</v>
      </c>
      <c r="B166" s="122" t="s">
        <v>646</v>
      </c>
    </row>
    <row r="167" spans="1:2" s="122" customFormat="1" ht="12.75" customHeight="1" x14ac:dyDescent="0.2">
      <c r="A167" s="122" t="str">
        <f t="shared" si="2"/>
        <v>PD</v>
      </c>
      <c r="B167" s="122" t="s">
        <v>637</v>
      </c>
    </row>
    <row r="168" spans="1:2" s="122" customFormat="1" ht="12.75" customHeight="1" x14ac:dyDescent="0.2">
      <c r="A168" s="122" t="str">
        <f t="shared" si="2"/>
        <v>PD</v>
      </c>
      <c r="B168" s="122" t="s">
        <v>652</v>
      </c>
    </row>
    <row r="169" spans="1:2" s="122" customFormat="1" ht="12.75" customHeight="1" x14ac:dyDescent="0.2">
      <c r="A169" s="122" t="str">
        <f t="shared" si="2"/>
        <v>PD</v>
      </c>
      <c r="B169" s="122" t="s">
        <v>634</v>
      </c>
    </row>
    <row r="170" spans="1:2" s="122" customFormat="1" ht="12.75" customHeight="1" x14ac:dyDescent="0.2">
      <c r="A170" s="122" t="str">
        <f t="shared" si="2"/>
        <v>PD</v>
      </c>
      <c r="B170" s="122" t="s">
        <v>644</v>
      </c>
    </row>
    <row r="171" spans="1:2" s="95" customFormat="1" ht="12.75" customHeight="1" x14ac:dyDescent="0.2">
      <c r="A171" s="95" t="str">
        <f t="shared" si="2"/>
        <v>911</v>
      </c>
      <c r="B171" s="95" t="s">
        <v>556</v>
      </c>
    </row>
    <row r="172" spans="1:2" s="95" customFormat="1" ht="12.75" customHeight="1" x14ac:dyDescent="0.2">
      <c r="A172" s="95" t="str">
        <f t="shared" si="2"/>
        <v>911</v>
      </c>
      <c r="B172" s="95" t="s">
        <v>560</v>
      </c>
    </row>
    <row r="173" spans="1:2" s="95" customFormat="1" ht="12.75" customHeight="1" x14ac:dyDescent="0.2">
      <c r="A173" s="95" t="str">
        <f t="shared" si="2"/>
        <v>911</v>
      </c>
      <c r="B173" s="95" t="s">
        <v>559</v>
      </c>
    </row>
    <row r="174" spans="1:2" s="95" customFormat="1" ht="12.75" customHeight="1" x14ac:dyDescent="0.2">
      <c r="A174" s="95" t="str">
        <f t="shared" si="2"/>
        <v>911</v>
      </c>
      <c r="B174" s="95" t="s">
        <v>549</v>
      </c>
    </row>
    <row r="175" spans="1:2" s="95" customFormat="1" ht="12.75" customHeight="1" x14ac:dyDescent="0.2">
      <c r="A175" s="95" t="str">
        <f t="shared" si="2"/>
        <v>911</v>
      </c>
      <c r="B175" s="95" t="s">
        <v>555</v>
      </c>
    </row>
    <row r="176" spans="1:2" s="95" customFormat="1" ht="12.75" customHeight="1" x14ac:dyDescent="0.2">
      <c r="A176" s="95" t="str">
        <f t="shared" si="2"/>
        <v>911</v>
      </c>
      <c r="B176" s="95" t="s">
        <v>561</v>
      </c>
    </row>
    <row r="177" spans="1:8" s="95" customFormat="1" ht="12.75" customHeight="1" x14ac:dyDescent="0.2">
      <c r="A177" s="95" t="str">
        <f t="shared" si="2"/>
        <v>911</v>
      </c>
      <c r="B177" s="95" t="s">
        <v>563</v>
      </c>
    </row>
    <row r="178" spans="1:8" ht="15" customHeight="1" x14ac:dyDescent="0.2">
      <c r="A178" s="130" t="str">
        <f t="shared" si="2"/>
        <v>PROS</v>
      </c>
      <c r="B178" s="130" t="s">
        <v>680</v>
      </c>
      <c r="C178" s="159" t="s">
        <v>818</v>
      </c>
      <c r="D178" s="160"/>
      <c r="E178" s="160">
        <v>516</v>
      </c>
      <c r="F178" s="160"/>
      <c r="G178" s="160"/>
      <c r="H178" s="161"/>
    </row>
    <row r="179" spans="1:8" ht="15" customHeight="1" x14ac:dyDescent="0.2">
      <c r="A179" s="130" t="str">
        <f t="shared" si="2"/>
        <v>PROS</v>
      </c>
      <c r="B179" s="130" t="s">
        <v>680</v>
      </c>
      <c r="C179" s="159" t="s">
        <v>819</v>
      </c>
      <c r="D179" s="160"/>
      <c r="E179" s="160">
        <v>552</v>
      </c>
      <c r="F179" s="160"/>
      <c r="G179" s="160"/>
      <c r="H179" s="161"/>
    </row>
    <row r="180" spans="1:8" ht="15" customHeight="1" x14ac:dyDescent="0.2">
      <c r="A180" s="130" t="str">
        <f t="shared" si="2"/>
        <v>PROS</v>
      </c>
      <c r="B180" s="130" t="s">
        <v>680</v>
      </c>
      <c r="C180" s="159" t="s">
        <v>820</v>
      </c>
      <c r="D180" s="160"/>
      <c r="E180" s="160">
        <v>605</v>
      </c>
      <c r="F180" s="160"/>
      <c r="G180" s="160"/>
      <c r="H180" s="161"/>
    </row>
    <row r="181" spans="1:8" ht="15" customHeight="1" x14ac:dyDescent="0.2">
      <c r="A181" s="130" t="str">
        <f t="shared" si="2"/>
        <v>PROS</v>
      </c>
      <c r="B181" s="130" t="s">
        <v>680</v>
      </c>
      <c r="C181" s="159" t="s">
        <v>785</v>
      </c>
      <c r="D181" s="160"/>
      <c r="E181" s="160">
        <v>645</v>
      </c>
      <c r="F181" s="160"/>
      <c r="G181" s="160"/>
      <c r="H181" s="161"/>
    </row>
    <row r="182" spans="1:8" ht="15" customHeight="1" x14ac:dyDescent="0.2">
      <c r="A182" s="130" t="str">
        <f t="shared" si="2"/>
        <v>PROS</v>
      </c>
      <c r="B182" s="130" t="s">
        <v>680</v>
      </c>
      <c r="C182" s="159" t="s">
        <v>778</v>
      </c>
      <c r="D182" s="160"/>
      <c r="E182" s="160">
        <v>654</v>
      </c>
      <c r="F182" s="160"/>
      <c r="G182" s="160"/>
      <c r="H182" s="161"/>
    </row>
    <row r="183" spans="1:8" ht="15" customHeight="1" x14ac:dyDescent="0.2">
      <c r="A183" s="130" t="str">
        <f t="shared" si="2"/>
        <v>PROS</v>
      </c>
      <c r="B183" s="130" t="s">
        <v>680</v>
      </c>
      <c r="C183" s="159" t="s">
        <v>786</v>
      </c>
      <c r="D183" s="160"/>
      <c r="E183" s="160">
        <v>672</v>
      </c>
      <c r="F183" s="160"/>
      <c r="G183" s="160"/>
      <c r="H183" s="161"/>
    </row>
    <row r="184" spans="1:8" ht="15" customHeight="1" x14ac:dyDescent="0.2">
      <c r="A184" s="130" t="str">
        <f t="shared" si="2"/>
        <v>PROS</v>
      </c>
      <c r="B184" s="130" t="s">
        <v>680</v>
      </c>
      <c r="C184" s="159" t="s">
        <v>780</v>
      </c>
      <c r="D184" s="160"/>
      <c r="E184" s="160">
        <v>672</v>
      </c>
      <c r="F184" s="160"/>
      <c r="G184" s="160"/>
      <c r="H184" s="161"/>
    </row>
    <row r="185" spans="1:8" ht="15" customHeight="1" x14ac:dyDescent="0.2">
      <c r="A185" s="130" t="str">
        <f t="shared" si="2"/>
        <v>PROS</v>
      </c>
      <c r="B185" s="130" t="s">
        <v>680</v>
      </c>
      <c r="C185" s="159" t="s">
        <v>787</v>
      </c>
      <c r="D185" s="160"/>
      <c r="E185" s="160">
        <v>792</v>
      </c>
      <c r="F185" s="160"/>
      <c r="G185" s="160"/>
      <c r="H185" s="161"/>
    </row>
    <row r="186" spans="1:8" ht="15" customHeight="1" x14ac:dyDescent="0.2">
      <c r="A186" s="130" t="str">
        <f t="shared" si="2"/>
        <v>PROS</v>
      </c>
      <c r="B186" s="130" t="s">
        <v>680</v>
      </c>
      <c r="C186" s="159" t="s">
        <v>781</v>
      </c>
      <c r="D186" s="160"/>
      <c r="E186" s="160">
        <v>792</v>
      </c>
      <c r="F186" s="160"/>
      <c r="G186" s="160"/>
      <c r="H186" s="161"/>
    </row>
    <row r="187" spans="1:8" ht="15" customHeight="1" x14ac:dyDescent="0.2">
      <c r="A187" s="134" t="str">
        <f t="shared" si="2"/>
        <v>TRAN</v>
      </c>
      <c r="B187" s="134" t="s">
        <v>693</v>
      </c>
      <c r="C187" s="159" t="s">
        <v>821</v>
      </c>
      <c r="D187" s="162" t="s">
        <v>822</v>
      </c>
      <c r="E187" s="15">
        <v>135.333333333333</v>
      </c>
      <c r="F187" s="160"/>
      <c r="G187" s="160"/>
      <c r="H187" s="161"/>
    </row>
    <row r="188" spans="1:8" ht="15" customHeight="1" x14ac:dyDescent="0.2">
      <c r="A188" s="134" t="str">
        <f t="shared" si="2"/>
        <v>TRAN</v>
      </c>
      <c r="B188" s="134" t="s">
        <v>693</v>
      </c>
      <c r="C188" s="159" t="s">
        <v>823</v>
      </c>
      <c r="D188" s="162" t="s">
        <v>822</v>
      </c>
      <c r="E188" s="15">
        <v>117.666666666667</v>
      </c>
      <c r="F188" s="160"/>
      <c r="G188" s="160"/>
      <c r="H188" s="161"/>
    </row>
    <row r="189" spans="1:8" ht="15" customHeight="1" x14ac:dyDescent="0.2">
      <c r="A189" s="134" t="str">
        <f t="shared" si="2"/>
        <v>TRAN</v>
      </c>
      <c r="B189" s="134" t="s">
        <v>693</v>
      </c>
      <c r="C189" s="159" t="s">
        <v>824</v>
      </c>
      <c r="D189" s="162" t="s">
        <v>822</v>
      </c>
      <c r="E189" s="15">
        <v>99.5</v>
      </c>
      <c r="F189" s="160"/>
      <c r="G189" s="160"/>
      <c r="H189" s="161"/>
    </row>
    <row r="190" spans="1:8" ht="15" customHeight="1" x14ac:dyDescent="0.2">
      <c r="A190" s="134" t="str">
        <f t="shared" si="2"/>
        <v>TRAN</v>
      </c>
      <c r="B190" s="134" t="s">
        <v>693</v>
      </c>
      <c r="C190" s="159" t="s">
        <v>818</v>
      </c>
      <c r="D190" s="162" t="s">
        <v>822</v>
      </c>
      <c r="E190" s="15">
        <v>142.857142857143</v>
      </c>
      <c r="F190" s="160"/>
      <c r="G190" s="160"/>
      <c r="H190" s="161"/>
    </row>
    <row r="191" spans="1:8" ht="15" customHeight="1" x14ac:dyDescent="0.2">
      <c r="A191" s="134" t="str">
        <f t="shared" si="2"/>
        <v>TRAN</v>
      </c>
      <c r="B191" s="134" t="s">
        <v>693</v>
      </c>
      <c r="C191" s="159" t="s">
        <v>825</v>
      </c>
      <c r="D191" s="162" t="s">
        <v>822</v>
      </c>
      <c r="E191" s="15">
        <v>172.11904761904799</v>
      </c>
      <c r="F191" s="160"/>
      <c r="G191" s="160"/>
      <c r="H191" s="161"/>
    </row>
    <row r="192" spans="1:8" ht="15" customHeight="1" x14ac:dyDescent="0.2">
      <c r="A192" s="134" t="str">
        <f t="shared" si="2"/>
        <v>TRAN</v>
      </c>
      <c r="B192" s="134" t="s">
        <v>693</v>
      </c>
      <c r="C192" s="159" t="s">
        <v>820</v>
      </c>
      <c r="D192" s="162" t="s">
        <v>822</v>
      </c>
      <c r="E192" s="15">
        <v>170.26984126984101</v>
      </c>
      <c r="F192" s="160"/>
      <c r="G192" s="160"/>
      <c r="H192" s="161"/>
    </row>
    <row r="193" spans="1:8" ht="15" customHeight="1" x14ac:dyDescent="0.2">
      <c r="A193" s="134" t="str">
        <f t="shared" si="2"/>
        <v>TRAN</v>
      </c>
      <c r="B193" s="134" t="s">
        <v>693</v>
      </c>
      <c r="C193" s="159" t="s">
        <v>785</v>
      </c>
      <c r="D193" s="162" t="s">
        <v>822</v>
      </c>
      <c r="E193" s="15">
        <v>205.68253968254001</v>
      </c>
      <c r="F193" s="160"/>
      <c r="G193" s="160"/>
      <c r="H193" s="161"/>
    </row>
    <row r="194" spans="1:8" ht="15" customHeight="1" x14ac:dyDescent="0.2">
      <c r="A194" s="134" t="str">
        <f t="shared" ref="A194:A257" si="3">LEFT(B194, FIND("-", B194) - 1)</f>
        <v>TRAN</v>
      </c>
      <c r="B194" s="134" t="s">
        <v>693</v>
      </c>
      <c r="C194" s="159" t="s">
        <v>786</v>
      </c>
      <c r="D194" s="162" t="s">
        <v>822</v>
      </c>
      <c r="E194" s="15">
        <v>148</v>
      </c>
      <c r="F194" s="160"/>
      <c r="G194" s="160"/>
      <c r="H194" s="161"/>
    </row>
    <row r="195" spans="1:8" ht="15" customHeight="1" x14ac:dyDescent="0.2">
      <c r="A195" s="134" t="str">
        <f t="shared" si="3"/>
        <v>TRAN</v>
      </c>
      <c r="B195" s="134" t="s">
        <v>693</v>
      </c>
      <c r="C195" s="159" t="s">
        <v>787</v>
      </c>
      <c r="D195" s="162" t="s">
        <v>822</v>
      </c>
      <c r="E195" s="15">
        <v>233</v>
      </c>
      <c r="F195" s="160"/>
      <c r="G195" s="160"/>
      <c r="H195" s="161"/>
    </row>
    <row r="196" spans="1:8" ht="27.75" customHeight="1" x14ac:dyDescent="0.2">
      <c r="A196" s="134" t="str">
        <f t="shared" si="3"/>
        <v>TRAN</v>
      </c>
      <c r="B196" s="134" t="s">
        <v>693</v>
      </c>
      <c r="C196" s="159" t="s">
        <v>821</v>
      </c>
      <c r="D196" s="161" t="s">
        <v>826</v>
      </c>
      <c r="E196" s="15">
        <v>102.166666666667</v>
      </c>
      <c r="F196" s="160"/>
      <c r="G196" s="160"/>
      <c r="H196" s="161"/>
    </row>
    <row r="197" spans="1:8" ht="27.75" customHeight="1" x14ac:dyDescent="0.2">
      <c r="A197" s="134" t="str">
        <f t="shared" si="3"/>
        <v>TRAN</v>
      </c>
      <c r="B197" s="134" t="s">
        <v>693</v>
      </c>
      <c r="C197" s="159" t="s">
        <v>823</v>
      </c>
      <c r="D197" s="161" t="s">
        <v>826</v>
      </c>
      <c r="E197" s="15">
        <v>117.166666666667</v>
      </c>
      <c r="F197" s="160"/>
      <c r="G197" s="160"/>
      <c r="H197" s="161"/>
    </row>
    <row r="198" spans="1:8" ht="27.75" customHeight="1" x14ac:dyDescent="0.2">
      <c r="A198" s="134" t="str">
        <f t="shared" si="3"/>
        <v>TRAN</v>
      </c>
      <c r="B198" s="134" t="s">
        <v>693</v>
      </c>
      <c r="C198" s="159" t="s">
        <v>824</v>
      </c>
      <c r="D198" s="161" t="s">
        <v>826</v>
      </c>
      <c r="E198" s="15">
        <v>83.3333333333333</v>
      </c>
      <c r="F198" s="160"/>
      <c r="G198" s="160"/>
      <c r="H198" s="161"/>
    </row>
    <row r="199" spans="1:8" ht="27.75" customHeight="1" x14ac:dyDescent="0.2">
      <c r="A199" s="134" t="str">
        <f t="shared" si="3"/>
        <v>TRAN</v>
      </c>
      <c r="B199" s="134" t="s">
        <v>693</v>
      </c>
      <c r="C199" s="159" t="s">
        <v>818</v>
      </c>
      <c r="D199" s="161" t="s">
        <v>826</v>
      </c>
      <c r="E199" s="15">
        <v>84</v>
      </c>
      <c r="F199" s="160"/>
      <c r="G199" s="160"/>
      <c r="H199" s="161"/>
    </row>
    <row r="200" spans="1:8" ht="27.75" customHeight="1" x14ac:dyDescent="0.2">
      <c r="A200" s="134" t="str">
        <f t="shared" si="3"/>
        <v>TRAN</v>
      </c>
      <c r="B200" s="134" t="s">
        <v>693</v>
      </c>
      <c r="C200" s="159" t="s">
        <v>825</v>
      </c>
      <c r="D200" s="161" t="s">
        <v>826</v>
      </c>
      <c r="E200" s="15">
        <v>125.47619047619099</v>
      </c>
      <c r="F200" s="160"/>
      <c r="G200" s="160"/>
      <c r="H200" s="161"/>
    </row>
    <row r="201" spans="1:8" ht="27.75" customHeight="1" x14ac:dyDescent="0.2">
      <c r="A201" s="134" t="str">
        <f t="shared" si="3"/>
        <v>TRAN</v>
      </c>
      <c r="B201" s="134" t="s">
        <v>693</v>
      </c>
      <c r="C201" s="159" t="s">
        <v>820</v>
      </c>
      <c r="D201" s="161" t="s">
        <v>826</v>
      </c>
      <c r="E201" s="15">
        <v>71.7777777777778</v>
      </c>
      <c r="F201" s="160"/>
      <c r="G201" s="160"/>
      <c r="H201" s="161"/>
    </row>
    <row r="202" spans="1:8" ht="27.75" customHeight="1" x14ac:dyDescent="0.2">
      <c r="A202" s="134" t="str">
        <f t="shared" si="3"/>
        <v>TRAN</v>
      </c>
      <c r="B202" s="134" t="s">
        <v>693</v>
      </c>
      <c r="C202" s="159" t="s">
        <v>785</v>
      </c>
      <c r="D202" s="161" t="s">
        <v>826</v>
      </c>
      <c r="E202" s="15">
        <v>88.5416666666667</v>
      </c>
      <c r="F202" s="160"/>
      <c r="G202" s="160"/>
      <c r="H202" s="161"/>
    </row>
    <row r="203" spans="1:8" ht="27.75" customHeight="1" x14ac:dyDescent="0.2">
      <c r="A203" s="134" t="str">
        <f t="shared" si="3"/>
        <v>TRAN</v>
      </c>
      <c r="B203" s="134" t="s">
        <v>693</v>
      </c>
      <c r="C203" s="159" t="s">
        <v>786</v>
      </c>
      <c r="D203" s="161" t="s">
        <v>826</v>
      </c>
      <c r="E203" s="15">
        <v>77</v>
      </c>
      <c r="F203" s="160"/>
      <c r="G203" s="160"/>
      <c r="H203" s="161"/>
    </row>
    <row r="204" spans="1:8" ht="27.75" customHeight="1" x14ac:dyDescent="0.2">
      <c r="A204" s="134" t="str">
        <f t="shared" si="3"/>
        <v>TRAN</v>
      </c>
      <c r="B204" s="134" t="s">
        <v>693</v>
      </c>
      <c r="C204" s="159" t="s">
        <v>787</v>
      </c>
      <c r="D204" s="161" t="s">
        <v>826</v>
      </c>
      <c r="E204" s="15">
        <v>76</v>
      </c>
      <c r="F204" s="160"/>
      <c r="G204" s="160"/>
      <c r="H204" s="161"/>
    </row>
    <row r="205" spans="1:8" ht="15" customHeight="1" x14ac:dyDescent="0.2">
      <c r="A205" s="134" t="str">
        <f t="shared" si="3"/>
        <v>TRAN</v>
      </c>
      <c r="B205" s="134" t="s">
        <v>693</v>
      </c>
      <c r="C205" s="159" t="s">
        <v>821</v>
      </c>
      <c r="D205" s="161" t="s">
        <v>827</v>
      </c>
      <c r="E205" s="15">
        <v>54.5</v>
      </c>
      <c r="F205" s="160"/>
      <c r="G205" s="160"/>
      <c r="H205" s="161"/>
    </row>
    <row r="206" spans="1:8" ht="15" customHeight="1" x14ac:dyDescent="0.2">
      <c r="A206" s="134" t="str">
        <f t="shared" si="3"/>
        <v>TRAN</v>
      </c>
      <c r="B206" s="134" t="s">
        <v>693</v>
      </c>
      <c r="C206" s="159" t="s">
        <v>823</v>
      </c>
      <c r="D206" s="161" t="s">
        <v>827</v>
      </c>
      <c r="E206" s="15">
        <v>58.5</v>
      </c>
      <c r="F206" s="160"/>
      <c r="G206" s="160"/>
      <c r="H206" s="161"/>
    </row>
    <row r="207" spans="1:8" ht="15" customHeight="1" x14ac:dyDescent="0.2">
      <c r="A207" s="134" t="str">
        <f t="shared" si="3"/>
        <v>TRAN</v>
      </c>
      <c r="B207" s="134" t="s">
        <v>693</v>
      </c>
      <c r="C207" s="159" t="s">
        <v>824</v>
      </c>
      <c r="D207" s="161" t="s">
        <v>827</v>
      </c>
      <c r="E207" s="15">
        <v>63.1666666666667</v>
      </c>
      <c r="F207" s="160"/>
      <c r="G207" s="160"/>
      <c r="H207" s="161"/>
    </row>
    <row r="208" spans="1:8" ht="15" customHeight="1" x14ac:dyDescent="0.2">
      <c r="A208" s="134" t="str">
        <f t="shared" si="3"/>
        <v>TRAN</v>
      </c>
      <c r="B208" s="134" t="s">
        <v>693</v>
      </c>
      <c r="C208" s="159" t="s">
        <v>818</v>
      </c>
      <c r="D208" s="161" t="s">
        <v>827</v>
      </c>
      <c r="E208" s="15">
        <v>77.1666666666667</v>
      </c>
      <c r="F208" s="160"/>
      <c r="G208" s="160"/>
      <c r="H208" s="161"/>
    </row>
    <row r="209" spans="1:8" ht="15" customHeight="1" x14ac:dyDescent="0.2">
      <c r="A209" s="134" t="str">
        <f t="shared" si="3"/>
        <v>TRAN</v>
      </c>
      <c r="B209" s="134" t="s">
        <v>693</v>
      </c>
      <c r="C209" s="159" t="s">
        <v>825</v>
      </c>
      <c r="D209" s="161" t="s">
        <v>827</v>
      </c>
      <c r="E209" s="15">
        <v>66.119047619047606</v>
      </c>
      <c r="F209" s="160"/>
      <c r="G209" s="160"/>
      <c r="H209" s="161"/>
    </row>
    <row r="210" spans="1:8" ht="15" customHeight="1" x14ac:dyDescent="0.2">
      <c r="A210" s="134" t="str">
        <f t="shared" si="3"/>
        <v>TRAN</v>
      </c>
      <c r="B210" s="134" t="s">
        <v>693</v>
      </c>
      <c r="C210" s="159" t="s">
        <v>820</v>
      </c>
      <c r="D210" s="161" t="s">
        <v>827</v>
      </c>
      <c r="E210" s="15">
        <v>82.158730158730194</v>
      </c>
      <c r="F210" s="160"/>
      <c r="G210" s="160"/>
      <c r="H210" s="161"/>
    </row>
    <row r="211" spans="1:8" ht="15" customHeight="1" x14ac:dyDescent="0.2">
      <c r="A211" s="134" t="str">
        <f t="shared" si="3"/>
        <v>TRAN</v>
      </c>
      <c r="B211" s="134" t="s">
        <v>693</v>
      </c>
      <c r="C211" s="159" t="s">
        <v>785</v>
      </c>
      <c r="D211" s="161" t="s">
        <v>827</v>
      </c>
      <c r="E211" s="15">
        <v>46</v>
      </c>
      <c r="F211" s="160"/>
      <c r="G211" s="160"/>
      <c r="H211" s="161"/>
    </row>
    <row r="212" spans="1:8" ht="15" customHeight="1" x14ac:dyDescent="0.2">
      <c r="A212" s="134" t="str">
        <f t="shared" si="3"/>
        <v>TRAN</v>
      </c>
      <c r="B212" s="134" t="s">
        <v>693</v>
      </c>
      <c r="C212" s="159" t="s">
        <v>786</v>
      </c>
      <c r="D212" s="161" t="s">
        <v>827</v>
      </c>
      <c r="E212" s="15">
        <v>75</v>
      </c>
      <c r="F212" s="160"/>
      <c r="G212" s="160"/>
      <c r="H212" s="161"/>
    </row>
    <row r="213" spans="1:8" ht="15" customHeight="1" x14ac:dyDescent="0.2">
      <c r="A213" s="134" t="str">
        <f t="shared" si="3"/>
        <v>TRAN</v>
      </c>
      <c r="B213" s="134" t="s">
        <v>693</v>
      </c>
      <c r="C213" s="159" t="s">
        <v>787</v>
      </c>
      <c r="D213" s="161" t="s">
        <v>827</v>
      </c>
      <c r="E213" s="15">
        <v>75</v>
      </c>
      <c r="F213" s="160"/>
      <c r="G213" s="160"/>
      <c r="H213" s="161"/>
    </row>
    <row r="214" spans="1:8" ht="27.75" customHeight="1" x14ac:dyDescent="0.2">
      <c r="A214" s="134" t="str">
        <f t="shared" si="3"/>
        <v>TRAN</v>
      </c>
      <c r="B214" s="134" t="s">
        <v>693</v>
      </c>
      <c r="C214" s="159" t="s">
        <v>821</v>
      </c>
      <c r="D214" s="161" t="s">
        <v>828</v>
      </c>
      <c r="E214" s="15">
        <v>61.5</v>
      </c>
      <c r="F214" s="160"/>
      <c r="G214" s="160"/>
      <c r="H214" s="161"/>
    </row>
    <row r="215" spans="1:8" ht="27.75" customHeight="1" x14ac:dyDescent="0.2">
      <c r="A215" s="134" t="str">
        <f t="shared" si="3"/>
        <v>TRAN</v>
      </c>
      <c r="B215" s="134" t="s">
        <v>693</v>
      </c>
      <c r="C215" s="159" t="s">
        <v>823</v>
      </c>
      <c r="D215" s="161" t="s">
        <v>828</v>
      </c>
      <c r="E215" s="15">
        <v>114</v>
      </c>
      <c r="F215" s="160"/>
      <c r="G215" s="160"/>
      <c r="H215" s="161"/>
    </row>
    <row r="216" spans="1:8" ht="27.75" customHeight="1" x14ac:dyDescent="0.2">
      <c r="A216" s="134" t="str">
        <f t="shared" si="3"/>
        <v>TRAN</v>
      </c>
      <c r="B216" s="134" t="s">
        <v>693</v>
      </c>
      <c r="C216" s="159" t="s">
        <v>824</v>
      </c>
      <c r="D216" s="161" t="s">
        <v>828</v>
      </c>
      <c r="E216" s="15">
        <v>72.8333333333333</v>
      </c>
      <c r="F216" s="160"/>
      <c r="G216" s="160"/>
      <c r="H216" s="161"/>
    </row>
    <row r="217" spans="1:8" ht="27.75" customHeight="1" x14ac:dyDescent="0.2">
      <c r="A217" s="134" t="str">
        <f t="shared" si="3"/>
        <v>TRAN</v>
      </c>
      <c r="B217" s="134" t="s">
        <v>693</v>
      </c>
      <c r="C217" s="159" t="s">
        <v>818</v>
      </c>
      <c r="D217" s="161" t="s">
        <v>828</v>
      </c>
      <c r="E217" s="15">
        <v>81.857142857142904</v>
      </c>
      <c r="F217" s="160"/>
      <c r="G217" s="160"/>
      <c r="H217" s="161"/>
    </row>
    <row r="218" spans="1:8" ht="27.75" customHeight="1" x14ac:dyDescent="0.2">
      <c r="A218" s="134" t="str">
        <f t="shared" si="3"/>
        <v>TRAN</v>
      </c>
      <c r="B218" s="134" t="s">
        <v>693</v>
      </c>
      <c r="C218" s="159" t="s">
        <v>825</v>
      </c>
      <c r="D218" s="161" t="s">
        <v>828</v>
      </c>
      <c r="E218" s="15">
        <v>101.738095238095</v>
      </c>
      <c r="F218" s="160"/>
      <c r="G218" s="160"/>
      <c r="H218" s="161"/>
    </row>
    <row r="219" spans="1:8" ht="27.75" customHeight="1" x14ac:dyDescent="0.2">
      <c r="A219" s="134" t="str">
        <f t="shared" si="3"/>
        <v>TRAN</v>
      </c>
      <c r="B219" s="134" t="s">
        <v>693</v>
      </c>
      <c r="C219" s="159" t="s">
        <v>820</v>
      </c>
      <c r="D219" s="161" t="s">
        <v>828</v>
      </c>
      <c r="E219" s="15">
        <v>110.650793650794</v>
      </c>
      <c r="F219" s="160"/>
      <c r="G219" s="160"/>
      <c r="H219" s="161"/>
    </row>
    <row r="220" spans="1:8" ht="27.75" customHeight="1" x14ac:dyDescent="0.2">
      <c r="A220" s="134" t="str">
        <f t="shared" si="3"/>
        <v>TRAN</v>
      </c>
      <c r="B220" s="134" t="s">
        <v>693</v>
      </c>
      <c r="C220" s="159" t="s">
        <v>785</v>
      </c>
      <c r="D220" s="161" t="s">
        <v>828</v>
      </c>
      <c r="E220" s="15">
        <v>116.166666666667</v>
      </c>
      <c r="F220" s="160"/>
      <c r="G220" s="160"/>
      <c r="H220" s="161"/>
    </row>
    <row r="221" spans="1:8" ht="27.75" customHeight="1" x14ac:dyDescent="0.2">
      <c r="A221" s="134" t="str">
        <f t="shared" si="3"/>
        <v>TRAN</v>
      </c>
      <c r="B221" s="134" t="s">
        <v>693</v>
      </c>
      <c r="C221" s="159" t="s">
        <v>786</v>
      </c>
      <c r="D221" s="161" t="s">
        <v>828</v>
      </c>
      <c r="E221" s="15">
        <v>105</v>
      </c>
      <c r="F221" s="160"/>
      <c r="G221" s="160"/>
      <c r="H221" s="161"/>
    </row>
    <row r="222" spans="1:8" ht="27.75" customHeight="1" x14ac:dyDescent="0.2">
      <c r="A222" s="134" t="str">
        <f t="shared" si="3"/>
        <v>TRAN</v>
      </c>
      <c r="B222" s="134" t="s">
        <v>693</v>
      </c>
      <c r="C222" s="159" t="s">
        <v>787</v>
      </c>
      <c r="D222" s="161" t="s">
        <v>828</v>
      </c>
      <c r="E222" s="15">
        <v>155</v>
      </c>
      <c r="F222" s="160"/>
      <c r="G222" s="160"/>
      <c r="H222" s="161"/>
    </row>
    <row r="223" spans="1:8" ht="15" customHeight="1" x14ac:dyDescent="0.2">
      <c r="A223" s="134" t="str">
        <f t="shared" si="3"/>
        <v>TRAN</v>
      </c>
      <c r="B223" s="134" t="s">
        <v>693</v>
      </c>
      <c r="C223" s="159" t="s">
        <v>821</v>
      </c>
      <c r="D223" s="161" t="s">
        <v>829</v>
      </c>
      <c r="E223" s="15">
        <v>135.333333333333</v>
      </c>
      <c r="F223" s="160"/>
      <c r="G223" s="160"/>
      <c r="H223" s="161"/>
    </row>
    <row r="224" spans="1:8" ht="15" customHeight="1" x14ac:dyDescent="0.2">
      <c r="A224" s="134" t="str">
        <f t="shared" si="3"/>
        <v>TRAN</v>
      </c>
      <c r="B224" s="134" t="s">
        <v>693</v>
      </c>
      <c r="C224" s="159" t="s">
        <v>823</v>
      </c>
      <c r="D224" s="161" t="s">
        <v>829</v>
      </c>
      <c r="E224" s="15">
        <v>141.833333333333</v>
      </c>
      <c r="F224" s="160"/>
      <c r="G224" s="160"/>
      <c r="H224" s="161"/>
    </row>
    <row r="225" spans="1:8" ht="15" customHeight="1" x14ac:dyDescent="0.2">
      <c r="A225" s="134" t="str">
        <f t="shared" si="3"/>
        <v>TRAN</v>
      </c>
      <c r="B225" s="134" t="s">
        <v>693</v>
      </c>
      <c r="C225" s="159" t="s">
        <v>824</v>
      </c>
      <c r="D225" s="161" t="s">
        <v>829</v>
      </c>
      <c r="E225" s="15">
        <v>157.666666666667</v>
      </c>
      <c r="F225" s="160"/>
      <c r="G225" s="160"/>
      <c r="H225" s="161"/>
    </row>
    <row r="226" spans="1:8" ht="15" customHeight="1" x14ac:dyDescent="0.2">
      <c r="A226" s="134" t="str">
        <f t="shared" si="3"/>
        <v>TRAN</v>
      </c>
      <c r="B226" s="134" t="s">
        <v>693</v>
      </c>
      <c r="C226" s="159" t="s">
        <v>818</v>
      </c>
      <c r="D226" s="161" t="s">
        <v>829</v>
      </c>
      <c r="E226" s="15">
        <v>165.42857142857099</v>
      </c>
      <c r="F226" s="160"/>
      <c r="G226" s="160"/>
      <c r="H226" s="161"/>
    </row>
    <row r="227" spans="1:8" ht="15" customHeight="1" x14ac:dyDescent="0.2">
      <c r="A227" s="134" t="str">
        <f t="shared" si="3"/>
        <v>TRAN</v>
      </c>
      <c r="B227" s="134" t="s">
        <v>693</v>
      </c>
      <c r="C227" s="159" t="s">
        <v>825</v>
      </c>
      <c r="D227" s="161" t="s">
        <v>829</v>
      </c>
      <c r="E227" s="15">
        <v>175.38095238095201</v>
      </c>
      <c r="F227" s="160"/>
      <c r="G227" s="160"/>
      <c r="H227" s="161"/>
    </row>
    <row r="228" spans="1:8" ht="15" customHeight="1" x14ac:dyDescent="0.2">
      <c r="A228" s="134" t="str">
        <f t="shared" si="3"/>
        <v>TRAN</v>
      </c>
      <c r="B228" s="134" t="s">
        <v>693</v>
      </c>
      <c r="C228" s="159" t="s">
        <v>820</v>
      </c>
      <c r="D228" s="161" t="s">
        <v>829</v>
      </c>
      <c r="E228" s="15">
        <v>156.857142857143</v>
      </c>
      <c r="F228" s="160"/>
      <c r="G228" s="160"/>
      <c r="H228" s="161"/>
    </row>
    <row r="229" spans="1:8" ht="15" customHeight="1" x14ac:dyDescent="0.2">
      <c r="A229" s="134" t="str">
        <f t="shared" si="3"/>
        <v>TRAN</v>
      </c>
      <c r="B229" s="134" t="s">
        <v>693</v>
      </c>
      <c r="C229" s="159" t="s">
        <v>785</v>
      </c>
      <c r="D229" s="161" t="s">
        <v>829</v>
      </c>
      <c r="E229" s="15">
        <v>163.58730158730199</v>
      </c>
      <c r="F229" s="160"/>
      <c r="G229" s="160"/>
      <c r="H229" s="161"/>
    </row>
    <row r="230" spans="1:8" ht="15" customHeight="1" x14ac:dyDescent="0.2">
      <c r="A230" s="134" t="str">
        <f t="shared" si="3"/>
        <v>TRAN</v>
      </c>
      <c r="B230" s="134" t="s">
        <v>693</v>
      </c>
      <c r="C230" s="159" t="s">
        <v>786</v>
      </c>
      <c r="D230" s="161" t="s">
        <v>829</v>
      </c>
      <c r="E230" s="15">
        <v>152</v>
      </c>
      <c r="F230" s="160"/>
      <c r="G230" s="160"/>
      <c r="H230" s="161"/>
    </row>
    <row r="231" spans="1:8" ht="15" customHeight="1" x14ac:dyDescent="0.2">
      <c r="A231" s="134" t="str">
        <f t="shared" si="3"/>
        <v>TRAN</v>
      </c>
      <c r="B231" s="134" t="s">
        <v>693</v>
      </c>
      <c r="C231" s="159" t="s">
        <v>787</v>
      </c>
      <c r="D231" s="161" t="s">
        <v>829</v>
      </c>
      <c r="E231" s="15">
        <v>225</v>
      </c>
      <c r="F231" s="160"/>
      <c r="G231" s="160"/>
      <c r="H231" s="161"/>
    </row>
    <row r="232" spans="1:8" ht="15" customHeight="1" x14ac:dyDescent="0.2">
      <c r="A232" s="134" t="str">
        <f t="shared" si="3"/>
        <v>TRAN</v>
      </c>
      <c r="B232" s="134" t="s">
        <v>693</v>
      </c>
      <c r="C232" s="159" t="s">
        <v>821</v>
      </c>
      <c r="D232" s="161" t="s">
        <v>830</v>
      </c>
      <c r="E232" s="15">
        <v>95.5</v>
      </c>
      <c r="F232" s="160"/>
      <c r="G232" s="160"/>
      <c r="H232" s="161"/>
    </row>
    <row r="233" spans="1:8" ht="15" customHeight="1" x14ac:dyDescent="0.2">
      <c r="A233" s="134" t="str">
        <f t="shared" si="3"/>
        <v>TRAN</v>
      </c>
      <c r="B233" s="134" t="s">
        <v>693</v>
      </c>
      <c r="C233" s="159" t="s">
        <v>823</v>
      </c>
      <c r="D233" s="161" t="s">
        <v>830</v>
      </c>
      <c r="E233" s="15">
        <v>102</v>
      </c>
      <c r="F233" s="160"/>
      <c r="G233" s="160"/>
      <c r="H233" s="161"/>
    </row>
    <row r="234" spans="1:8" ht="15" customHeight="1" x14ac:dyDescent="0.2">
      <c r="A234" s="134" t="str">
        <f t="shared" si="3"/>
        <v>TRAN</v>
      </c>
      <c r="B234" s="134" t="s">
        <v>693</v>
      </c>
      <c r="C234" s="159" t="s">
        <v>824</v>
      </c>
      <c r="D234" s="161" t="s">
        <v>830</v>
      </c>
      <c r="E234" s="15">
        <v>98</v>
      </c>
      <c r="F234" s="160"/>
      <c r="G234" s="160"/>
      <c r="H234" s="161"/>
    </row>
    <row r="235" spans="1:8" ht="15" customHeight="1" x14ac:dyDescent="0.2">
      <c r="A235" s="134" t="str">
        <f t="shared" si="3"/>
        <v>TRAN</v>
      </c>
      <c r="B235" s="134" t="s">
        <v>693</v>
      </c>
      <c r="C235" s="159" t="s">
        <v>818</v>
      </c>
      <c r="D235" s="161" t="s">
        <v>830</v>
      </c>
      <c r="E235" s="15">
        <v>127.28571428571399</v>
      </c>
      <c r="F235" s="160"/>
      <c r="G235" s="160"/>
      <c r="H235" s="161"/>
    </row>
    <row r="236" spans="1:8" ht="15" customHeight="1" x14ac:dyDescent="0.2">
      <c r="A236" s="134" t="str">
        <f t="shared" si="3"/>
        <v>TRAN</v>
      </c>
      <c r="B236" s="134" t="s">
        <v>693</v>
      </c>
      <c r="C236" s="159" t="s">
        <v>825</v>
      </c>
      <c r="D236" s="161" t="s">
        <v>830</v>
      </c>
      <c r="E236" s="15">
        <v>72.761904761904802</v>
      </c>
      <c r="F236" s="160"/>
      <c r="G236" s="160"/>
      <c r="H236" s="161"/>
    </row>
    <row r="237" spans="1:8" ht="15" customHeight="1" x14ac:dyDescent="0.2">
      <c r="A237" s="134" t="str">
        <f t="shared" si="3"/>
        <v>TRAN</v>
      </c>
      <c r="B237" s="134" t="s">
        <v>693</v>
      </c>
      <c r="C237" s="159" t="s">
        <v>820</v>
      </c>
      <c r="D237" s="161" t="s">
        <v>830</v>
      </c>
      <c r="E237" s="15">
        <v>84.571428571428598</v>
      </c>
      <c r="F237" s="160"/>
      <c r="G237" s="160"/>
      <c r="H237" s="161"/>
    </row>
    <row r="238" spans="1:8" ht="15" customHeight="1" x14ac:dyDescent="0.2">
      <c r="A238" s="134" t="str">
        <f t="shared" si="3"/>
        <v>TRAN</v>
      </c>
      <c r="B238" s="134" t="s">
        <v>693</v>
      </c>
      <c r="C238" s="159" t="s">
        <v>785</v>
      </c>
      <c r="D238" s="161" t="s">
        <v>830</v>
      </c>
      <c r="E238" s="15">
        <v>57</v>
      </c>
      <c r="F238" s="160"/>
      <c r="G238" s="160"/>
      <c r="H238" s="161"/>
    </row>
    <row r="239" spans="1:8" ht="15" customHeight="1" x14ac:dyDescent="0.2">
      <c r="A239" s="134" t="str">
        <f t="shared" si="3"/>
        <v>TRAN</v>
      </c>
      <c r="B239" s="134" t="s">
        <v>693</v>
      </c>
      <c r="C239" s="159" t="s">
        <v>786</v>
      </c>
      <c r="D239" s="161" t="s">
        <v>830</v>
      </c>
      <c r="E239" s="15">
        <v>60</v>
      </c>
      <c r="F239" s="160"/>
      <c r="G239" s="160"/>
      <c r="H239" s="161"/>
    </row>
    <row r="240" spans="1:8" ht="15" customHeight="1" x14ac:dyDescent="0.2">
      <c r="A240" s="134" t="str">
        <f t="shared" si="3"/>
        <v>TRAN</v>
      </c>
      <c r="B240" s="134" t="s">
        <v>693</v>
      </c>
      <c r="C240" s="159" t="s">
        <v>787</v>
      </c>
      <c r="D240" s="161" t="s">
        <v>830</v>
      </c>
      <c r="E240" s="15">
        <v>100</v>
      </c>
      <c r="F240" s="160"/>
      <c r="G240" s="160"/>
      <c r="H240" s="161"/>
    </row>
    <row r="241" spans="1:8" ht="15" customHeight="1" x14ac:dyDescent="0.2">
      <c r="A241" s="134" t="str">
        <f t="shared" si="3"/>
        <v>TRAN</v>
      </c>
      <c r="B241" s="134" t="s">
        <v>693</v>
      </c>
      <c r="C241" s="159" t="s">
        <v>821</v>
      </c>
      <c r="D241" s="161" t="s">
        <v>831</v>
      </c>
      <c r="E241" s="15">
        <v>136.833333333333</v>
      </c>
      <c r="F241" s="160"/>
      <c r="G241" s="160"/>
      <c r="H241" s="161"/>
    </row>
    <row r="242" spans="1:8" ht="15" customHeight="1" x14ac:dyDescent="0.2">
      <c r="A242" s="134" t="str">
        <f t="shared" si="3"/>
        <v>TRAN</v>
      </c>
      <c r="B242" s="134" t="s">
        <v>693</v>
      </c>
      <c r="C242" s="159" t="s">
        <v>823</v>
      </c>
      <c r="D242" s="161" t="s">
        <v>831</v>
      </c>
      <c r="E242" s="15">
        <v>133.166666666667</v>
      </c>
      <c r="F242" s="160"/>
      <c r="G242" s="160"/>
      <c r="H242" s="161"/>
    </row>
    <row r="243" spans="1:8" ht="15" customHeight="1" x14ac:dyDescent="0.2">
      <c r="A243" s="134" t="str">
        <f t="shared" si="3"/>
        <v>TRAN</v>
      </c>
      <c r="B243" s="134" t="s">
        <v>693</v>
      </c>
      <c r="C243" s="159" t="s">
        <v>824</v>
      </c>
      <c r="D243" s="161" t="s">
        <v>831</v>
      </c>
      <c r="E243" s="15">
        <v>137.5</v>
      </c>
      <c r="F243" s="160"/>
      <c r="G243" s="160"/>
      <c r="H243" s="161"/>
    </row>
    <row r="244" spans="1:8" ht="15" customHeight="1" x14ac:dyDescent="0.2">
      <c r="A244" s="134" t="str">
        <f t="shared" si="3"/>
        <v>TRAN</v>
      </c>
      <c r="B244" s="134" t="s">
        <v>693</v>
      </c>
      <c r="C244" s="159" t="s">
        <v>818</v>
      </c>
      <c r="D244" s="161" t="s">
        <v>831</v>
      </c>
      <c r="E244" s="15">
        <v>165.857142857143</v>
      </c>
      <c r="F244" s="160"/>
      <c r="G244" s="160"/>
      <c r="H244" s="161"/>
    </row>
    <row r="245" spans="1:8" ht="15" customHeight="1" x14ac:dyDescent="0.2">
      <c r="A245" s="134" t="str">
        <f t="shared" si="3"/>
        <v>TRAN</v>
      </c>
      <c r="B245" s="134" t="s">
        <v>693</v>
      </c>
      <c r="C245" s="159" t="s">
        <v>825</v>
      </c>
      <c r="D245" s="161" t="s">
        <v>831</v>
      </c>
      <c r="E245" s="15">
        <v>152.642857142857</v>
      </c>
      <c r="F245" s="160"/>
      <c r="G245" s="160"/>
      <c r="H245" s="161"/>
    </row>
    <row r="246" spans="1:8" ht="15" customHeight="1" x14ac:dyDescent="0.2">
      <c r="A246" s="134" t="str">
        <f t="shared" si="3"/>
        <v>TRAN</v>
      </c>
      <c r="B246" s="134" t="s">
        <v>693</v>
      </c>
      <c r="C246" s="159" t="s">
        <v>820</v>
      </c>
      <c r="D246" s="161" t="s">
        <v>831</v>
      </c>
      <c r="E246" s="15">
        <v>166.82539682539701</v>
      </c>
      <c r="F246" s="160"/>
      <c r="G246" s="160"/>
      <c r="H246" s="161"/>
    </row>
    <row r="247" spans="1:8" ht="15" customHeight="1" x14ac:dyDescent="0.2">
      <c r="A247" s="134" t="str">
        <f t="shared" si="3"/>
        <v>TRAN</v>
      </c>
      <c r="B247" s="134" t="s">
        <v>693</v>
      </c>
      <c r="C247" s="159" t="s">
        <v>785</v>
      </c>
      <c r="D247" s="161" t="s">
        <v>831</v>
      </c>
      <c r="E247" s="15">
        <v>113.2</v>
      </c>
      <c r="F247" s="160"/>
      <c r="G247" s="160"/>
      <c r="H247" s="161"/>
    </row>
    <row r="248" spans="1:8" ht="15" customHeight="1" x14ac:dyDescent="0.2">
      <c r="A248" s="134" t="str">
        <f t="shared" si="3"/>
        <v>TRAN</v>
      </c>
      <c r="B248" s="134" t="s">
        <v>693</v>
      </c>
      <c r="C248" s="159" t="s">
        <v>786</v>
      </c>
      <c r="D248" s="161" t="s">
        <v>831</v>
      </c>
      <c r="E248" s="15">
        <v>118</v>
      </c>
      <c r="F248" s="160"/>
      <c r="G248" s="160"/>
      <c r="H248" s="161"/>
    </row>
    <row r="249" spans="1:8" ht="15" customHeight="1" x14ac:dyDescent="0.2">
      <c r="A249" s="134" t="str">
        <f t="shared" si="3"/>
        <v>TRAN</v>
      </c>
      <c r="B249" s="134" t="s">
        <v>693</v>
      </c>
      <c r="C249" s="159" t="s">
        <v>787</v>
      </c>
      <c r="D249" s="161" t="s">
        <v>831</v>
      </c>
      <c r="E249" s="15">
        <v>129</v>
      </c>
      <c r="F249" s="160"/>
      <c r="G249" s="160"/>
      <c r="H249" s="161"/>
    </row>
    <row r="250" spans="1:8" ht="27.75" customHeight="1" x14ac:dyDescent="0.2">
      <c r="A250" s="134" t="str">
        <f t="shared" si="3"/>
        <v>TRAN</v>
      </c>
      <c r="B250" s="134" t="s">
        <v>693</v>
      </c>
      <c r="C250" s="159" t="s">
        <v>821</v>
      </c>
      <c r="D250" s="161" t="s">
        <v>832</v>
      </c>
      <c r="E250" s="15">
        <v>4.8333333333333304</v>
      </c>
      <c r="F250" s="160"/>
      <c r="G250" s="160"/>
      <c r="H250" s="161"/>
    </row>
    <row r="251" spans="1:8" ht="27.75" customHeight="1" x14ac:dyDescent="0.2">
      <c r="A251" s="134" t="str">
        <f t="shared" si="3"/>
        <v>TRAN</v>
      </c>
      <c r="B251" s="134" t="s">
        <v>693</v>
      </c>
      <c r="C251" s="159" t="s">
        <v>823</v>
      </c>
      <c r="D251" s="161" t="s">
        <v>832</v>
      </c>
      <c r="E251" s="15">
        <v>2.6666666666666701</v>
      </c>
      <c r="F251" s="160"/>
      <c r="G251" s="160"/>
      <c r="H251" s="161"/>
    </row>
    <row r="252" spans="1:8" ht="27.75" customHeight="1" x14ac:dyDescent="0.2">
      <c r="A252" s="134" t="str">
        <f t="shared" si="3"/>
        <v>TRAN</v>
      </c>
      <c r="B252" s="134" t="s">
        <v>693</v>
      </c>
      <c r="C252" s="159" t="s">
        <v>824</v>
      </c>
      <c r="D252" s="161" t="s">
        <v>832</v>
      </c>
      <c r="E252" s="15">
        <v>5.3333333333333304</v>
      </c>
      <c r="F252" s="160"/>
      <c r="G252" s="160"/>
      <c r="H252" s="161"/>
    </row>
    <row r="253" spans="1:8" ht="27.75" customHeight="1" x14ac:dyDescent="0.2">
      <c r="A253" s="134" t="str">
        <f t="shared" si="3"/>
        <v>TRAN</v>
      </c>
      <c r="B253" s="134" t="s">
        <v>693</v>
      </c>
      <c r="C253" s="159" t="s">
        <v>818</v>
      </c>
      <c r="D253" s="161" t="s">
        <v>832</v>
      </c>
      <c r="E253" s="15">
        <v>5.3333333333333304</v>
      </c>
      <c r="F253" s="160"/>
      <c r="G253" s="160"/>
      <c r="H253" s="161"/>
    </row>
    <row r="254" spans="1:8" ht="27.75" customHeight="1" x14ac:dyDescent="0.2">
      <c r="A254" s="134" t="str">
        <f t="shared" si="3"/>
        <v>TRAN</v>
      </c>
      <c r="B254" s="134" t="s">
        <v>693</v>
      </c>
      <c r="C254" s="159" t="s">
        <v>825</v>
      </c>
      <c r="D254" s="161" t="s">
        <v>832</v>
      </c>
      <c r="E254" s="15">
        <v>4.5</v>
      </c>
      <c r="F254" s="160"/>
      <c r="G254" s="160"/>
      <c r="H254" s="161"/>
    </row>
    <row r="255" spans="1:8" ht="27.75" customHeight="1" x14ac:dyDescent="0.2">
      <c r="A255" s="134" t="str">
        <f t="shared" si="3"/>
        <v>TRAN</v>
      </c>
      <c r="B255" s="134" t="s">
        <v>693</v>
      </c>
      <c r="C255" s="159" t="s">
        <v>820</v>
      </c>
      <c r="D255" s="161" t="s">
        <v>832</v>
      </c>
      <c r="E255" s="15">
        <v>5.1428571428571397</v>
      </c>
      <c r="F255" s="160"/>
      <c r="G255" s="160"/>
      <c r="H255" s="161"/>
    </row>
    <row r="256" spans="1:8" ht="27.75" customHeight="1" x14ac:dyDescent="0.2">
      <c r="A256" s="134" t="str">
        <f t="shared" si="3"/>
        <v>TRAN</v>
      </c>
      <c r="B256" s="134" t="s">
        <v>693</v>
      </c>
      <c r="C256" s="159" t="s">
        <v>785</v>
      </c>
      <c r="D256" s="161" t="s">
        <v>832</v>
      </c>
      <c r="E256" s="15">
        <v>4.6285714285714299</v>
      </c>
      <c r="F256" s="160"/>
      <c r="G256" s="160"/>
      <c r="H256" s="161"/>
    </row>
    <row r="257" spans="1:8" ht="27.75" customHeight="1" x14ac:dyDescent="0.2">
      <c r="A257" s="134" t="str">
        <f t="shared" si="3"/>
        <v>TRAN</v>
      </c>
      <c r="B257" s="134" t="s">
        <v>693</v>
      </c>
      <c r="C257" s="159" t="s">
        <v>786</v>
      </c>
      <c r="D257" s="161" t="s">
        <v>832</v>
      </c>
      <c r="E257" s="15">
        <v>8</v>
      </c>
      <c r="F257" s="160"/>
      <c r="G257" s="160"/>
      <c r="H257" s="161"/>
    </row>
    <row r="258" spans="1:8" ht="27.75" customHeight="1" x14ac:dyDescent="0.2">
      <c r="A258" s="134" t="str">
        <f t="shared" ref="A258:A321" si="4">LEFT(B258, FIND("-", B258) - 1)</f>
        <v>TRAN</v>
      </c>
      <c r="B258" s="134" t="s">
        <v>693</v>
      </c>
      <c r="C258" s="159" t="s">
        <v>787</v>
      </c>
      <c r="D258" s="161" t="s">
        <v>832</v>
      </c>
      <c r="E258" s="15">
        <v>3</v>
      </c>
      <c r="F258" s="160"/>
      <c r="G258" s="160"/>
      <c r="H258" s="161"/>
    </row>
    <row r="259" spans="1:8" ht="27.75" customHeight="1" x14ac:dyDescent="0.2">
      <c r="A259" s="134" t="str">
        <f t="shared" si="4"/>
        <v>TRAN</v>
      </c>
      <c r="B259" s="134" t="s">
        <v>693</v>
      </c>
      <c r="C259" s="159" t="s">
        <v>821</v>
      </c>
      <c r="D259" s="161" t="s">
        <v>833</v>
      </c>
      <c r="E259" s="15">
        <v>107.666666666667</v>
      </c>
      <c r="F259" s="160"/>
      <c r="G259" s="160"/>
      <c r="H259" s="161"/>
    </row>
    <row r="260" spans="1:8" ht="27.75" customHeight="1" x14ac:dyDescent="0.2">
      <c r="A260" s="134" t="str">
        <f t="shared" si="4"/>
        <v>TRAN</v>
      </c>
      <c r="B260" s="134" t="s">
        <v>693</v>
      </c>
      <c r="C260" s="159" t="s">
        <v>823</v>
      </c>
      <c r="D260" s="161" t="s">
        <v>833</v>
      </c>
      <c r="E260" s="15">
        <v>95.3333333333333</v>
      </c>
      <c r="F260" s="160"/>
      <c r="G260" s="160"/>
      <c r="H260" s="161"/>
    </row>
    <row r="261" spans="1:8" ht="27.75" customHeight="1" x14ac:dyDescent="0.2">
      <c r="A261" s="134" t="str">
        <f t="shared" si="4"/>
        <v>TRAN</v>
      </c>
      <c r="B261" s="134" t="s">
        <v>693</v>
      </c>
      <c r="C261" s="159" t="s">
        <v>824</v>
      </c>
      <c r="D261" s="161" t="s">
        <v>833</v>
      </c>
      <c r="E261" s="15">
        <v>96.1666666666667</v>
      </c>
      <c r="F261" s="160"/>
      <c r="G261" s="160"/>
      <c r="H261" s="161"/>
    </row>
    <row r="262" spans="1:8" ht="27.75" customHeight="1" x14ac:dyDescent="0.2">
      <c r="A262" s="134" t="str">
        <f t="shared" si="4"/>
        <v>TRAN</v>
      </c>
      <c r="B262" s="134" t="s">
        <v>693</v>
      </c>
      <c r="C262" s="159" t="s">
        <v>818</v>
      </c>
      <c r="D262" s="161" t="s">
        <v>833</v>
      </c>
      <c r="E262" s="15">
        <v>104.333333333333</v>
      </c>
      <c r="F262" s="160"/>
      <c r="G262" s="160"/>
      <c r="H262" s="161"/>
    </row>
    <row r="263" spans="1:8" ht="27.75" customHeight="1" x14ac:dyDescent="0.2">
      <c r="A263" s="134" t="str">
        <f t="shared" si="4"/>
        <v>TRAN</v>
      </c>
      <c r="B263" s="134" t="s">
        <v>693</v>
      </c>
      <c r="C263" s="159" t="s">
        <v>825</v>
      </c>
      <c r="D263" s="161" t="s">
        <v>833</v>
      </c>
      <c r="E263" s="15">
        <v>60.642857142857203</v>
      </c>
      <c r="F263" s="160"/>
      <c r="G263" s="160"/>
      <c r="H263" s="161"/>
    </row>
    <row r="264" spans="1:8" ht="27.75" customHeight="1" x14ac:dyDescent="0.2">
      <c r="A264" s="134" t="str">
        <f t="shared" si="4"/>
        <v>TRAN</v>
      </c>
      <c r="B264" s="134" t="s">
        <v>693</v>
      </c>
      <c r="C264" s="159" t="s">
        <v>820</v>
      </c>
      <c r="D264" s="161" t="s">
        <v>833</v>
      </c>
      <c r="E264" s="15">
        <v>85.301587301587304</v>
      </c>
      <c r="F264" s="160"/>
      <c r="G264" s="160"/>
      <c r="H264" s="161"/>
    </row>
    <row r="265" spans="1:8" ht="27.75" customHeight="1" x14ac:dyDescent="0.2">
      <c r="A265" s="134" t="str">
        <f t="shared" si="4"/>
        <v>TRAN</v>
      </c>
      <c r="B265" s="134" t="s">
        <v>693</v>
      </c>
      <c r="C265" s="159" t="s">
        <v>785</v>
      </c>
      <c r="D265" s="161" t="s">
        <v>833</v>
      </c>
      <c r="E265" s="15">
        <v>91.3333333333333</v>
      </c>
      <c r="F265" s="160"/>
      <c r="G265" s="160"/>
      <c r="H265" s="161"/>
    </row>
    <row r="266" spans="1:8" ht="27.75" customHeight="1" x14ac:dyDescent="0.2">
      <c r="A266" s="134" t="str">
        <f t="shared" si="4"/>
        <v>TRAN</v>
      </c>
      <c r="B266" s="134" t="s">
        <v>693</v>
      </c>
      <c r="C266" s="159" t="s">
        <v>786</v>
      </c>
      <c r="D266" s="161" t="s">
        <v>833</v>
      </c>
      <c r="E266" s="15">
        <v>92</v>
      </c>
      <c r="F266" s="160"/>
      <c r="G266" s="160"/>
      <c r="H266" s="161"/>
    </row>
    <row r="267" spans="1:8" ht="27.75" customHeight="1" x14ac:dyDescent="0.2">
      <c r="A267" s="134" t="str">
        <f t="shared" si="4"/>
        <v>TRAN</v>
      </c>
      <c r="B267" s="134" t="s">
        <v>693</v>
      </c>
      <c r="C267" s="159" t="s">
        <v>787</v>
      </c>
      <c r="D267" s="161" t="s">
        <v>833</v>
      </c>
      <c r="E267" s="15">
        <v>118</v>
      </c>
      <c r="F267" s="160"/>
      <c r="G267" s="160"/>
      <c r="H267" s="161"/>
    </row>
    <row r="268" spans="1:8" ht="27.75" customHeight="1" x14ac:dyDescent="0.2">
      <c r="A268" s="134" t="str">
        <f t="shared" si="4"/>
        <v>TRAN</v>
      </c>
      <c r="B268" s="134" t="s">
        <v>693</v>
      </c>
      <c r="C268" s="159" t="s">
        <v>821</v>
      </c>
      <c r="D268" s="161" t="s">
        <v>834</v>
      </c>
      <c r="F268" s="160"/>
      <c r="G268" s="160"/>
      <c r="H268" s="161" t="s">
        <v>835</v>
      </c>
    </row>
    <row r="269" spans="1:8" ht="27.75" customHeight="1" x14ac:dyDescent="0.2">
      <c r="A269" s="134" t="str">
        <f t="shared" si="4"/>
        <v>TRAN</v>
      </c>
      <c r="B269" s="134" t="s">
        <v>693</v>
      </c>
      <c r="C269" s="159" t="s">
        <v>823</v>
      </c>
      <c r="D269" s="161" t="s">
        <v>834</v>
      </c>
      <c r="F269" s="160"/>
      <c r="G269" s="160"/>
      <c r="H269" s="161" t="s">
        <v>835</v>
      </c>
    </row>
    <row r="270" spans="1:8" ht="27.75" customHeight="1" x14ac:dyDescent="0.2">
      <c r="A270" s="134" t="str">
        <f t="shared" si="4"/>
        <v>TRAN</v>
      </c>
      <c r="B270" s="134" t="s">
        <v>693</v>
      </c>
      <c r="C270" s="159" t="s">
        <v>824</v>
      </c>
      <c r="D270" s="161" t="s">
        <v>834</v>
      </c>
      <c r="F270" s="160"/>
      <c r="G270" s="160"/>
      <c r="H270" s="161" t="s">
        <v>835</v>
      </c>
    </row>
    <row r="271" spans="1:8" ht="27.75" customHeight="1" x14ac:dyDescent="0.2">
      <c r="A271" s="134" t="str">
        <f t="shared" si="4"/>
        <v>TRAN</v>
      </c>
      <c r="B271" s="134" t="s">
        <v>693</v>
      </c>
      <c r="C271" s="159" t="s">
        <v>818</v>
      </c>
      <c r="D271" s="161" t="s">
        <v>834</v>
      </c>
      <c r="E271" s="15">
        <v>83.8333333333333</v>
      </c>
      <c r="F271" s="160"/>
      <c r="G271" s="160"/>
      <c r="H271" s="161"/>
    </row>
    <row r="272" spans="1:8" ht="27.75" customHeight="1" x14ac:dyDescent="0.2">
      <c r="A272" s="134" t="str">
        <f t="shared" si="4"/>
        <v>TRAN</v>
      </c>
      <c r="B272" s="134" t="s">
        <v>693</v>
      </c>
      <c r="C272" s="159" t="s">
        <v>825</v>
      </c>
      <c r="D272" s="161" t="s">
        <v>834</v>
      </c>
      <c r="E272" s="15">
        <v>69.071428571428598</v>
      </c>
      <c r="F272" s="160"/>
      <c r="G272" s="160"/>
      <c r="H272" s="161"/>
    </row>
    <row r="273" spans="1:8" ht="27.75" customHeight="1" x14ac:dyDescent="0.2">
      <c r="A273" s="134" t="str">
        <f t="shared" si="4"/>
        <v>TRAN</v>
      </c>
      <c r="B273" s="134" t="s">
        <v>693</v>
      </c>
      <c r="C273" s="159" t="s">
        <v>820</v>
      </c>
      <c r="D273" s="161" t="s">
        <v>834</v>
      </c>
      <c r="E273" s="15">
        <v>102.04761904761899</v>
      </c>
      <c r="F273" s="160"/>
      <c r="G273" s="160"/>
      <c r="H273" s="161"/>
    </row>
    <row r="274" spans="1:8" ht="27.75" customHeight="1" x14ac:dyDescent="0.2">
      <c r="A274" s="134" t="str">
        <f t="shared" si="4"/>
        <v>TRAN</v>
      </c>
      <c r="B274" s="134" t="s">
        <v>693</v>
      </c>
      <c r="C274" s="159" t="s">
        <v>785</v>
      </c>
      <c r="D274" s="161" t="s">
        <v>834</v>
      </c>
      <c r="E274" s="15">
        <v>100.968253968254</v>
      </c>
      <c r="F274" s="160"/>
      <c r="G274" s="160"/>
      <c r="H274" s="161"/>
    </row>
    <row r="275" spans="1:8" ht="27.75" customHeight="1" x14ac:dyDescent="0.2">
      <c r="A275" s="134" t="str">
        <f t="shared" si="4"/>
        <v>TRAN</v>
      </c>
      <c r="B275" s="134" t="s">
        <v>693</v>
      </c>
      <c r="C275" s="159" t="s">
        <v>786</v>
      </c>
      <c r="D275" s="161" t="s">
        <v>834</v>
      </c>
      <c r="E275" s="15">
        <v>81</v>
      </c>
      <c r="F275" s="160"/>
      <c r="G275" s="160"/>
      <c r="H275" s="161"/>
    </row>
    <row r="276" spans="1:8" ht="27.75" customHeight="1" x14ac:dyDescent="0.2">
      <c r="A276" s="134" t="str">
        <f t="shared" si="4"/>
        <v>TRAN</v>
      </c>
      <c r="B276" s="134" t="s">
        <v>693</v>
      </c>
      <c r="C276" s="159" t="s">
        <v>787</v>
      </c>
      <c r="D276" s="161" t="s">
        <v>834</v>
      </c>
      <c r="E276" s="15">
        <v>98</v>
      </c>
      <c r="F276" s="160"/>
      <c r="G276" s="160"/>
      <c r="H276" s="161"/>
    </row>
    <row r="277" spans="1:8" ht="23.25" customHeight="1" x14ac:dyDescent="0.2">
      <c r="A277" s="134" t="str">
        <f t="shared" si="4"/>
        <v>TRAN</v>
      </c>
      <c r="B277" s="134" t="s">
        <v>693</v>
      </c>
      <c r="C277" s="159" t="s">
        <v>821</v>
      </c>
      <c r="D277" s="161" t="s">
        <v>836</v>
      </c>
      <c r="F277" s="160"/>
      <c r="G277" s="160"/>
      <c r="H277" s="161" t="s">
        <v>835</v>
      </c>
    </row>
    <row r="278" spans="1:8" ht="23.25" customHeight="1" x14ac:dyDescent="0.2">
      <c r="A278" s="134" t="str">
        <f t="shared" si="4"/>
        <v>TRAN</v>
      </c>
      <c r="B278" s="134" t="s">
        <v>693</v>
      </c>
      <c r="C278" s="159" t="s">
        <v>823</v>
      </c>
      <c r="D278" s="161" t="s">
        <v>836</v>
      </c>
      <c r="F278" s="160"/>
      <c r="G278" s="160"/>
      <c r="H278" s="161" t="s">
        <v>835</v>
      </c>
    </row>
    <row r="279" spans="1:8" ht="23.25" customHeight="1" x14ac:dyDescent="0.2">
      <c r="A279" s="134" t="str">
        <f t="shared" si="4"/>
        <v>TRAN</v>
      </c>
      <c r="B279" s="134" t="s">
        <v>693</v>
      </c>
      <c r="C279" s="159" t="s">
        <v>824</v>
      </c>
      <c r="D279" s="161" t="s">
        <v>836</v>
      </c>
      <c r="F279" s="160"/>
      <c r="G279" s="160"/>
      <c r="H279" s="161" t="s">
        <v>835</v>
      </c>
    </row>
    <row r="280" spans="1:8" ht="15" customHeight="1" x14ac:dyDescent="0.2">
      <c r="A280" s="134" t="str">
        <f t="shared" si="4"/>
        <v>TRAN</v>
      </c>
      <c r="B280" s="134" t="s">
        <v>693</v>
      </c>
      <c r="C280" s="159" t="s">
        <v>818</v>
      </c>
      <c r="D280" s="161" t="s">
        <v>836</v>
      </c>
      <c r="E280" s="15">
        <v>77.3333333333333</v>
      </c>
      <c r="F280" s="160"/>
      <c r="G280" s="160"/>
      <c r="H280" s="161"/>
    </row>
    <row r="281" spans="1:8" ht="15" customHeight="1" x14ac:dyDescent="0.2">
      <c r="A281" s="134" t="str">
        <f t="shared" si="4"/>
        <v>TRAN</v>
      </c>
      <c r="B281" s="134" t="s">
        <v>693</v>
      </c>
      <c r="C281" s="159" t="s">
        <v>825</v>
      </c>
      <c r="D281" s="161" t="s">
        <v>836</v>
      </c>
      <c r="E281" s="15">
        <v>65.6666666666667</v>
      </c>
      <c r="F281" s="160"/>
      <c r="G281" s="160"/>
      <c r="H281" s="161"/>
    </row>
    <row r="282" spans="1:8" ht="15" customHeight="1" x14ac:dyDescent="0.2">
      <c r="A282" s="134" t="str">
        <f t="shared" si="4"/>
        <v>TRAN</v>
      </c>
      <c r="B282" s="134" t="s">
        <v>693</v>
      </c>
      <c r="C282" s="159" t="s">
        <v>820</v>
      </c>
      <c r="D282" s="161" t="s">
        <v>836</v>
      </c>
      <c r="E282" s="15">
        <v>90.841269841269806</v>
      </c>
      <c r="F282" s="160"/>
      <c r="G282" s="160"/>
      <c r="H282" s="161"/>
    </row>
    <row r="283" spans="1:8" ht="15" customHeight="1" x14ac:dyDescent="0.2">
      <c r="A283" s="134" t="str">
        <f t="shared" si="4"/>
        <v>TRAN</v>
      </c>
      <c r="B283" s="134" t="s">
        <v>693</v>
      </c>
      <c r="C283" s="159" t="s">
        <v>785</v>
      </c>
      <c r="D283" s="161" t="s">
        <v>836</v>
      </c>
      <c r="E283" s="15">
        <v>106.333333333333</v>
      </c>
      <c r="F283" s="160"/>
      <c r="G283" s="160"/>
      <c r="H283" s="161"/>
    </row>
    <row r="284" spans="1:8" ht="15" customHeight="1" x14ac:dyDescent="0.2">
      <c r="A284" s="134" t="str">
        <f t="shared" si="4"/>
        <v>TRAN</v>
      </c>
      <c r="B284" s="134" t="s">
        <v>693</v>
      </c>
      <c r="C284" s="159" t="s">
        <v>786</v>
      </c>
      <c r="D284" s="161" t="s">
        <v>836</v>
      </c>
      <c r="E284" s="15">
        <v>99</v>
      </c>
      <c r="F284" s="160"/>
      <c r="G284" s="160"/>
      <c r="H284" s="161"/>
    </row>
    <row r="285" spans="1:8" ht="15" customHeight="1" x14ac:dyDescent="0.2">
      <c r="A285" s="134" t="str">
        <f t="shared" si="4"/>
        <v>TRAN</v>
      </c>
      <c r="B285" s="134" t="s">
        <v>693</v>
      </c>
      <c r="C285" s="159" t="s">
        <v>787</v>
      </c>
      <c r="D285" s="161" t="s">
        <v>836</v>
      </c>
      <c r="E285" s="15">
        <v>85</v>
      </c>
      <c r="F285" s="160"/>
      <c r="G285" s="160"/>
      <c r="H285" s="161"/>
    </row>
    <row r="286" spans="1:8" ht="34.5" customHeight="1" x14ac:dyDescent="0.2">
      <c r="A286" s="134" t="str">
        <f t="shared" si="4"/>
        <v>TRAN</v>
      </c>
      <c r="B286" s="134" t="s">
        <v>693</v>
      </c>
      <c r="C286" s="159" t="s">
        <v>818</v>
      </c>
      <c r="D286" s="161"/>
      <c r="E286" s="15">
        <f t="shared" ref="E286:E291" si="5">SUMIFS($E$187:$E$285,$B$187:$B$285,B286,$C$187:$C$285,C286)</f>
        <v>1115.2857142857135</v>
      </c>
      <c r="F286" s="160"/>
      <c r="G286" s="160"/>
      <c r="H286" s="161"/>
    </row>
    <row r="287" spans="1:8" ht="34.5" customHeight="1" x14ac:dyDescent="0.2">
      <c r="A287" s="134" t="str">
        <f t="shared" si="4"/>
        <v>TRAN</v>
      </c>
      <c r="B287" s="134" t="s">
        <v>693</v>
      </c>
      <c r="C287" s="159" t="s">
        <v>825</v>
      </c>
      <c r="D287" s="161"/>
      <c r="E287" s="15">
        <f t="shared" si="5"/>
        <v>1066.1190476190479</v>
      </c>
      <c r="F287" s="160"/>
      <c r="G287" s="160"/>
      <c r="H287" s="161"/>
    </row>
    <row r="288" spans="1:8" ht="34.5" customHeight="1" x14ac:dyDescent="0.2">
      <c r="A288" s="134" t="str">
        <f t="shared" si="4"/>
        <v>TRAN</v>
      </c>
      <c r="B288" s="134" t="s">
        <v>693</v>
      </c>
      <c r="C288" s="159" t="s">
        <v>820</v>
      </c>
      <c r="D288" s="161"/>
      <c r="E288" s="15">
        <f t="shared" si="5"/>
        <v>1126.4444444444448</v>
      </c>
      <c r="F288" s="160"/>
      <c r="G288" s="160"/>
      <c r="H288" s="161"/>
    </row>
    <row r="289" spans="1:8" ht="34.5" customHeight="1" x14ac:dyDescent="0.2">
      <c r="A289" s="134" t="str">
        <f t="shared" si="4"/>
        <v>TRAN</v>
      </c>
      <c r="B289" s="134" t="s">
        <v>693</v>
      </c>
      <c r="C289" s="159" t="s">
        <v>785</v>
      </c>
      <c r="D289" s="161"/>
      <c r="E289" s="15">
        <f t="shared" si="5"/>
        <v>1093.4416666666673</v>
      </c>
      <c r="F289" s="160"/>
      <c r="G289" s="160"/>
      <c r="H289" s="161"/>
    </row>
    <row r="290" spans="1:8" ht="34.5" customHeight="1" x14ac:dyDescent="0.2">
      <c r="A290" s="134" t="str">
        <f t="shared" si="4"/>
        <v>TRAN</v>
      </c>
      <c r="B290" s="134" t="s">
        <v>693</v>
      </c>
      <c r="C290" s="159" t="s">
        <v>786</v>
      </c>
      <c r="D290" s="161"/>
      <c r="E290" s="15">
        <f t="shared" si="5"/>
        <v>1015</v>
      </c>
      <c r="F290" s="160"/>
      <c r="G290" s="160"/>
      <c r="H290" s="161"/>
    </row>
    <row r="291" spans="1:8" ht="34.5" customHeight="1" x14ac:dyDescent="0.2">
      <c r="A291" s="134" t="str">
        <f t="shared" si="4"/>
        <v>TRAN</v>
      </c>
      <c r="B291" s="134" t="s">
        <v>693</v>
      </c>
      <c r="C291" s="159" t="s">
        <v>787</v>
      </c>
      <c r="D291" s="161"/>
      <c r="E291" s="15">
        <f t="shared" si="5"/>
        <v>1297</v>
      </c>
      <c r="F291" s="160"/>
      <c r="G291" s="160"/>
      <c r="H291" s="161"/>
    </row>
    <row r="292" spans="1:8" ht="15" customHeight="1" x14ac:dyDescent="0.2">
      <c r="A292" s="130" t="str">
        <f>LEFT(B292, FIND("-", B292) - 1)</f>
        <v>PROS</v>
      </c>
      <c r="B292" s="130" t="inlineStr">
        <is>
          <t>PROS-REGULATEDUNITS</t>
        </is>
      </c>
      <c r="C292" s="159" t="inlineStr">
        <is>
          <t>2017</t>
        </is>
      </c>
      <c r="D292" s="160"/>
      <c r="E292" s="160">
        <v>516</v>
      </c>
      <c r="F292" s="160"/>
      <c r="G292" s="160"/>
      <c r="H292" s="161"/>
    </row>
    <row r="293" spans="1:8" ht="15" customHeight="1" x14ac:dyDescent="0.2">
      <c r="A293" s="130" t="str">
        <f>LEFT(B293, FIND("-", B293) - 1)</f>
        <v>PROS</v>
      </c>
      <c r="B293" s="130" t="inlineStr">
        <is>
          <t>PROS-REGULATEDUNITS</t>
        </is>
      </c>
      <c r="C293" s="159" t="inlineStr">
        <is>
          <t>2020</t>
        </is>
      </c>
      <c r="D293" s="160"/>
      <c r="E293" s="160">
        <v>605</v>
      </c>
      <c r="F293" s="160"/>
      <c r="G293" s="160"/>
      <c r="H293" s="161"/>
    </row>
    <row r="294" spans="1:8" ht="15" customHeight="1" x14ac:dyDescent="0.2">
      <c r="A294" s="130" t="str">
        <f>LEFT(B294, FIND("-", B294) - 1)</f>
        <v>PROS</v>
      </c>
      <c r="B294" s="130" t="inlineStr">
        <is>
          <t>PROS-LOCALSPEND</t>
        </is>
      </c>
      <c r="C294" s="159" t="inlineStr">
        <is>
          <t>2025</t>
        </is>
      </c>
      <c r="D294" s="160"/>
      <c r="E294" s="160">
        <v>342859.57</v>
      </c>
      <c r="F294" s="160"/>
      <c r="G294" s="160"/>
      <c r="H294" s="161"/>
    </row>
    <row r="295" spans="1:8" ht="15" customHeight="1" x14ac:dyDescent="0.2">
      <c r="B295" s="163"/>
      <c r="C295" s="159"/>
      <c r="D295" s="160"/>
      <c r="E295" s="160"/>
      <c r="F295" s="160"/>
      <c r="G295" s="160"/>
      <c r="H295" s="161"/>
    </row>
    <row r="296" spans="1:8" ht="15" customHeight="1" x14ac:dyDescent="0.2">
      <c r="B296" s="163"/>
      <c r="C296" s="159"/>
      <c r="D296" s="160"/>
      <c r="E296" s="160"/>
      <c r="F296" s="160"/>
      <c r="G296" s="160"/>
      <c r="H296" s="161"/>
    </row>
    <row r="297" spans="1:8" ht="15" customHeight="1" x14ac:dyDescent="0.2">
      <c r="B297" s="163"/>
      <c r="C297" s="159"/>
      <c r="D297" s="160"/>
      <c r="E297" s="160"/>
      <c r="F297" s="160"/>
      <c r="G297" s="160"/>
      <c r="H297" s="161"/>
    </row>
    <row r="298" spans="1:8" ht="15" customHeight="1" x14ac:dyDescent="0.2">
      <c r="B298" s="163"/>
      <c r="C298" s="159"/>
      <c r="D298" s="160"/>
      <c r="E298" s="160"/>
      <c r="F298" s="160"/>
      <c r="G298" s="160"/>
      <c r="H298" s="161"/>
    </row>
    <row r="299" spans="1:8" ht="15" customHeight="1" x14ac:dyDescent="0.2">
      <c r="B299" s="163"/>
      <c r="C299" s="159"/>
      <c r="D299" s="160"/>
      <c r="E299" s="160"/>
      <c r="F299" s="160"/>
      <c r="G299" s="160"/>
      <c r="H299" s="161"/>
    </row>
    <row r="300" spans="1:8" ht="15" customHeight="1" x14ac:dyDescent="0.2">
      <c r="B300" s="163"/>
      <c r="C300" s="159"/>
      <c r="D300" s="160"/>
      <c r="E300" s="160"/>
      <c r="F300" s="160"/>
      <c r="G300" s="160"/>
      <c r="H300" s="161"/>
    </row>
    <row r="301" spans="1:8" ht="15" customHeight="1" x14ac:dyDescent="0.2">
      <c r="B301" s="163"/>
      <c r="C301" s="159"/>
      <c r="D301" s="160"/>
      <c r="E301" s="160"/>
      <c r="F301" s="160"/>
      <c r="G301" s="160"/>
      <c r="H301" s="161"/>
    </row>
    <row r="302" spans="1:8" ht="15" customHeight="1" x14ac:dyDescent="0.2">
      <c r="B302" s="163"/>
      <c r="C302" s="159"/>
      <c r="D302" s="160"/>
      <c r="E302" s="160"/>
      <c r="F302" s="160"/>
      <c r="G302" s="160"/>
      <c r="H302" s="161"/>
    </row>
    <row r="303" spans="1:8" ht="15" customHeight="1" x14ac:dyDescent="0.2">
      <c r="B303" s="163"/>
      <c r="C303" s="159"/>
      <c r="D303" s="160"/>
      <c r="E303" s="160"/>
      <c r="F303" s="160"/>
      <c r="G303" s="160"/>
      <c r="H303" s="161"/>
    </row>
    <row r="304" spans="1:8" ht="15" customHeight="1" x14ac:dyDescent="0.2">
      <c r="B304" s="163"/>
      <c r="C304" s="159"/>
      <c r="D304" s="160"/>
      <c r="E304" s="160"/>
      <c r="F304" s="160"/>
      <c r="G304" s="160"/>
      <c r="H304" s="161"/>
    </row>
    <row r="305" spans="2:8" ht="15" customHeight="1" x14ac:dyDescent="0.2">
      <c r="B305" s="163"/>
      <c r="C305" s="159"/>
      <c r="D305" s="160"/>
      <c r="E305" s="160"/>
      <c r="F305" s="160"/>
      <c r="G305" s="160"/>
      <c r="H305" s="161"/>
    </row>
    <row r="306" spans="2:8" ht="15" customHeight="1" x14ac:dyDescent="0.2">
      <c r="B306" s="163"/>
      <c r="C306" s="159"/>
      <c r="D306" s="160"/>
      <c r="E306" s="160"/>
      <c r="F306" s="160"/>
      <c r="G306" s="160"/>
      <c r="H306" s="161"/>
    </row>
    <row r="307" spans="2:8" ht="15" customHeight="1" x14ac:dyDescent="0.2">
      <c r="B307" s="163"/>
      <c r="C307" s="159"/>
      <c r="D307" s="160"/>
      <c r="E307" s="160"/>
      <c r="F307" s="160"/>
      <c r="G307" s="160"/>
      <c r="H307" s="161"/>
    </row>
    <row r="308" spans="2:8" ht="15" customHeight="1" x14ac:dyDescent="0.2">
      <c r="B308" s="163"/>
      <c r="C308" s="159"/>
      <c r="D308" s="160"/>
      <c r="E308" s="160"/>
      <c r="F308" s="160"/>
      <c r="G308" s="160"/>
      <c r="H308" s="161"/>
    </row>
    <row r="309" spans="2:8" ht="15" customHeight="1" x14ac:dyDescent="0.2">
      <c r="B309" s="163"/>
      <c r="C309" s="159"/>
      <c r="D309" s="160"/>
      <c r="E309" s="160"/>
      <c r="F309" s="160"/>
      <c r="G309" s="160"/>
      <c r="H309" s="161"/>
    </row>
    <row r="310" spans="2:8" ht="15" customHeight="1" x14ac:dyDescent="0.2">
      <c r="B310" s="163"/>
      <c r="C310" s="159"/>
      <c r="D310" s="160"/>
      <c r="E310" s="160"/>
      <c r="F310" s="160"/>
      <c r="G310" s="160"/>
      <c r="H310" s="161"/>
    </row>
    <row r="311" spans="2:8" ht="15" customHeight="1" x14ac:dyDescent="0.2">
      <c r="B311" s="163"/>
      <c r="C311" s="159"/>
      <c r="D311" s="160"/>
      <c r="E311" s="160"/>
      <c r="F311" s="160"/>
      <c r="G311" s="160"/>
      <c r="H311" s="161"/>
    </row>
    <row r="312" spans="2:8" ht="15" customHeight="1" x14ac:dyDescent="0.2">
      <c r="B312" s="163"/>
      <c r="C312" s="159"/>
      <c r="D312" s="160"/>
      <c r="E312" s="160"/>
      <c r="F312" s="160"/>
      <c r="G312" s="160"/>
      <c r="H312" s="161"/>
    </row>
    <row r="313" spans="2:8" ht="15" customHeight="1" x14ac:dyDescent="0.2">
      <c r="B313" s="163"/>
      <c r="C313" s="159"/>
      <c r="D313" s="160"/>
      <c r="E313" s="160"/>
      <c r="F313" s="160"/>
      <c r="G313" s="160"/>
      <c r="H313" s="161"/>
    </row>
    <row r="314" spans="2:8" ht="15" customHeight="1" x14ac:dyDescent="0.2">
      <c r="B314" s="163"/>
      <c r="C314" s="159"/>
      <c r="D314" s="160"/>
      <c r="E314" s="160"/>
      <c r="F314" s="160"/>
      <c r="G314" s="160"/>
      <c r="H314" s="161"/>
    </row>
    <row r="315" spans="2:8" ht="15" customHeight="1" x14ac:dyDescent="0.2">
      <c r="B315" s="163"/>
      <c r="C315" s="159"/>
      <c r="D315" s="160"/>
      <c r="E315" s="160"/>
      <c r="F315" s="160"/>
      <c r="G315" s="160"/>
      <c r="H315" s="161"/>
    </row>
    <row r="316" spans="2:8" ht="15" customHeight="1" x14ac:dyDescent="0.2">
      <c r="B316" s="163"/>
      <c r="C316" s="159"/>
      <c r="D316" s="160"/>
      <c r="E316" s="160"/>
      <c r="F316" s="160"/>
      <c r="G316" s="160"/>
      <c r="H316" s="161"/>
    </row>
    <row r="317" spans="2:8" ht="15" customHeight="1" x14ac:dyDescent="0.2">
      <c r="B317" s="163"/>
      <c r="C317" s="159"/>
      <c r="D317" s="160"/>
      <c r="E317" s="160"/>
      <c r="F317" s="160"/>
      <c r="G317" s="160"/>
      <c r="H317" s="161"/>
    </row>
    <row r="318" spans="2:8" ht="15" customHeight="1" x14ac:dyDescent="0.2">
      <c r="B318" s="163"/>
      <c r="C318" s="159"/>
      <c r="D318" s="160"/>
      <c r="E318" s="160"/>
      <c r="F318" s="160"/>
      <c r="G318" s="160"/>
      <c r="H318" s="161"/>
    </row>
    <row r="319" spans="2:8" ht="15" customHeight="1" x14ac:dyDescent="0.2">
      <c r="B319" s="163"/>
      <c r="C319" s="159"/>
      <c r="D319" s="160"/>
      <c r="E319" s="160"/>
      <c r="F319" s="160"/>
      <c r="G319" s="160"/>
      <c r="H319" s="161"/>
    </row>
    <row r="320" spans="2:8" ht="15" customHeight="1" x14ac:dyDescent="0.2">
      <c r="B320" s="163"/>
      <c r="C320" s="159"/>
      <c r="D320" s="160"/>
      <c r="E320" s="160"/>
      <c r="F320" s="160"/>
      <c r="G320" s="160"/>
      <c r="H320" s="161"/>
    </row>
    <row r="321" spans="2:8" ht="15" customHeight="1" x14ac:dyDescent="0.2">
      <c r="B321" s="163"/>
      <c r="C321" s="159"/>
      <c r="D321" s="160"/>
      <c r="E321" s="160"/>
      <c r="F321" s="160"/>
      <c r="G321" s="160"/>
      <c r="H321" s="161"/>
    </row>
    <row r="322" spans="2:8" ht="15" customHeight="1" x14ac:dyDescent="0.2">
      <c r="B322" s="163"/>
      <c r="C322" s="159"/>
      <c r="D322" s="160"/>
      <c r="E322" s="160"/>
      <c r="F322" s="160"/>
      <c r="G322" s="160"/>
      <c r="H322" s="161"/>
    </row>
    <row r="323" spans="2:8" ht="15" customHeight="1" x14ac:dyDescent="0.2">
      <c r="B323" s="163"/>
      <c r="C323" s="159"/>
      <c r="D323" s="160"/>
      <c r="E323" s="160"/>
      <c r="F323" s="160"/>
      <c r="G323" s="160"/>
      <c r="H323" s="161"/>
    </row>
    <row r="324" spans="2:8" ht="15" customHeight="1" x14ac:dyDescent="0.2">
      <c r="B324" s="163"/>
      <c r="C324" s="159"/>
      <c r="D324" s="160"/>
      <c r="E324" s="160"/>
      <c r="F324" s="160"/>
      <c r="G324" s="160"/>
      <c r="H324" s="161"/>
    </row>
    <row r="325" spans="2:8" ht="15" customHeight="1" x14ac:dyDescent="0.2">
      <c r="B325" s="163"/>
      <c r="C325" s="159"/>
      <c r="D325" s="160"/>
      <c r="E325" s="160"/>
      <c r="F325" s="160"/>
      <c r="G325" s="160"/>
      <c r="H325" s="161"/>
    </row>
    <row r="326" spans="2:8" ht="15" customHeight="1" x14ac:dyDescent="0.2">
      <c r="B326" s="163"/>
      <c r="C326" s="159"/>
      <c r="D326" s="160"/>
      <c r="E326" s="160"/>
      <c r="F326" s="160"/>
      <c r="G326" s="160"/>
      <c r="H326" s="161"/>
    </row>
    <row r="327" spans="2:8" ht="15" customHeight="1" x14ac:dyDescent="0.2">
      <c r="B327" s="163"/>
      <c r="C327" s="159"/>
      <c r="D327" s="160"/>
      <c r="E327" s="160"/>
      <c r="F327" s="160"/>
      <c r="G327" s="160"/>
      <c r="H327" s="161"/>
    </row>
    <row r="328" spans="2:8" ht="15" customHeight="1" x14ac:dyDescent="0.2">
      <c r="B328" s="163"/>
      <c r="C328" s="159"/>
      <c r="D328" s="160"/>
      <c r="E328" s="160"/>
      <c r="F328" s="160"/>
      <c r="G328" s="160"/>
      <c r="H328" s="161"/>
    </row>
    <row r="329" spans="2:8" ht="15" customHeight="1" x14ac:dyDescent="0.2">
      <c r="B329" s="163"/>
      <c r="C329" s="159"/>
      <c r="D329" s="160"/>
      <c r="E329" s="160"/>
      <c r="F329" s="160"/>
      <c r="G329" s="160"/>
      <c r="H329" s="161"/>
    </row>
    <row r="330" spans="2:8" ht="15" customHeight="1" x14ac:dyDescent="0.2">
      <c r="B330" s="163"/>
      <c r="C330" s="159"/>
      <c r="D330" s="160"/>
      <c r="E330" s="160"/>
      <c r="F330" s="160"/>
      <c r="G330" s="160"/>
      <c r="H330" s="161"/>
    </row>
    <row r="331" spans="2:8" ht="15" customHeight="1" x14ac:dyDescent="0.2">
      <c r="B331" s="163"/>
      <c r="C331" s="159"/>
      <c r="D331" s="160"/>
      <c r="E331" s="160"/>
      <c r="F331" s="160"/>
      <c r="G331" s="160"/>
      <c r="H331" s="161"/>
    </row>
    <row r="332" spans="2:8" ht="15" customHeight="1" x14ac:dyDescent="0.2">
      <c r="B332" s="163"/>
      <c r="C332" s="159"/>
      <c r="D332" s="160"/>
      <c r="E332" s="160"/>
      <c r="F332" s="160"/>
      <c r="G332" s="160"/>
      <c r="H332" s="161"/>
    </row>
    <row r="333" spans="2:8" ht="15" customHeight="1" x14ac:dyDescent="0.2">
      <c r="B333" s="163"/>
      <c r="C333" s="159"/>
      <c r="D333" s="160"/>
      <c r="E333" s="160"/>
      <c r="F333" s="160"/>
      <c r="G333" s="160"/>
      <c r="H333" s="161"/>
    </row>
    <row r="334" spans="2:8" ht="15" customHeight="1" x14ac:dyDescent="0.2">
      <c r="B334" s="163"/>
      <c r="C334" s="159"/>
      <c r="D334" s="160"/>
      <c r="E334" s="160"/>
      <c r="F334" s="160"/>
      <c r="G334" s="160"/>
      <c r="H334" s="161"/>
    </row>
    <row r="335" spans="2:8" ht="15" customHeight="1" x14ac:dyDescent="0.2">
      <c r="B335" s="163"/>
      <c r="C335" s="159"/>
      <c r="D335" s="160"/>
      <c r="E335" s="160"/>
      <c r="F335" s="160"/>
      <c r="G335" s="160"/>
      <c r="H335" s="161"/>
    </row>
    <row r="336" spans="2:8" ht="15" customHeight="1" x14ac:dyDescent="0.2">
      <c r="B336" s="163"/>
      <c r="C336" s="159"/>
      <c r="D336" s="160"/>
      <c r="E336" s="160"/>
      <c r="F336" s="160"/>
      <c r="G336" s="160"/>
      <c r="H336" s="161"/>
    </row>
    <row r="337" spans="2:8" ht="15" customHeight="1" x14ac:dyDescent="0.2">
      <c r="B337" s="163"/>
      <c r="C337" s="159"/>
      <c r="D337" s="160"/>
      <c r="E337" s="160"/>
      <c r="F337" s="160"/>
      <c r="G337" s="160"/>
      <c r="H337" s="161"/>
    </row>
    <row r="338" spans="2:8" ht="15" customHeight="1" x14ac:dyDescent="0.2">
      <c r="B338" s="163"/>
      <c r="C338" s="159"/>
      <c r="D338" s="160"/>
      <c r="E338" s="160"/>
      <c r="F338" s="160"/>
      <c r="G338" s="160"/>
      <c r="H338" s="161"/>
    </row>
    <row r="339" spans="2:8" ht="15" customHeight="1" x14ac:dyDescent="0.2">
      <c r="B339" s="163"/>
      <c r="C339" s="159"/>
      <c r="D339" s="160"/>
      <c r="E339" s="160"/>
      <c r="F339" s="160"/>
      <c r="G339" s="160"/>
      <c r="H339" s="161"/>
    </row>
    <row r="340" spans="2:8" ht="15" customHeight="1" x14ac:dyDescent="0.2">
      <c r="B340" s="163"/>
      <c r="C340" s="159"/>
      <c r="D340" s="160"/>
      <c r="E340" s="160"/>
      <c r="F340" s="160"/>
      <c r="G340" s="160"/>
      <c r="H340" s="161"/>
    </row>
    <row r="341" spans="2:8" ht="15" customHeight="1" x14ac:dyDescent="0.2">
      <c r="B341" s="163"/>
      <c r="C341" s="159"/>
      <c r="D341" s="160"/>
      <c r="E341" s="160"/>
      <c r="F341" s="160"/>
      <c r="G341" s="160"/>
      <c r="H341" s="161"/>
    </row>
    <row r="342" spans="2:8" ht="15" customHeight="1" x14ac:dyDescent="0.2">
      <c r="B342" s="163"/>
      <c r="C342" s="159"/>
      <c r="D342" s="160"/>
      <c r="E342" s="160"/>
      <c r="F342" s="160"/>
      <c r="G342" s="160"/>
      <c r="H342" s="161"/>
    </row>
    <row r="343" spans="2:8" ht="15" customHeight="1" x14ac:dyDescent="0.2">
      <c r="B343" s="163"/>
      <c r="C343" s="159"/>
      <c r="D343" s="160"/>
      <c r="E343" s="160"/>
      <c r="F343" s="160"/>
      <c r="G343" s="160"/>
      <c r="H343" s="161"/>
    </row>
    <row r="344" spans="2:8" ht="15" customHeight="1" x14ac:dyDescent="0.2">
      <c r="B344" s="163"/>
      <c r="C344" s="159"/>
      <c r="D344" s="160"/>
      <c r="E344" s="160"/>
      <c r="F344" s="160"/>
      <c r="G344" s="160"/>
      <c r="H344" s="161"/>
    </row>
    <row r="345" spans="2:8" ht="15" customHeight="1" x14ac:dyDescent="0.2">
      <c r="B345" s="163"/>
      <c r="C345" s="159"/>
      <c r="D345" s="160"/>
      <c r="E345" s="160"/>
      <c r="F345" s="160"/>
      <c r="G345" s="160"/>
      <c r="H345" s="161"/>
    </row>
    <row r="346" spans="2:8" ht="15" customHeight="1" x14ac:dyDescent="0.2">
      <c r="B346" s="163"/>
      <c r="C346" s="159"/>
      <c r="D346" s="160"/>
      <c r="E346" s="160"/>
      <c r="F346" s="160"/>
      <c r="G346" s="160"/>
      <c r="H346" s="161"/>
    </row>
    <row r="347" spans="2:8" ht="15" customHeight="1" x14ac:dyDescent="0.2">
      <c r="B347" s="163"/>
      <c r="C347" s="159"/>
      <c r="D347" s="160"/>
      <c r="E347" s="160"/>
      <c r="F347" s="160"/>
      <c r="G347" s="160"/>
      <c r="H347" s="161"/>
    </row>
    <row r="348" spans="2:8" ht="15" customHeight="1" x14ac:dyDescent="0.2">
      <c r="B348" s="163"/>
      <c r="C348" s="159"/>
      <c r="D348" s="160"/>
      <c r="E348" s="160"/>
      <c r="F348" s="160"/>
      <c r="G348" s="160"/>
      <c r="H348" s="161"/>
    </row>
    <row r="349" spans="2:8" ht="15" customHeight="1" x14ac:dyDescent="0.2">
      <c r="B349" s="163"/>
      <c r="C349" s="159"/>
      <c r="D349" s="160"/>
      <c r="E349" s="160"/>
      <c r="F349" s="160"/>
      <c r="G349" s="160"/>
      <c r="H349" s="161"/>
    </row>
    <row r="350" spans="2:8" ht="15" customHeight="1" x14ac:dyDescent="0.2">
      <c r="B350" s="163"/>
      <c r="C350" s="159"/>
      <c r="D350" s="160"/>
      <c r="E350" s="160"/>
      <c r="F350" s="160"/>
      <c r="G350" s="160"/>
      <c r="H350" s="161"/>
    </row>
    <row r="351" spans="2:8" ht="15" customHeight="1" x14ac:dyDescent="0.2">
      <c r="B351" s="163"/>
      <c r="C351" s="159"/>
      <c r="D351" s="160"/>
      <c r="E351" s="160"/>
      <c r="F351" s="160"/>
      <c r="G351" s="160"/>
      <c r="H351" s="161"/>
    </row>
    <row r="352" spans="2:8" ht="15" customHeight="1" x14ac:dyDescent="0.2">
      <c r="B352" s="163"/>
      <c r="C352" s="159"/>
      <c r="D352" s="160"/>
      <c r="E352" s="160"/>
      <c r="F352" s="160"/>
      <c r="G352" s="160"/>
      <c r="H352" s="161"/>
    </row>
    <row r="353" spans="2:8" ht="15" customHeight="1" x14ac:dyDescent="0.2">
      <c r="B353" s="163"/>
      <c r="C353" s="159"/>
      <c r="D353" s="160"/>
      <c r="E353" s="160"/>
      <c r="F353" s="160"/>
      <c r="G353" s="160"/>
      <c r="H353" s="161"/>
    </row>
    <row r="354" spans="2:8" ht="15" customHeight="1" x14ac:dyDescent="0.2">
      <c r="B354" s="163"/>
      <c r="C354" s="159"/>
      <c r="D354" s="160"/>
      <c r="E354" s="160"/>
      <c r="F354" s="160"/>
      <c r="G354" s="160"/>
      <c r="H354" s="161"/>
    </row>
    <row r="355" spans="2:8" ht="15" customHeight="1" x14ac:dyDescent="0.2">
      <c r="B355" s="163"/>
      <c r="C355" s="159"/>
      <c r="D355" s="160"/>
      <c r="E355" s="160"/>
      <c r="F355" s="160"/>
      <c r="G355" s="160"/>
      <c r="H355" s="161"/>
    </row>
    <row r="356" spans="2:8" ht="15" customHeight="1" x14ac:dyDescent="0.2">
      <c r="B356" s="163"/>
      <c r="C356" s="159"/>
      <c r="D356" s="160"/>
      <c r="E356" s="160"/>
      <c r="F356" s="160"/>
      <c r="G356" s="160"/>
      <c r="H356" s="161"/>
    </row>
    <row r="357" spans="2:8" ht="15" customHeight="1" x14ac:dyDescent="0.2">
      <c r="B357" s="163"/>
      <c r="C357" s="159"/>
      <c r="D357" s="160"/>
      <c r="E357" s="160"/>
      <c r="F357" s="160"/>
      <c r="G357" s="160"/>
      <c r="H357" s="161"/>
    </row>
    <row r="358" spans="2:8" ht="15" customHeight="1" x14ac:dyDescent="0.2">
      <c r="B358" s="163"/>
      <c r="C358" s="159"/>
      <c r="D358" s="160"/>
      <c r="E358" s="160"/>
      <c r="F358" s="160"/>
      <c r="G358" s="160"/>
      <c r="H358" s="161"/>
    </row>
    <row r="359" spans="2:8" ht="15" customHeight="1" x14ac:dyDescent="0.2">
      <c r="B359" s="163"/>
      <c r="C359" s="159"/>
      <c r="D359" s="160"/>
      <c r="E359" s="160"/>
      <c r="F359" s="160"/>
      <c r="G359" s="160"/>
      <c r="H359" s="161"/>
    </row>
    <row r="360" spans="2:8" ht="15" customHeight="1" x14ac:dyDescent="0.2">
      <c r="B360" s="163"/>
      <c r="C360" s="159"/>
      <c r="D360" s="160"/>
      <c r="E360" s="160"/>
      <c r="F360" s="160"/>
      <c r="G360" s="160"/>
      <c r="H360" s="161"/>
    </row>
    <row r="361" spans="2:8" ht="15" customHeight="1" x14ac:dyDescent="0.2">
      <c r="B361" s="163"/>
      <c r="C361" s="159"/>
      <c r="D361" s="160"/>
      <c r="E361" s="160"/>
      <c r="F361" s="160"/>
      <c r="G361" s="160"/>
      <c r="H361" s="161"/>
    </row>
    <row r="362" spans="2:8" ht="15" customHeight="1" x14ac:dyDescent="0.2">
      <c r="B362" s="163"/>
      <c r="C362" s="159"/>
      <c r="D362" s="160"/>
      <c r="E362" s="160"/>
      <c r="F362" s="160"/>
      <c r="G362" s="160"/>
      <c r="H362" s="161"/>
    </row>
    <row r="363" spans="2:8" ht="15" customHeight="1" x14ac:dyDescent="0.2">
      <c r="B363" s="163"/>
      <c r="C363" s="159"/>
      <c r="D363" s="160"/>
      <c r="E363" s="160"/>
      <c r="F363" s="160"/>
      <c r="G363" s="160"/>
      <c r="H363" s="161"/>
    </row>
    <row r="364" spans="2:8" ht="15" customHeight="1" x14ac:dyDescent="0.2">
      <c r="B364" s="163"/>
      <c r="C364" s="159"/>
      <c r="D364" s="160"/>
      <c r="E364" s="160"/>
      <c r="F364" s="160"/>
      <c r="G364" s="160"/>
      <c r="H364" s="161"/>
    </row>
    <row r="365" spans="2:8" ht="15" customHeight="1" x14ac:dyDescent="0.2">
      <c r="B365" s="163"/>
      <c r="C365" s="159"/>
      <c r="D365" s="160"/>
      <c r="E365" s="160"/>
      <c r="F365" s="160"/>
      <c r="G365" s="160"/>
      <c r="H365" s="161"/>
    </row>
    <row r="366" spans="2:8" ht="15" customHeight="1" x14ac:dyDescent="0.2">
      <c r="B366" s="163"/>
      <c r="C366" s="159"/>
      <c r="D366" s="160"/>
      <c r="E366" s="160"/>
      <c r="F366" s="160"/>
      <c r="G366" s="160"/>
      <c r="H366" s="161"/>
    </row>
    <row r="367" spans="2:8" ht="15" customHeight="1" x14ac:dyDescent="0.2">
      <c r="B367" s="163"/>
      <c r="C367" s="159"/>
      <c r="D367" s="160"/>
      <c r="E367" s="160"/>
      <c r="F367" s="160"/>
      <c r="G367" s="160"/>
      <c r="H367" s="161"/>
    </row>
    <row r="368" spans="2:8" ht="15" customHeight="1" x14ac:dyDescent="0.2">
      <c r="B368" s="163"/>
      <c r="C368" s="159"/>
      <c r="D368" s="160"/>
      <c r="E368" s="160"/>
      <c r="F368" s="160"/>
      <c r="G368" s="160"/>
      <c r="H368" s="161"/>
    </row>
    <row r="369" spans="2:8" ht="15" customHeight="1" x14ac:dyDescent="0.2">
      <c r="B369" s="163"/>
      <c r="C369" s="159"/>
      <c r="D369" s="160"/>
      <c r="E369" s="160"/>
      <c r="F369" s="160"/>
      <c r="G369" s="160"/>
      <c r="H369" s="161"/>
    </row>
    <row r="370" spans="2:8" ht="15" customHeight="1" x14ac:dyDescent="0.2">
      <c r="B370" s="163"/>
      <c r="C370" s="159"/>
      <c r="D370" s="160"/>
      <c r="E370" s="160"/>
      <c r="F370" s="160"/>
      <c r="G370" s="160"/>
      <c r="H370" s="161"/>
    </row>
    <row r="371" spans="2:8" ht="15" customHeight="1" x14ac:dyDescent="0.2">
      <c r="B371" s="163"/>
      <c r="C371" s="159"/>
      <c r="D371" s="160"/>
      <c r="E371" s="160"/>
      <c r="F371" s="160"/>
      <c r="G371" s="160"/>
      <c r="H371" s="161"/>
    </row>
    <row r="372" spans="2:8" ht="15" customHeight="1" x14ac:dyDescent="0.2">
      <c r="B372" s="163"/>
      <c r="C372" s="159"/>
      <c r="D372" s="160"/>
      <c r="E372" s="160"/>
      <c r="F372" s="160"/>
      <c r="G372" s="160"/>
      <c r="H372" s="161"/>
    </row>
    <row r="373" spans="2:8" ht="15" customHeight="1" x14ac:dyDescent="0.2">
      <c r="B373" s="163"/>
      <c r="C373" s="159"/>
      <c r="D373" s="160"/>
      <c r="E373" s="160"/>
      <c r="F373" s="160"/>
      <c r="G373" s="160"/>
      <c r="H373" s="161"/>
    </row>
    <row r="374" spans="2:8" ht="15" customHeight="1" x14ac:dyDescent="0.2">
      <c r="B374" s="163"/>
      <c r="C374" s="159"/>
      <c r="D374" s="160"/>
      <c r="E374" s="160"/>
      <c r="F374" s="160"/>
      <c r="G374" s="160"/>
      <c r="H374" s="161"/>
    </row>
    <row r="375" spans="2:8" ht="15" customHeight="1" x14ac:dyDescent="0.2">
      <c r="B375" s="163"/>
      <c r="C375" s="159"/>
      <c r="D375" s="160"/>
      <c r="E375" s="160"/>
      <c r="F375" s="160"/>
      <c r="G375" s="160"/>
      <c r="H375" s="161"/>
    </row>
    <row r="376" spans="2:8" ht="15" customHeight="1" x14ac:dyDescent="0.2">
      <c r="B376" s="163"/>
      <c r="C376" s="159"/>
      <c r="D376" s="160"/>
      <c r="E376" s="160"/>
      <c r="F376" s="160"/>
      <c r="G376" s="160"/>
      <c r="H376" s="161"/>
    </row>
    <row r="377" spans="2:8" ht="15" customHeight="1" x14ac:dyDescent="0.2">
      <c r="B377" s="163"/>
      <c r="C377" s="159"/>
      <c r="D377" s="160"/>
      <c r="E377" s="160"/>
      <c r="F377" s="160"/>
      <c r="G377" s="160"/>
      <c r="H377" s="161"/>
    </row>
    <row r="378" spans="2:8" ht="15" customHeight="1" x14ac:dyDescent="0.2">
      <c r="B378" s="163"/>
      <c r="C378" s="159"/>
      <c r="D378" s="160"/>
      <c r="E378" s="160"/>
      <c r="F378" s="160"/>
      <c r="G378" s="160"/>
      <c r="H378" s="161"/>
    </row>
    <row r="379" spans="2:8" ht="15" customHeight="1" x14ac:dyDescent="0.2">
      <c r="B379" s="163"/>
      <c r="C379" s="159"/>
      <c r="D379" s="160"/>
      <c r="E379" s="160"/>
      <c r="F379" s="160"/>
      <c r="G379" s="160"/>
      <c r="H379" s="161"/>
    </row>
    <row r="380" spans="2:8" ht="15" customHeight="1" x14ac:dyDescent="0.2">
      <c r="B380" s="163"/>
      <c r="C380" s="159"/>
      <c r="D380" s="160"/>
      <c r="E380" s="160"/>
      <c r="F380" s="160"/>
      <c r="G380" s="160"/>
      <c r="H380" s="161"/>
    </row>
    <row r="381" spans="2:8" ht="15" customHeight="1" x14ac:dyDescent="0.2">
      <c r="B381" s="163"/>
      <c r="C381" s="159"/>
      <c r="D381" s="160"/>
      <c r="E381" s="160"/>
      <c r="F381" s="160"/>
      <c r="G381" s="160"/>
      <c r="H381" s="161"/>
    </row>
    <row r="382" spans="2:8" ht="15" customHeight="1" x14ac:dyDescent="0.2">
      <c r="B382" s="163"/>
      <c r="C382" s="159"/>
      <c r="D382" s="160"/>
      <c r="E382" s="160"/>
      <c r="F382" s="160"/>
      <c r="G382" s="160"/>
      <c r="H382" s="161"/>
    </row>
    <row r="383" spans="2:8" ht="15" customHeight="1" x14ac:dyDescent="0.2">
      <c r="B383" s="163"/>
      <c r="C383" s="159"/>
      <c r="D383" s="160"/>
      <c r="E383" s="160"/>
      <c r="F383" s="160"/>
      <c r="G383" s="160"/>
      <c r="H383" s="161"/>
    </row>
    <row r="384" spans="2:8" ht="15" customHeight="1" x14ac:dyDescent="0.2">
      <c r="B384" s="163"/>
      <c r="C384" s="159"/>
      <c r="D384" s="160"/>
      <c r="E384" s="160"/>
      <c r="F384" s="160"/>
      <c r="G384" s="160"/>
      <c r="H384" s="161"/>
    </row>
    <row r="385" spans="2:8" ht="15" customHeight="1" x14ac:dyDescent="0.2">
      <c r="B385" s="163"/>
      <c r="C385" s="159"/>
      <c r="D385" s="160"/>
      <c r="E385" s="160"/>
      <c r="F385" s="160"/>
      <c r="G385" s="160"/>
      <c r="H385" s="161"/>
    </row>
    <row r="386" spans="2:8" ht="15" customHeight="1" x14ac:dyDescent="0.2">
      <c r="B386" s="163"/>
      <c r="C386" s="159"/>
      <c r="D386" s="160"/>
      <c r="E386" s="160"/>
      <c r="F386" s="160"/>
      <c r="G386" s="160"/>
      <c r="H386" s="161"/>
    </row>
    <row r="387" spans="2:8" ht="15" customHeight="1" x14ac:dyDescent="0.2">
      <c r="B387" s="163"/>
      <c r="C387" s="159"/>
      <c r="D387" s="160"/>
      <c r="E387" s="160"/>
      <c r="F387" s="160"/>
      <c r="G387" s="160"/>
      <c r="H387" s="161"/>
    </row>
    <row r="388" spans="2:8" ht="15" customHeight="1" x14ac:dyDescent="0.2">
      <c r="B388" s="163"/>
      <c r="C388" s="159"/>
      <c r="D388" s="160"/>
      <c r="E388" s="160"/>
      <c r="F388" s="160"/>
      <c r="G388" s="160"/>
      <c r="H388" s="161"/>
    </row>
    <row r="389" spans="2:8" ht="15" customHeight="1" x14ac:dyDescent="0.2">
      <c r="B389" s="163"/>
      <c r="C389" s="159"/>
      <c r="D389" s="160"/>
      <c r="E389" s="160"/>
      <c r="F389" s="160"/>
      <c r="G389" s="160"/>
      <c r="H389" s="161"/>
    </row>
    <row r="390" spans="2:8" ht="15" customHeight="1" x14ac:dyDescent="0.2">
      <c r="B390" s="163"/>
      <c r="C390" s="159"/>
      <c r="D390" s="160"/>
      <c r="E390" s="160"/>
      <c r="F390" s="160"/>
      <c r="G390" s="160"/>
      <c r="H390" s="161"/>
    </row>
    <row r="391" spans="2:8" ht="15" customHeight="1" x14ac:dyDescent="0.2">
      <c r="B391" s="163"/>
      <c r="C391" s="159"/>
      <c r="D391" s="160"/>
      <c r="E391" s="160"/>
      <c r="F391" s="160"/>
      <c r="G391" s="160"/>
      <c r="H391" s="161"/>
    </row>
    <row r="392" spans="2:8" ht="15" customHeight="1" x14ac:dyDescent="0.2">
      <c r="B392" s="163"/>
      <c r="C392" s="159"/>
      <c r="D392" s="160"/>
      <c r="E392" s="160"/>
      <c r="F392" s="160"/>
      <c r="G392" s="160"/>
      <c r="H392" s="161"/>
    </row>
    <row r="393" spans="2:8" ht="15" customHeight="1" x14ac:dyDescent="0.2">
      <c r="B393" s="163"/>
      <c r="C393" s="159"/>
      <c r="D393" s="160"/>
      <c r="E393" s="160"/>
      <c r="F393" s="160"/>
      <c r="G393" s="160"/>
      <c r="H393" s="161"/>
    </row>
    <row r="394" spans="2:8" ht="15" customHeight="1" x14ac:dyDescent="0.2">
      <c r="B394" s="163"/>
      <c r="C394" s="159"/>
      <c r="D394" s="160"/>
      <c r="E394" s="160"/>
      <c r="F394" s="160"/>
      <c r="G394" s="160"/>
      <c r="H394" s="161"/>
    </row>
    <row r="395" spans="2:8" ht="15" customHeight="1" x14ac:dyDescent="0.2">
      <c r="B395" s="163"/>
      <c r="C395" s="159"/>
      <c r="D395" s="160"/>
      <c r="E395" s="160"/>
      <c r="F395" s="160"/>
      <c r="G395" s="160"/>
      <c r="H395" s="161"/>
    </row>
    <row r="396" spans="2:8" ht="15" customHeight="1" x14ac:dyDescent="0.2">
      <c r="B396" s="163"/>
      <c r="C396" s="159"/>
      <c r="D396" s="160"/>
      <c r="E396" s="160"/>
      <c r="F396" s="160"/>
      <c r="G396" s="160"/>
      <c r="H396" s="161"/>
    </row>
    <row r="397" spans="2:8" ht="15" customHeight="1" x14ac:dyDescent="0.2">
      <c r="B397" s="163"/>
      <c r="C397" s="159"/>
      <c r="D397" s="160"/>
      <c r="E397" s="160"/>
      <c r="F397" s="160"/>
      <c r="G397" s="160"/>
      <c r="H397" s="161"/>
    </row>
    <row r="398" spans="2:8" ht="15" customHeight="1" x14ac:dyDescent="0.2">
      <c r="B398" s="163"/>
      <c r="C398" s="159"/>
      <c r="D398" s="160"/>
      <c r="E398" s="160"/>
      <c r="F398" s="160"/>
      <c r="G398" s="160"/>
      <c r="H398" s="161"/>
    </row>
    <row r="399" spans="2:8" ht="15" customHeight="1" x14ac:dyDescent="0.2">
      <c r="B399" s="163"/>
      <c r="C399" s="159"/>
      <c r="D399" s="160"/>
      <c r="E399" s="160"/>
      <c r="F399" s="160"/>
      <c r="G399" s="160"/>
      <c r="H399" s="161"/>
    </row>
    <row r="400" spans="2:8" ht="15" customHeight="1" x14ac:dyDescent="0.2">
      <c r="B400" s="163"/>
      <c r="C400" s="159"/>
      <c r="D400" s="160"/>
      <c r="E400" s="160"/>
      <c r="F400" s="160"/>
      <c r="G400" s="160"/>
      <c r="H400" s="161"/>
    </row>
    <row r="401" spans="2:8" ht="15" customHeight="1" x14ac:dyDescent="0.2">
      <c r="B401" s="163"/>
      <c r="C401" s="159"/>
      <c r="D401" s="160"/>
      <c r="E401" s="160"/>
      <c r="F401" s="160"/>
      <c r="G401" s="160"/>
      <c r="H401" s="161"/>
    </row>
    <row r="402" spans="2:8" ht="15" customHeight="1" x14ac:dyDescent="0.2">
      <c r="B402" s="163"/>
      <c r="C402" s="159"/>
      <c r="D402" s="160"/>
      <c r="E402" s="160"/>
      <c r="F402" s="160"/>
      <c r="G402" s="160"/>
      <c r="H402" s="161"/>
    </row>
    <row r="403" spans="2:8" ht="15" customHeight="1" x14ac:dyDescent="0.2">
      <c r="B403" s="163"/>
      <c r="C403" s="159"/>
      <c r="D403" s="160"/>
      <c r="E403" s="160"/>
      <c r="F403" s="160"/>
      <c r="G403" s="160"/>
      <c r="H403" s="161"/>
    </row>
    <row r="404" spans="2:8" ht="15" customHeight="1" x14ac:dyDescent="0.2">
      <c r="B404" s="163"/>
      <c r="C404" s="159"/>
      <c r="D404" s="160"/>
      <c r="E404" s="160"/>
      <c r="F404" s="160"/>
      <c r="G404" s="160"/>
      <c r="H404" s="161"/>
    </row>
    <row r="405" spans="2:8" ht="15" customHeight="1" x14ac:dyDescent="0.2">
      <c r="B405" s="163"/>
      <c r="C405" s="159"/>
      <c r="D405" s="160"/>
      <c r="E405" s="160"/>
      <c r="F405" s="160"/>
      <c r="G405" s="160"/>
      <c r="H405" s="161"/>
    </row>
    <row r="406" spans="2:8" ht="15" customHeight="1" x14ac:dyDescent="0.2">
      <c r="B406" s="163"/>
      <c r="C406" s="159"/>
      <c r="D406" s="160"/>
      <c r="E406" s="160"/>
      <c r="F406" s="160"/>
      <c r="G406" s="160"/>
      <c r="H406" s="161"/>
    </row>
    <row r="407" spans="2:8" ht="15" customHeight="1" x14ac:dyDescent="0.2">
      <c r="B407" s="163"/>
      <c r="C407" s="159"/>
      <c r="D407" s="160"/>
      <c r="E407" s="160"/>
      <c r="F407" s="160"/>
      <c r="G407" s="160"/>
      <c r="H407" s="161"/>
    </row>
    <row r="408" spans="2:8" ht="15" customHeight="1" x14ac:dyDescent="0.2">
      <c r="B408" s="163"/>
      <c r="C408" s="159"/>
      <c r="D408" s="160"/>
      <c r="E408" s="160"/>
      <c r="F408" s="160"/>
      <c r="G408" s="160"/>
      <c r="H408" s="161"/>
    </row>
    <row r="409" spans="2:8" ht="15" customHeight="1" x14ac:dyDescent="0.2">
      <c r="B409" s="163"/>
      <c r="C409" s="159"/>
      <c r="D409" s="160"/>
      <c r="E409" s="160"/>
      <c r="F409" s="160"/>
      <c r="G409" s="160"/>
      <c r="H409" s="161"/>
    </row>
    <row r="410" spans="2:8" ht="15" customHeight="1" x14ac:dyDescent="0.2">
      <c r="B410" s="163"/>
      <c r="C410" s="159"/>
      <c r="D410" s="160"/>
      <c r="E410" s="160"/>
      <c r="F410" s="160"/>
      <c r="G410" s="160"/>
      <c r="H410" s="161"/>
    </row>
    <row r="411" spans="2:8" ht="15" customHeight="1" x14ac:dyDescent="0.2">
      <c r="B411" s="163"/>
      <c r="C411" s="159"/>
      <c r="D411" s="160"/>
      <c r="E411" s="160"/>
      <c r="F411" s="160"/>
      <c r="G411" s="160"/>
      <c r="H411" s="161"/>
    </row>
    <row r="412" spans="2:8" ht="15" customHeight="1" x14ac:dyDescent="0.2">
      <c r="B412" s="163"/>
      <c r="C412" s="159"/>
      <c r="D412" s="160"/>
      <c r="E412" s="160"/>
      <c r="F412" s="160"/>
      <c r="G412" s="160"/>
      <c r="H412" s="161"/>
    </row>
    <row r="413" spans="2:8" ht="15" customHeight="1" x14ac:dyDescent="0.2">
      <c r="B413" s="163"/>
      <c r="C413" s="159"/>
      <c r="D413" s="160"/>
      <c r="E413" s="160"/>
      <c r="F413" s="160"/>
      <c r="G413" s="160"/>
      <c r="H413" s="161"/>
    </row>
    <row r="414" spans="2:8" ht="15" customHeight="1" x14ac:dyDescent="0.2">
      <c r="B414" s="163"/>
      <c r="C414" s="159"/>
      <c r="D414" s="160"/>
      <c r="E414" s="160"/>
      <c r="F414" s="160"/>
      <c r="G414" s="160"/>
      <c r="H414" s="161"/>
    </row>
    <row r="415" spans="2:8" ht="15" customHeight="1" x14ac:dyDescent="0.2">
      <c r="B415" s="163"/>
      <c r="C415" s="159"/>
      <c r="D415" s="160"/>
      <c r="E415" s="160"/>
      <c r="F415" s="160"/>
      <c r="G415" s="160"/>
      <c r="H415" s="161"/>
    </row>
    <row r="416" spans="2:8" ht="15" customHeight="1" x14ac:dyDescent="0.2">
      <c r="B416" s="163"/>
      <c r="C416" s="159"/>
      <c r="D416" s="160"/>
      <c r="E416" s="160"/>
      <c r="F416" s="160"/>
      <c r="G416" s="160"/>
      <c r="H416" s="161"/>
    </row>
    <row r="417" spans="2:8" ht="15" customHeight="1" x14ac:dyDescent="0.2">
      <c r="B417" s="163"/>
      <c r="C417" s="159"/>
      <c r="D417" s="160"/>
      <c r="E417" s="160"/>
      <c r="F417" s="160"/>
      <c r="G417" s="160"/>
      <c r="H417" s="161"/>
    </row>
    <row r="418" spans="2:8" ht="15" customHeight="1" x14ac:dyDescent="0.2">
      <c r="B418" s="163"/>
      <c r="C418" s="159"/>
      <c r="D418" s="160"/>
      <c r="E418" s="160"/>
      <c r="F418" s="160"/>
      <c r="G418" s="160"/>
      <c r="H418" s="161"/>
    </row>
    <row r="419" spans="2:8" ht="15" customHeight="1" x14ac:dyDescent="0.2">
      <c r="B419" s="163"/>
      <c r="C419" s="159"/>
      <c r="D419" s="160"/>
      <c r="E419" s="160"/>
      <c r="F419" s="160"/>
      <c r="G419" s="160"/>
      <c r="H419" s="161"/>
    </row>
    <row r="420" spans="2:8" ht="15" customHeight="1" x14ac:dyDescent="0.2">
      <c r="B420" s="163"/>
      <c r="C420" s="159"/>
      <c r="D420" s="160"/>
      <c r="E420" s="160"/>
      <c r="F420" s="160"/>
      <c r="G420" s="160"/>
      <c r="H420" s="161"/>
    </row>
    <row r="421" spans="2:8" ht="15" customHeight="1" x14ac:dyDescent="0.2">
      <c r="B421" s="163"/>
      <c r="C421" s="159"/>
      <c r="D421" s="160"/>
      <c r="E421" s="160"/>
      <c r="F421" s="160"/>
      <c r="G421" s="160"/>
      <c r="H421" s="161"/>
    </row>
    <row r="422" spans="2:8" ht="15" customHeight="1" x14ac:dyDescent="0.2">
      <c r="B422" s="163"/>
      <c r="C422" s="159"/>
      <c r="D422" s="160"/>
      <c r="E422" s="160"/>
      <c r="F422" s="160"/>
      <c r="G422" s="160"/>
      <c r="H422" s="161"/>
    </row>
    <row r="423" spans="2:8" ht="15" customHeight="1" x14ac:dyDescent="0.2">
      <c r="B423" s="163"/>
      <c r="C423" s="159"/>
      <c r="D423" s="160"/>
      <c r="E423" s="160"/>
      <c r="F423" s="160"/>
      <c r="G423" s="160"/>
      <c r="H423" s="161"/>
    </row>
    <row r="424" spans="2:8" ht="15" customHeight="1" x14ac:dyDescent="0.2">
      <c r="B424" s="163"/>
      <c r="C424" s="159"/>
      <c r="D424" s="160"/>
      <c r="E424" s="160"/>
      <c r="F424" s="160"/>
      <c r="G424" s="160"/>
      <c r="H424" s="161"/>
    </row>
    <row r="425" spans="2:8" ht="15" customHeight="1" x14ac:dyDescent="0.2">
      <c r="B425" s="163"/>
      <c r="C425" s="159"/>
      <c r="D425" s="160"/>
      <c r="E425" s="160"/>
      <c r="F425" s="160"/>
      <c r="G425" s="160"/>
      <c r="H425" s="161"/>
    </row>
    <row r="426" spans="2:8" ht="15" customHeight="1" x14ac:dyDescent="0.2">
      <c r="B426" s="163"/>
      <c r="C426" s="159"/>
      <c r="D426" s="160"/>
      <c r="E426" s="160"/>
      <c r="F426" s="160"/>
      <c r="G426" s="160"/>
      <c r="H426" s="161"/>
    </row>
    <row r="427" spans="2:8" ht="15" customHeight="1" x14ac:dyDescent="0.2">
      <c r="B427" s="163"/>
      <c r="C427" s="159"/>
      <c r="D427" s="160"/>
      <c r="E427" s="160"/>
      <c r="F427" s="160"/>
      <c r="G427" s="160"/>
      <c r="H427" s="161"/>
    </row>
    <row r="428" spans="2:8" ht="15" customHeight="1" x14ac:dyDescent="0.2">
      <c r="B428" s="163"/>
      <c r="C428" s="159"/>
      <c r="D428" s="160"/>
      <c r="E428" s="160"/>
      <c r="F428" s="160"/>
      <c r="G428" s="160"/>
      <c r="H428" s="161"/>
    </row>
    <row r="429" spans="2:8" ht="15" customHeight="1" x14ac:dyDescent="0.2">
      <c r="B429" s="163"/>
      <c r="C429" s="159"/>
      <c r="D429" s="160"/>
      <c r="E429" s="160"/>
      <c r="F429" s="160"/>
      <c r="G429" s="160"/>
      <c r="H429" s="161"/>
    </row>
    <row r="430" spans="2:8" ht="15" customHeight="1" x14ac:dyDescent="0.2">
      <c r="B430" s="163"/>
      <c r="C430" s="159"/>
      <c r="D430" s="160"/>
      <c r="E430" s="160"/>
      <c r="F430" s="160"/>
      <c r="G430" s="160"/>
      <c r="H430" s="161"/>
    </row>
    <row r="431" spans="2:8" ht="15" customHeight="1" x14ac:dyDescent="0.2">
      <c r="B431" s="163"/>
      <c r="C431" s="159"/>
      <c r="D431" s="160"/>
      <c r="E431" s="160"/>
      <c r="F431" s="160"/>
      <c r="G431" s="160"/>
      <c r="H431" s="161"/>
    </row>
    <row r="432" spans="2:8" ht="15" customHeight="1" x14ac:dyDescent="0.2">
      <c r="B432" s="163"/>
      <c r="C432" s="159"/>
      <c r="D432" s="160"/>
      <c r="E432" s="160"/>
      <c r="F432" s="160"/>
      <c r="G432" s="160"/>
      <c r="H432" s="161"/>
    </row>
    <row r="433" spans="2:8" ht="15" customHeight="1" x14ac:dyDescent="0.2">
      <c r="B433" s="163"/>
      <c r="C433" s="159"/>
      <c r="D433" s="160"/>
      <c r="E433" s="160"/>
      <c r="F433" s="160"/>
      <c r="G433" s="160"/>
      <c r="H433" s="161"/>
    </row>
    <row r="434" spans="2:8" ht="15" customHeight="1" x14ac:dyDescent="0.2">
      <c r="B434" s="163"/>
      <c r="C434" s="159"/>
      <c r="D434" s="160"/>
      <c r="E434" s="160"/>
      <c r="F434" s="160"/>
      <c r="G434" s="160"/>
      <c r="H434" s="161"/>
    </row>
    <row r="435" spans="2:8" ht="15" customHeight="1" x14ac:dyDescent="0.2">
      <c r="B435" s="163"/>
      <c r="C435" s="159"/>
      <c r="D435" s="160"/>
      <c r="E435" s="160"/>
      <c r="F435" s="160"/>
      <c r="G435" s="160"/>
      <c r="H435" s="161"/>
    </row>
    <row r="436" spans="2:8" ht="15" customHeight="1" x14ac:dyDescent="0.2">
      <c r="B436" s="163"/>
      <c r="C436" s="159"/>
      <c r="D436" s="160"/>
      <c r="E436" s="160"/>
      <c r="F436" s="160"/>
      <c r="G436" s="160"/>
      <c r="H436" s="161"/>
    </row>
    <row r="437" spans="2:8" ht="15" customHeight="1" x14ac:dyDescent="0.2">
      <c r="B437" s="163"/>
      <c r="C437" s="159"/>
      <c r="D437" s="160"/>
      <c r="E437" s="160"/>
      <c r="F437" s="160"/>
      <c r="G437" s="160"/>
      <c r="H437" s="161"/>
    </row>
    <row r="438" spans="2:8" ht="15" customHeight="1" x14ac:dyDescent="0.2">
      <c r="B438" s="163"/>
      <c r="C438" s="159"/>
      <c r="D438" s="160"/>
      <c r="E438" s="160"/>
      <c r="F438" s="160"/>
      <c r="G438" s="160"/>
      <c r="H438" s="161"/>
    </row>
    <row r="439" spans="2:8" ht="15" customHeight="1" x14ac:dyDescent="0.2">
      <c r="B439" s="163"/>
      <c r="C439" s="159"/>
      <c r="D439" s="160"/>
      <c r="E439" s="160"/>
      <c r="F439" s="160"/>
      <c r="G439" s="160"/>
      <c r="H439" s="161"/>
    </row>
    <row r="440" spans="2:8" ht="15" customHeight="1" x14ac:dyDescent="0.2">
      <c r="B440" s="163"/>
      <c r="C440" s="159"/>
      <c r="D440" s="160"/>
      <c r="E440" s="160"/>
      <c r="F440" s="160"/>
      <c r="G440" s="160"/>
      <c r="H440" s="161"/>
    </row>
    <row r="441" spans="2:8" ht="15" customHeight="1" x14ac:dyDescent="0.2">
      <c r="B441" s="163"/>
      <c r="C441" s="159"/>
      <c r="D441" s="160"/>
      <c r="E441" s="160"/>
      <c r="F441" s="160"/>
      <c r="G441" s="160"/>
      <c r="H441" s="161"/>
    </row>
    <row r="442" spans="2:8" ht="15" customHeight="1" x14ac:dyDescent="0.2">
      <c r="B442" s="163"/>
      <c r="C442" s="159"/>
      <c r="D442" s="160"/>
      <c r="E442" s="160"/>
      <c r="F442" s="160"/>
      <c r="G442" s="160"/>
      <c r="H442" s="161"/>
    </row>
    <row r="443" spans="2:8" ht="15" customHeight="1" x14ac:dyDescent="0.2">
      <c r="B443" s="163"/>
      <c r="C443" s="159"/>
      <c r="D443" s="160"/>
      <c r="E443" s="160"/>
      <c r="F443" s="160"/>
      <c r="G443" s="160"/>
      <c r="H443" s="161"/>
    </row>
    <row r="444" spans="2:8" ht="15" customHeight="1" x14ac:dyDescent="0.2">
      <c r="B444" s="163"/>
      <c r="C444" s="159"/>
      <c r="D444" s="160"/>
      <c r="E444" s="160"/>
      <c r="F444" s="160"/>
      <c r="G444" s="160"/>
      <c r="H444" s="161"/>
    </row>
    <row r="445" spans="2:8" ht="15" customHeight="1" x14ac:dyDescent="0.2">
      <c r="B445" s="163"/>
      <c r="C445" s="159"/>
      <c r="D445" s="160"/>
      <c r="E445" s="160"/>
      <c r="F445" s="160"/>
      <c r="G445" s="160"/>
      <c r="H445" s="161"/>
    </row>
    <row r="446" spans="2:8" ht="15" customHeight="1" x14ac:dyDescent="0.2">
      <c r="B446" s="163"/>
      <c r="C446" s="159"/>
      <c r="D446" s="160"/>
      <c r="E446" s="160"/>
      <c r="F446" s="160"/>
      <c r="G446" s="160"/>
      <c r="H446" s="161"/>
    </row>
    <row r="447" spans="2:8" ht="15" customHeight="1" x14ac:dyDescent="0.2">
      <c r="B447" s="163"/>
      <c r="C447" s="159"/>
      <c r="D447" s="160"/>
      <c r="E447" s="160"/>
      <c r="F447" s="160"/>
      <c r="G447" s="160"/>
      <c r="H447" s="161"/>
    </row>
    <row r="448" spans="2:8" ht="15" customHeight="1" x14ac:dyDescent="0.2">
      <c r="B448" s="163"/>
      <c r="C448" s="159"/>
      <c r="D448" s="160"/>
      <c r="E448" s="160"/>
      <c r="F448" s="160"/>
      <c r="G448" s="160"/>
      <c r="H448" s="161"/>
    </row>
    <row r="449" spans="2:8" ht="15" customHeight="1" x14ac:dyDescent="0.2">
      <c r="B449" s="163"/>
      <c r="C449" s="159"/>
      <c r="D449" s="160"/>
      <c r="E449" s="160"/>
      <c r="F449" s="160"/>
      <c r="G449" s="160"/>
      <c r="H449" s="161"/>
    </row>
    <row r="450" spans="2:8" ht="15" customHeight="1" x14ac:dyDescent="0.2">
      <c r="B450" s="163"/>
      <c r="C450" s="159"/>
      <c r="D450" s="160"/>
      <c r="E450" s="160"/>
      <c r="F450" s="160"/>
      <c r="G450" s="160"/>
      <c r="H450" s="161"/>
    </row>
    <row r="451" spans="2:8" ht="15" customHeight="1" x14ac:dyDescent="0.2">
      <c r="B451" s="163"/>
      <c r="C451" s="159"/>
      <c r="D451" s="160"/>
      <c r="E451" s="160"/>
      <c r="F451" s="160"/>
      <c r="G451" s="160"/>
      <c r="H451" s="161"/>
    </row>
    <row r="452" spans="2:8" ht="15" customHeight="1" x14ac:dyDescent="0.2">
      <c r="B452" s="163"/>
      <c r="C452" s="159"/>
      <c r="D452" s="160"/>
      <c r="E452" s="160"/>
      <c r="F452" s="160"/>
      <c r="G452" s="160"/>
      <c r="H452" s="161"/>
    </row>
    <row r="453" spans="2:8" ht="15" customHeight="1" x14ac:dyDescent="0.2">
      <c r="B453" s="163"/>
      <c r="C453" s="159"/>
      <c r="D453" s="160"/>
      <c r="E453" s="160"/>
      <c r="F453" s="160"/>
      <c r="G453" s="160"/>
      <c r="H453" s="161"/>
    </row>
    <row r="454" spans="2:8" ht="15" customHeight="1" x14ac:dyDescent="0.2">
      <c r="B454" s="163"/>
      <c r="C454" s="159"/>
      <c r="D454" s="160"/>
      <c r="E454" s="160"/>
      <c r="F454" s="160"/>
      <c r="G454" s="160"/>
      <c r="H454" s="161"/>
    </row>
    <row r="455" spans="2:8" ht="15" customHeight="1" x14ac:dyDescent="0.2">
      <c r="B455" s="163"/>
      <c r="C455" s="159"/>
      <c r="D455" s="160"/>
      <c r="E455" s="160"/>
      <c r="F455" s="160"/>
      <c r="G455" s="160"/>
      <c r="H455" s="161"/>
    </row>
    <row r="456" spans="2:8" ht="15" customHeight="1" x14ac:dyDescent="0.2">
      <c r="B456" s="163"/>
      <c r="C456" s="159"/>
      <c r="D456" s="160"/>
      <c r="E456" s="160"/>
      <c r="F456" s="160"/>
      <c r="G456" s="160"/>
      <c r="H456" s="161"/>
    </row>
    <row r="457" spans="2:8" ht="15" customHeight="1" x14ac:dyDescent="0.2">
      <c r="B457" s="163"/>
      <c r="C457" s="159"/>
      <c r="D457" s="160"/>
      <c r="E457" s="160"/>
      <c r="F457" s="160"/>
      <c r="G457" s="160"/>
      <c r="H457" s="161"/>
    </row>
    <row r="458" spans="2:8" ht="15" customHeight="1" x14ac:dyDescent="0.2">
      <c r="B458" s="163"/>
      <c r="C458" s="159"/>
      <c r="D458" s="160"/>
      <c r="E458" s="160"/>
      <c r="F458" s="160"/>
      <c r="G458" s="160"/>
      <c r="H458" s="161"/>
    </row>
    <row r="459" spans="2:8" ht="15" customHeight="1" x14ac:dyDescent="0.2">
      <c r="B459" s="163"/>
      <c r="C459" s="159"/>
      <c r="D459" s="160"/>
      <c r="E459" s="160"/>
      <c r="F459" s="160"/>
      <c r="G459" s="160"/>
      <c r="H459" s="161"/>
    </row>
    <row r="460" spans="2:8" ht="15" customHeight="1" x14ac:dyDescent="0.2">
      <c r="B460" s="163"/>
      <c r="C460" s="159"/>
      <c r="D460" s="160"/>
      <c r="E460" s="160"/>
      <c r="F460" s="160"/>
      <c r="G460" s="160"/>
      <c r="H460" s="161"/>
    </row>
    <row r="461" spans="2:8" ht="15" customHeight="1" x14ac:dyDescent="0.2">
      <c r="B461" s="163"/>
      <c r="C461" s="159"/>
      <c r="D461" s="160"/>
      <c r="E461" s="160"/>
      <c r="F461" s="160"/>
      <c r="G461" s="160"/>
      <c r="H461" s="161"/>
    </row>
    <row r="462" spans="2:8" ht="15" customHeight="1" x14ac:dyDescent="0.2">
      <c r="B462" s="163"/>
      <c r="C462" s="159"/>
      <c r="D462" s="160"/>
      <c r="E462" s="160"/>
      <c r="F462" s="160"/>
      <c r="G462" s="160"/>
      <c r="H462" s="161"/>
    </row>
    <row r="463" spans="2:8" ht="15" customHeight="1" x14ac:dyDescent="0.2">
      <c r="B463" s="163"/>
      <c r="C463" s="159"/>
      <c r="D463" s="160"/>
      <c r="E463" s="160"/>
      <c r="F463" s="160"/>
      <c r="G463" s="160"/>
      <c r="H463" s="161"/>
    </row>
    <row r="464" spans="2:8" ht="15" customHeight="1" x14ac:dyDescent="0.2">
      <c r="B464" s="163"/>
      <c r="C464" s="159"/>
      <c r="D464" s="160"/>
      <c r="E464" s="160"/>
      <c r="F464" s="160"/>
      <c r="G464" s="160"/>
      <c r="H464" s="161"/>
    </row>
    <row r="465" spans="2:8" ht="15" customHeight="1" x14ac:dyDescent="0.2">
      <c r="B465" s="163"/>
      <c r="C465" s="159"/>
      <c r="D465" s="160"/>
      <c r="E465" s="160"/>
      <c r="F465" s="160"/>
      <c r="G465" s="160"/>
      <c r="H465" s="161"/>
    </row>
    <row r="466" spans="2:8" ht="15" customHeight="1" x14ac:dyDescent="0.2">
      <c r="B466" s="163"/>
      <c r="C466" s="159"/>
      <c r="D466" s="160"/>
      <c r="E466" s="160"/>
      <c r="F466" s="160"/>
      <c r="G466" s="160"/>
      <c r="H466" s="161"/>
    </row>
    <row r="467" spans="2:8" ht="15" customHeight="1" x14ac:dyDescent="0.2">
      <c r="B467" s="163"/>
      <c r="C467" s="159"/>
      <c r="D467" s="160"/>
      <c r="E467" s="160"/>
      <c r="F467" s="160"/>
      <c r="G467" s="160"/>
      <c r="H467" s="161"/>
    </row>
    <row r="468" spans="2:8" ht="15" customHeight="1" x14ac:dyDescent="0.2">
      <c r="B468" s="163"/>
      <c r="C468" s="159"/>
      <c r="D468" s="160"/>
      <c r="E468" s="160"/>
      <c r="F468" s="160"/>
      <c r="G468" s="160"/>
      <c r="H468" s="161"/>
    </row>
    <row r="469" spans="2:8" ht="15" customHeight="1" x14ac:dyDescent="0.2">
      <c r="B469" s="163"/>
      <c r="C469" s="159"/>
      <c r="D469" s="160"/>
      <c r="E469" s="160"/>
      <c r="F469" s="160"/>
      <c r="G469" s="160"/>
      <c r="H469" s="161"/>
    </row>
    <row r="470" spans="2:8" ht="15" customHeight="1" x14ac:dyDescent="0.2">
      <c r="B470" s="163"/>
      <c r="C470" s="159"/>
      <c r="D470" s="160"/>
      <c r="E470" s="160"/>
      <c r="F470" s="160"/>
      <c r="G470" s="160"/>
      <c r="H470" s="161"/>
    </row>
    <row r="471" spans="2:8" ht="15" customHeight="1" x14ac:dyDescent="0.2">
      <c r="B471" s="163"/>
      <c r="C471" s="159"/>
      <c r="D471" s="160"/>
      <c r="E471" s="160"/>
      <c r="F471" s="160"/>
      <c r="G471" s="160"/>
      <c r="H471" s="161"/>
    </row>
    <row r="472" spans="2:8" ht="15" customHeight="1" x14ac:dyDescent="0.2">
      <c r="B472" s="163"/>
      <c r="C472" s="159"/>
      <c r="D472" s="160"/>
      <c r="E472" s="160"/>
      <c r="F472" s="160"/>
      <c r="G472" s="160"/>
      <c r="H472" s="161"/>
    </row>
    <row r="473" spans="2:8" ht="15" customHeight="1" x14ac:dyDescent="0.2">
      <c r="B473" s="163"/>
      <c r="C473" s="159"/>
      <c r="D473" s="160"/>
      <c r="E473" s="160"/>
      <c r="F473" s="160"/>
      <c r="G473" s="160"/>
      <c r="H473" s="161"/>
    </row>
    <row r="474" spans="2:8" ht="15" customHeight="1" x14ac:dyDescent="0.2">
      <c r="B474" s="163"/>
      <c r="C474" s="159"/>
      <c r="D474" s="160"/>
      <c r="E474" s="160"/>
      <c r="F474" s="160"/>
      <c r="G474" s="160"/>
      <c r="H474" s="161"/>
    </row>
    <row r="475" spans="2:8" ht="15" customHeight="1" x14ac:dyDescent="0.2">
      <c r="B475" s="163"/>
      <c r="C475" s="159"/>
      <c r="D475" s="160"/>
      <c r="E475" s="160"/>
      <c r="F475" s="160"/>
      <c r="G475" s="160"/>
      <c r="H475" s="161"/>
    </row>
    <row r="476" spans="2:8" ht="15" customHeight="1" x14ac:dyDescent="0.2">
      <c r="B476" s="163"/>
      <c r="C476" s="159"/>
      <c r="D476" s="160"/>
      <c r="E476" s="160"/>
      <c r="F476" s="160"/>
      <c r="G476" s="160"/>
      <c r="H476" s="161"/>
    </row>
    <row r="477" spans="2:8" ht="15" customHeight="1" x14ac:dyDescent="0.2">
      <c r="B477" s="163"/>
      <c r="C477" s="159"/>
      <c r="D477" s="160"/>
      <c r="E477" s="160"/>
      <c r="F477" s="160"/>
      <c r="G477" s="160"/>
      <c r="H477" s="161"/>
    </row>
    <row r="478" spans="2:8" ht="15" customHeight="1" x14ac:dyDescent="0.2">
      <c r="B478" s="163"/>
      <c r="C478" s="159"/>
      <c r="D478" s="160"/>
      <c r="E478" s="160"/>
      <c r="F478" s="160"/>
      <c r="G478" s="160"/>
      <c r="H478" s="161"/>
    </row>
    <row r="479" spans="2:8" ht="15" customHeight="1" x14ac:dyDescent="0.2">
      <c r="B479" s="163"/>
      <c r="C479" s="159"/>
      <c r="D479" s="160"/>
      <c r="E479" s="160"/>
      <c r="F479" s="160"/>
      <c r="G479" s="160"/>
      <c r="H479" s="161"/>
    </row>
    <row r="480" spans="2:8" ht="15" customHeight="1" x14ac:dyDescent="0.2">
      <c r="B480" s="163"/>
      <c r="C480" s="159"/>
      <c r="D480" s="160"/>
      <c r="E480" s="160"/>
      <c r="F480" s="160"/>
      <c r="G480" s="160"/>
      <c r="H480" s="161"/>
    </row>
    <row r="481" spans="2:8" ht="15" customHeight="1" x14ac:dyDescent="0.2">
      <c r="B481" s="163"/>
      <c r="C481" s="159"/>
      <c r="D481" s="160"/>
      <c r="E481" s="160"/>
      <c r="F481" s="160"/>
      <c r="G481" s="160"/>
      <c r="H481" s="161"/>
    </row>
    <row r="482" spans="2:8" ht="15" customHeight="1" x14ac:dyDescent="0.2">
      <c r="B482" s="163"/>
      <c r="C482" s="159"/>
      <c r="D482" s="160"/>
      <c r="E482" s="160"/>
      <c r="F482" s="160"/>
      <c r="G482" s="160"/>
      <c r="H482" s="161"/>
    </row>
    <row r="483" spans="2:8" ht="15" customHeight="1" x14ac:dyDescent="0.2">
      <c r="B483" s="163"/>
      <c r="C483" s="159"/>
      <c r="D483" s="160"/>
      <c r="E483" s="160"/>
      <c r="F483" s="160"/>
      <c r="G483" s="160"/>
      <c r="H483" s="161"/>
    </row>
    <row r="484" spans="2:8" ht="15" customHeight="1" x14ac:dyDescent="0.2">
      <c r="B484" s="163"/>
      <c r="C484" s="159"/>
      <c r="D484" s="160"/>
      <c r="E484" s="160"/>
      <c r="F484" s="160"/>
      <c r="G484" s="160"/>
      <c r="H484" s="161"/>
    </row>
    <row r="485" spans="2:8" ht="15" customHeight="1" x14ac:dyDescent="0.2">
      <c r="B485" s="163"/>
      <c r="C485" s="159"/>
      <c r="D485" s="160"/>
      <c r="E485" s="160"/>
      <c r="F485" s="160"/>
      <c r="G485" s="160"/>
      <c r="H485" s="161"/>
    </row>
    <row r="486" spans="2:8" ht="15" customHeight="1" x14ac:dyDescent="0.2">
      <c r="B486" s="163"/>
      <c r="C486" s="159"/>
      <c r="D486" s="160"/>
      <c r="E486" s="160"/>
      <c r="F486" s="160"/>
      <c r="G486" s="160"/>
      <c r="H486" s="161"/>
    </row>
    <row r="487" spans="2:8" ht="15" customHeight="1" x14ac:dyDescent="0.2">
      <c r="B487" s="163"/>
      <c r="C487" s="159"/>
      <c r="D487" s="160"/>
      <c r="E487" s="160"/>
      <c r="F487" s="160"/>
      <c r="G487" s="160"/>
      <c r="H487" s="161"/>
    </row>
    <row r="488" spans="2:8" ht="15" customHeight="1" x14ac:dyDescent="0.2">
      <c r="B488" s="163"/>
      <c r="C488" s="159"/>
      <c r="D488" s="160"/>
      <c r="E488" s="160"/>
      <c r="F488" s="160"/>
      <c r="G488" s="160"/>
      <c r="H488" s="161"/>
    </row>
    <row r="489" spans="2:8" ht="15" customHeight="1" x14ac:dyDescent="0.2">
      <c r="B489" s="163"/>
      <c r="C489" s="159"/>
      <c r="D489" s="160"/>
      <c r="E489" s="160"/>
      <c r="F489" s="160"/>
      <c r="G489" s="160"/>
      <c r="H489" s="161"/>
    </row>
    <row r="490" spans="2:8" ht="15" customHeight="1" x14ac:dyDescent="0.2">
      <c r="B490" s="163"/>
      <c r="C490" s="159"/>
      <c r="D490" s="160"/>
      <c r="E490" s="160"/>
      <c r="F490" s="160"/>
      <c r="G490" s="160"/>
      <c r="H490" s="161"/>
    </row>
    <row r="491" spans="2:8" ht="15" customHeight="1" x14ac:dyDescent="0.2">
      <c r="B491" s="163"/>
      <c r="C491" s="159"/>
      <c r="D491" s="160"/>
      <c r="E491" s="160"/>
      <c r="F491" s="160"/>
      <c r="G491" s="160"/>
      <c r="H491" s="161"/>
    </row>
    <row r="492" spans="2:8" ht="15" customHeight="1" x14ac:dyDescent="0.2">
      <c r="B492" s="163"/>
      <c r="C492" s="159"/>
      <c r="D492" s="160"/>
      <c r="E492" s="160"/>
      <c r="F492" s="160"/>
      <c r="G492" s="160"/>
      <c r="H492" s="161"/>
    </row>
    <row r="493" spans="2:8" ht="15" customHeight="1" x14ac:dyDescent="0.2">
      <c r="B493" s="163"/>
      <c r="C493" s="159"/>
      <c r="D493" s="160"/>
      <c r="E493" s="160"/>
      <c r="F493" s="160"/>
      <c r="G493" s="160"/>
      <c r="H493" s="161"/>
    </row>
    <row r="494" spans="2:8" ht="15" customHeight="1" x14ac:dyDescent="0.2">
      <c r="B494" s="163"/>
      <c r="C494" s="159"/>
      <c r="D494" s="160"/>
      <c r="E494" s="160"/>
      <c r="F494" s="160"/>
      <c r="G494" s="160"/>
      <c r="H494" s="161"/>
    </row>
    <row r="495" spans="2:8" ht="15" customHeight="1" x14ac:dyDescent="0.2">
      <c r="B495" s="163"/>
      <c r="C495" s="159"/>
      <c r="D495" s="160"/>
      <c r="E495" s="160"/>
      <c r="F495" s="160"/>
      <c r="G495" s="160"/>
      <c r="H495" s="161"/>
    </row>
    <row r="496" spans="2:8" ht="15" customHeight="1" x14ac:dyDescent="0.2">
      <c r="B496" s="163"/>
      <c r="C496" s="159"/>
      <c r="D496" s="160"/>
      <c r="E496" s="160"/>
      <c r="F496" s="160"/>
      <c r="G496" s="160"/>
      <c r="H496" s="161"/>
    </row>
    <row r="497" spans="2:8" ht="15" customHeight="1" x14ac:dyDescent="0.2">
      <c r="B497" s="163"/>
      <c r="C497" s="159"/>
      <c r="D497" s="160"/>
      <c r="E497" s="160"/>
      <c r="F497" s="160"/>
      <c r="G497" s="160"/>
      <c r="H497" s="161"/>
    </row>
    <row r="498" spans="2:8" ht="15" customHeight="1" x14ac:dyDescent="0.2">
      <c r="B498" s="163"/>
      <c r="C498" s="159"/>
      <c r="D498" s="160"/>
      <c r="E498" s="160"/>
      <c r="F498" s="160"/>
      <c r="G498" s="160"/>
      <c r="H498" s="161"/>
    </row>
    <row r="499" spans="2:8" ht="15" customHeight="1" x14ac:dyDescent="0.2">
      <c r="B499" s="163"/>
      <c r="C499" s="159"/>
      <c r="D499" s="160"/>
      <c r="E499" s="160"/>
      <c r="F499" s="160"/>
      <c r="G499" s="160"/>
      <c r="H499" s="161"/>
    </row>
    <row r="500" spans="2:8" ht="15" customHeight="1" x14ac:dyDescent="0.2">
      <c r="B500" s="163"/>
      <c r="C500" s="159"/>
      <c r="D500" s="160"/>
      <c r="E500" s="160"/>
      <c r="F500" s="160"/>
      <c r="G500" s="160"/>
      <c r="H500" s="161"/>
    </row>
    <row r="501" spans="2:8" ht="15" customHeight="1" x14ac:dyDescent="0.2">
      <c r="B501" s="163"/>
      <c r="C501" s="159"/>
      <c r="D501" s="160"/>
      <c r="E501" s="160"/>
      <c r="F501" s="160"/>
      <c r="G501" s="160"/>
      <c r="H501" s="161"/>
    </row>
    <row r="502" spans="2:8" ht="15" customHeight="1" x14ac:dyDescent="0.2">
      <c r="B502" s="163"/>
      <c r="C502" s="159"/>
      <c r="D502" s="160"/>
      <c r="E502" s="160"/>
      <c r="F502" s="160"/>
      <c r="G502" s="160"/>
      <c r="H502" s="161"/>
    </row>
    <row r="503" spans="2:8" ht="15" customHeight="1" x14ac:dyDescent="0.2">
      <c r="B503" s="163"/>
      <c r="C503" s="159"/>
      <c r="D503" s="160"/>
      <c r="E503" s="160"/>
      <c r="F503" s="160"/>
      <c r="G503" s="160"/>
      <c r="H503" s="161"/>
    </row>
    <row r="504" spans="2:8" ht="15" customHeight="1" x14ac:dyDescent="0.2">
      <c r="B504" s="163"/>
      <c r="C504" s="159"/>
      <c r="D504" s="160"/>
      <c r="E504" s="160"/>
      <c r="F504" s="160"/>
      <c r="G504" s="160"/>
      <c r="H504" s="161"/>
    </row>
    <row r="505" spans="2:8" ht="15" customHeight="1" x14ac:dyDescent="0.2">
      <c r="B505" s="163"/>
      <c r="C505" s="159"/>
      <c r="D505" s="160"/>
      <c r="E505" s="160"/>
      <c r="F505" s="160"/>
      <c r="G505" s="160"/>
      <c r="H505" s="161"/>
    </row>
    <row r="506" spans="2:8" ht="15" customHeight="1" x14ac:dyDescent="0.2">
      <c r="B506" s="163"/>
      <c r="C506" s="159"/>
      <c r="D506" s="160"/>
      <c r="E506" s="160"/>
      <c r="F506" s="160"/>
      <c r="G506" s="160"/>
      <c r="H506" s="161"/>
    </row>
    <row r="507" spans="2:8" ht="15" customHeight="1" x14ac:dyDescent="0.2">
      <c r="B507" s="163"/>
      <c r="C507" s="159"/>
      <c r="D507" s="160"/>
      <c r="E507" s="160"/>
      <c r="F507" s="160"/>
      <c r="G507" s="160"/>
      <c r="H507" s="161"/>
    </row>
    <row r="508" spans="2:8" ht="15" customHeight="1" x14ac:dyDescent="0.2">
      <c r="B508" s="163"/>
      <c r="C508" s="159"/>
      <c r="D508" s="160"/>
      <c r="E508" s="160"/>
      <c r="F508" s="160"/>
      <c r="G508" s="160"/>
      <c r="H508" s="161"/>
    </row>
    <row r="509" spans="2:8" ht="15" customHeight="1" x14ac:dyDescent="0.2">
      <c r="B509" s="163"/>
      <c r="C509" s="159"/>
      <c r="D509" s="160"/>
      <c r="E509" s="160"/>
      <c r="F509" s="160"/>
      <c r="G509" s="160"/>
      <c r="H509" s="161"/>
    </row>
    <row r="510" spans="2:8" ht="15" customHeight="1" x14ac:dyDescent="0.2">
      <c r="B510" s="163"/>
      <c r="C510" s="159"/>
      <c r="D510" s="160"/>
      <c r="E510" s="160"/>
      <c r="F510" s="160"/>
      <c r="G510" s="160"/>
      <c r="H510" s="161"/>
    </row>
    <row r="511" spans="2:8" ht="15" customHeight="1" x14ac:dyDescent="0.2">
      <c r="B511" s="163"/>
      <c r="C511" s="159"/>
      <c r="D511" s="160"/>
      <c r="E511" s="160"/>
      <c r="F511" s="160"/>
      <c r="G511" s="160"/>
      <c r="H511" s="161"/>
    </row>
    <row r="512" spans="2:8" ht="15" customHeight="1" x14ac:dyDescent="0.2">
      <c r="B512" s="163"/>
      <c r="C512" s="159"/>
      <c r="D512" s="160"/>
      <c r="E512" s="160"/>
      <c r="F512" s="160"/>
      <c r="G512" s="160"/>
      <c r="H512" s="161"/>
    </row>
    <row r="513" spans="2:8" ht="15" customHeight="1" x14ac:dyDescent="0.2">
      <c r="B513" s="163"/>
      <c r="C513" s="159"/>
      <c r="D513" s="160"/>
      <c r="E513" s="160"/>
      <c r="F513" s="160"/>
      <c r="G513" s="160"/>
      <c r="H513" s="161"/>
    </row>
    <row r="514" spans="2:8" ht="15" customHeight="1" x14ac:dyDescent="0.2">
      <c r="B514" s="163"/>
      <c r="C514" s="159"/>
      <c r="D514" s="160"/>
      <c r="E514" s="160"/>
      <c r="F514" s="160"/>
      <c r="G514" s="160"/>
      <c r="H514" s="161"/>
    </row>
    <row r="515" spans="2:8" ht="15" customHeight="1" x14ac:dyDescent="0.2">
      <c r="B515" s="163"/>
      <c r="C515" s="159"/>
      <c r="D515" s="160"/>
      <c r="E515" s="160"/>
      <c r="F515" s="160"/>
      <c r="G515" s="160"/>
      <c r="H515" s="161"/>
    </row>
    <row r="516" spans="2:8" ht="15" customHeight="1" x14ac:dyDescent="0.2">
      <c r="B516" s="163"/>
      <c r="C516" s="159"/>
      <c r="D516" s="160"/>
      <c r="E516" s="160"/>
      <c r="F516" s="160"/>
      <c r="G516" s="160"/>
      <c r="H516" s="161"/>
    </row>
    <row r="517" spans="2:8" ht="15" customHeight="1" x14ac:dyDescent="0.2">
      <c r="B517" s="163"/>
      <c r="C517" s="159"/>
      <c r="D517" s="160"/>
      <c r="E517" s="160"/>
      <c r="F517" s="160"/>
      <c r="G517" s="160"/>
      <c r="H517" s="161"/>
    </row>
    <row r="518" spans="2:8" ht="15" customHeight="1" x14ac:dyDescent="0.2">
      <c r="B518" s="163"/>
      <c r="C518" s="159"/>
      <c r="D518" s="160"/>
      <c r="E518" s="160"/>
      <c r="F518" s="160"/>
      <c r="G518" s="160"/>
      <c r="H518" s="161"/>
    </row>
    <row r="519" spans="2:8" ht="15" customHeight="1" x14ac:dyDescent="0.2">
      <c r="B519" s="163"/>
      <c r="C519" s="159"/>
      <c r="D519" s="160"/>
      <c r="E519" s="160"/>
      <c r="F519" s="160"/>
      <c r="G519" s="160"/>
      <c r="H519" s="161"/>
    </row>
    <row r="520" spans="2:8" ht="15" customHeight="1" x14ac:dyDescent="0.2">
      <c r="B520" s="163"/>
      <c r="C520" s="159"/>
      <c r="D520" s="160"/>
      <c r="E520" s="160"/>
      <c r="F520" s="160"/>
      <c r="G520" s="160"/>
      <c r="H520" s="161"/>
    </row>
    <row r="521" spans="2:8" ht="15" customHeight="1" x14ac:dyDescent="0.2">
      <c r="B521" s="163"/>
      <c r="C521" s="159"/>
      <c r="D521" s="160"/>
      <c r="E521" s="160"/>
      <c r="F521" s="160"/>
      <c r="G521" s="160"/>
      <c r="H521" s="161"/>
    </row>
    <row r="522" spans="2:8" ht="15" customHeight="1" x14ac:dyDescent="0.2">
      <c r="B522" s="163"/>
      <c r="C522" s="159"/>
      <c r="D522" s="160"/>
      <c r="E522" s="160"/>
      <c r="F522" s="160"/>
      <c r="G522" s="160"/>
      <c r="H522" s="161"/>
    </row>
    <row r="523" spans="2:8" ht="15" customHeight="1" x14ac:dyDescent="0.2">
      <c r="B523" s="163"/>
      <c r="C523" s="159"/>
      <c r="D523" s="160"/>
      <c r="E523" s="160"/>
      <c r="F523" s="160"/>
      <c r="G523" s="160"/>
      <c r="H523" s="161"/>
    </row>
    <row r="524" spans="2:8" ht="15" customHeight="1" x14ac:dyDescent="0.2">
      <c r="B524" s="163"/>
      <c r="C524" s="159"/>
      <c r="D524" s="160"/>
      <c r="E524" s="160"/>
      <c r="F524" s="160"/>
      <c r="G524" s="160"/>
      <c r="H524" s="161"/>
    </row>
    <row r="525" spans="2:8" ht="15" customHeight="1" x14ac:dyDescent="0.2">
      <c r="B525" s="163"/>
      <c r="C525" s="159"/>
      <c r="D525" s="160"/>
      <c r="E525" s="160"/>
      <c r="F525" s="160"/>
      <c r="G525" s="160"/>
      <c r="H525" s="161"/>
    </row>
    <row r="526" spans="2:8" ht="15" customHeight="1" x14ac:dyDescent="0.2">
      <c r="B526" s="163"/>
      <c r="C526" s="159"/>
      <c r="D526" s="160"/>
      <c r="E526" s="160"/>
      <c r="F526" s="160"/>
      <c r="G526" s="160"/>
      <c r="H526" s="161"/>
    </row>
    <row r="527" spans="2:8" ht="15" customHeight="1" x14ac:dyDescent="0.2">
      <c r="B527" s="163"/>
      <c r="C527" s="159"/>
      <c r="D527" s="160"/>
      <c r="E527" s="160"/>
      <c r="F527" s="160"/>
      <c r="G527" s="160"/>
      <c r="H527" s="161"/>
    </row>
    <row r="528" spans="2:8" ht="15" customHeight="1" x14ac:dyDescent="0.2">
      <c r="B528" s="163"/>
      <c r="C528" s="159"/>
      <c r="D528" s="160"/>
      <c r="E528" s="160"/>
      <c r="F528" s="160"/>
      <c r="G528" s="160"/>
      <c r="H528" s="161"/>
    </row>
    <row r="529" spans="2:8" ht="15" customHeight="1" x14ac:dyDescent="0.2">
      <c r="B529" s="163"/>
      <c r="C529" s="159"/>
      <c r="D529" s="160"/>
      <c r="E529" s="160"/>
      <c r="F529" s="160"/>
      <c r="G529" s="160"/>
      <c r="H529" s="161"/>
    </row>
    <row r="530" spans="2:8" ht="15" customHeight="1" x14ac:dyDescent="0.2">
      <c r="B530" s="163"/>
      <c r="C530" s="159"/>
      <c r="D530" s="160"/>
      <c r="E530" s="160"/>
      <c r="F530" s="160"/>
      <c r="G530" s="160"/>
      <c r="H530" s="161"/>
    </row>
    <row r="531" spans="2:8" ht="15" customHeight="1" x14ac:dyDescent="0.2">
      <c r="B531" s="163"/>
      <c r="C531" s="159"/>
      <c r="D531" s="160"/>
      <c r="E531" s="160"/>
      <c r="F531" s="160"/>
      <c r="G531" s="160"/>
      <c r="H531" s="161"/>
    </row>
    <row r="532" spans="2:8" ht="15" customHeight="1" x14ac:dyDescent="0.2">
      <c r="B532" s="163"/>
      <c r="C532" s="159"/>
      <c r="D532" s="160"/>
      <c r="E532" s="160"/>
      <c r="F532" s="160"/>
      <c r="G532" s="160"/>
      <c r="H532" s="161"/>
    </row>
    <row r="533" spans="2:8" ht="15" customHeight="1" x14ac:dyDescent="0.2">
      <c r="B533" s="163"/>
      <c r="C533" s="159"/>
      <c r="D533" s="160"/>
      <c r="E533" s="160"/>
      <c r="F533" s="160"/>
      <c r="G533" s="160"/>
      <c r="H533" s="161"/>
    </row>
    <row r="534" spans="2:8" ht="15" customHeight="1" x14ac:dyDescent="0.2">
      <c r="B534" s="163"/>
      <c r="C534" s="159"/>
      <c r="D534" s="160"/>
      <c r="E534" s="160"/>
      <c r="F534" s="160"/>
      <c r="G534" s="160"/>
      <c r="H534" s="161"/>
    </row>
    <row r="535" spans="2:8" ht="15" customHeight="1" x14ac:dyDescent="0.2">
      <c r="B535" s="163"/>
      <c r="C535" s="159"/>
      <c r="D535" s="160"/>
      <c r="E535" s="160"/>
      <c r="F535" s="160"/>
      <c r="G535" s="160"/>
      <c r="H535" s="161"/>
    </row>
    <row r="536" spans="2:8" ht="15" customHeight="1" x14ac:dyDescent="0.2">
      <c r="B536" s="163"/>
      <c r="C536" s="159"/>
      <c r="D536" s="160"/>
      <c r="E536" s="160"/>
      <c r="F536" s="160"/>
      <c r="G536" s="160"/>
      <c r="H536" s="161"/>
    </row>
    <row r="537" spans="2:8" ht="15" customHeight="1" x14ac:dyDescent="0.2">
      <c r="B537" s="163"/>
      <c r="C537" s="159"/>
      <c r="D537" s="160"/>
      <c r="E537" s="160"/>
      <c r="F537" s="160"/>
      <c r="G537" s="160"/>
      <c r="H537" s="161"/>
    </row>
    <row r="538" spans="2:8" ht="15" customHeight="1" x14ac:dyDescent="0.2">
      <c r="B538" s="163"/>
      <c r="C538" s="159"/>
      <c r="D538" s="160"/>
      <c r="E538" s="160"/>
      <c r="F538" s="160"/>
      <c r="G538" s="160"/>
      <c r="H538" s="161"/>
    </row>
    <row r="539" spans="2:8" ht="15" customHeight="1" x14ac:dyDescent="0.2">
      <c r="B539" s="163"/>
      <c r="C539" s="159"/>
      <c r="D539" s="160"/>
      <c r="E539" s="160"/>
      <c r="F539" s="160"/>
      <c r="G539" s="160"/>
      <c r="H539" s="161"/>
    </row>
    <row r="540" spans="2:8" ht="15" customHeight="1" x14ac:dyDescent="0.2">
      <c r="B540" s="163"/>
      <c r="C540" s="159"/>
      <c r="D540" s="160"/>
      <c r="E540" s="160"/>
      <c r="F540" s="160"/>
      <c r="G540" s="160"/>
      <c r="H540" s="161"/>
    </row>
    <row r="541" spans="2:8" ht="15" customHeight="1" x14ac:dyDescent="0.2">
      <c r="B541" s="163"/>
      <c r="C541" s="159"/>
      <c r="D541" s="160"/>
      <c r="E541" s="160"/>
      <c r="F541" s="160"/>
      <c r="G541" s="160"/>
      <c r="H541" s="161"/>
    </row>
    <row r="542" spans="2:8" ht="15" customHeight="1" x14ac:dyDescent="0.2">
      <c r="B542" s="163"/>
      <c r="C542" s="159"/>
      <c r="D542" s="160"/>
      <c r="E542" s="160"/>
      <c r="F542" s="160"/>
      <c r="G542" s="160"/>
      <c r="H542" s="161"/>
    </row>
    <row r="543" spans="2:8" ht="15" customHeight="1" x14ac:dyDescent="0.2">
      <c r="B543" s="163"/>
      <c r="C543" s="159"/>
      <c r="D543" s="160"/>
      <c r="E543" s="160"/>
      <c r="F543" s="160"/>
      <c r="G543" s="160"/>
      <c r="H543" s="161"/>
    </row>
    <row r="544" spans="2:8" ht="15" customHeight="1" x14ac:dyDescent="0.2">
      <c r="B544" s="163"/>
      <c r="C544" s="159"/>
      <c r="D544" s="160"/>
      <c r="E544" s="160"/>
      <c r="F544" s="160"/>
      <c r="G544" s="160"/>
      <c r="H544" s="161"/>
    </row>
    <row r="545" spans="2:8" ht="15" customHeight="1" x14ac:dyDescent="0.2">
      <c r="B545" s="163"/>
      <c r="C545" s="159"/>
      <c r="D545" s="160"/>
      <c r="E545" s="160"/>
      <c r="F545" s="160"/>
      <c r="G545" s="160"/>
      <c r="H545" s="161"/>
    </row>
    <row r="546" spans="2:8" ht="15" customHeight="1" x14ac:dyDescent="0.2">
      <c r="B546" s="163"/>
      <c r="C546" s="159"/>
      <c r="D546" s="160"/>
      <c r="E546" s="160"/>
      <c r="F546" s="160"/>
      <c r="G546" s="160"/>
      <c r="H546" s="161"/>
    </row>
    <row r="547" spans="2:8" ht="15" customHeight="1" x14ac:dyDescent="0.2">
      <c r="B547" s="163"/>
      <c r="C547" s="159"/>
      <c r="D547" s="160"/>
      <c r="E547" s="160"/>
      <c r="F547" s="160"/>
      <c r="G547" s="160"/>
      <c r="H547" s="161"/>
    </row>
    <row r="548" spans="2:8" ht="15" customHeight="1" x14ac:dyDescent="0.2">
      <c r="B548" s="163"/>
      <c r="C548" s="159"/>
      <c r="D548" s="160"/>
      <c r="E548" s="160"/>
      <c r="F548" s="160"/>
      <c r="G548" s="160"/>
      <c r="H548" s="161"/>
    </row>
    <row r="549" spans="2:8" ht="15" customHeight="1" x14ac:dyDescent="0.2">
      <c r="B549" s="163"/>
      <c r="C549" s="159"/>
      <c r="D549" s="160"/>
      <c r="E549" s="160"/>
      <c r="F549" s="160"/>
      <c r="G549" s="160"/>
      <c r="H549" s="161"/>
    </row>
    <row r="550" spans="2:8" ht="15" customHeight="1" x14ac:dyDescent="0.2">
      <c r="B550" s="163"/>
      <c r="C550" s="159"/>
      <c r="D550" s="160"/>
      <c r="E550" s="160"/>
      <c r="F550" s="160"/>
      <c r="G550" s="160"/>
      <c r="H550" s="161"/>
    </row>
    <row r="551" spans="2:8" ht="15" customHeight="1" x14ac:dyDescent="0.2">
      <c r="B551" s="163"/>
      <c r="C551" s="159"/>
      <c r="D551" s="160"/>
      <c r="E551" s="160"/>
      <c r="F551" s="160"/>
      <c r="G551" s="160"/>
      <c r="H551" s="161"/>
    </row>
    <row r="552" spans="2:8" ht="15" customHeight="1" x14ac:dyDescent="0.2">
      <c r="B552" s="163"/>
      <c r="C552" s="159"/>
      <c r="D552" s="160"/>
      <c r="E552" s="160"/>
      <c r="F552" s="160"/>
      <c r="G552" s="160"/>
      <c r="H552" s="161"/>
    </row>
    <row r="553" spans="2:8" ht="15" customHeight="1" x14ac:dyDescent="0.2">
      <c r="B553" s="163"/>
      <c r="C553" s="159"/>
      <c r="D553" s="160"/>
      <c r="E553" s="160"/>
      <c r="F553" s="160"/>
      <c r="G553" s="160"/>
      <c r="H553" s="161"/>
    </row>
    <row r="554" spans="2:8" ht="15" customHeight="1" x14ac:dyDescent="0.2">
      <c r="B554" s="163"/>
      <c r="C554" s="159"/>
      <c r="D554" s="160"/>
      <c r="E554" s="160"/>
      <c r="F554" s="160"/>
      <c r="G554" s="160"/>
      <c r="H554" s="161"/>
    </row>
    <row r="555" spans="2:8" ht="15" customHeight="1" x14ac:dyDescent="0.2">
      <c r="B555" s="163"/>
      <c r="C555" s="159"/>
      <c r="D555" s="160"/>
      <c r="E555" s="160"/>
      <c r="F555" s="160"/>
      <c r="G555" s="160"/>
      <c r="H555" s="161"/>
    </row>
    <row r="556" spans="2:8" ht="15" customHeight="1" x14ac:dyDescent="0.2">
      <c r="B556" s="163"/>
      <c r="C556" s="159"/>
      <c r="D556" s="160"/>
      <c r="E556" s="160"/>
      <c r="F556" s="160"/>
      <c r="G556" s="160"/>
      <c r="H556" s="161"/>
    </row>
    <row r="557" spans="2:8" ht="15" customHeight="1" x14ac:dyDescent="0.2">
      <c r="B557" s="163"/>
      <c r="C557" s="159"/>
      <c r="D557" s="160"/>
      <c r="E557" s="160"/>
      <c r="F557" s="160"/>
      <c r="G557" s="160"/>
      <c r="H557" s="161"/>
    </row>
    <row r="558" spans="2:8" ht="15" customHeight="1" x14ac:dyDescent="0.2">
      <c r="B558" s="163"/>
      <c r="C558" s="159"/>
      <c r="D558" s="160"/>
      <c r="E558" s="160"/>
      <c r="F558" s="160"/>
      <c r="G558" s="160"/>
      <c r="H558" s="161"/>
    </row>
    <row r="559" spans="2:8" ht="15" customHeight="1" x14ac:dyDescent="0.2">
      <c r="B559" s="163"/>
      <c r="C559" s="159"/>
      <c r="D559" s="160"/>
      <c r="E559" s="160"/>
      <c r="F559" s="160"/>
      <c r="G559" s="160"/>
      <c r="H559" s="161"/>
    </row>
    <row r="560" spans="2:8" ht="15" customHeight="1" x14ac:dyDescent="0.2">
      <c r="B560" s="163"/>
      <c r="C560" s="159"/>
      <c r="D560" s="160"/>
      <c r="E560" s="160"/>
      <c r="F560" s="160"/>
      <c r="G560" s="160"/>
      <c r="H560" s="161"/>
    </row>
    <row r="561" spans="2:8" ht="15" customHeight="1" x14ac:dyDescent="0.2">
      <c r="B561" s="163"/>
      <c r="C561" s="159"/>
      <c r="D561" s="160"/>
      <c r="E561" s="160"/>
      <c r="F561" s="160"/>
      <c r="G561" s="160"/>
      <c r="H561" s="161"/>
    </row>
    <row r="562" spans="2:8" ht="15" customHeight="1" x14ac:dyDescent="0.2">
      <c r="B562" s="163"/>
      <c r="C562" s="159"/>
      <c r="D562" s="160"/>
      <c r="E562" s="160"/>
      <c r="F562" s="160"/>
      <c r="G562" s="160"/>
      <c r="H562" s="161"/>
    </row>
    <row r="563" spans="2:8" ht="15" customHeight="1" x14ac:dyDescent="0.2">
      <c r="B563" s="163"/>
      <c r="C563" s="159"/>
      <c r="D563" s="160"/>
      <c r="E563" s="160"/>
      <c r="F563" s="160"/>
      <c r="G563" s="160"/>
      <c r="H563" s="161"/>
    </row>
    <row r="564" spans="2:8" ht="15" customHeight="1" x14ac:dyDescent="0.2">
      <c r="B564" s="163"/>
      <c r="C564" s="159"/>
      <c r="D564" s="160"/>
      <c r="E564" s="160"/>
      <c r="F564" s="160"/>
      <c r="G564" s="160"/>
      <c r="H564" s="161"/>
    </row>
    <row r="565" spans="2:8" ht="15" customHeight="1" x14ac:dyDescent="0.2">
      <c r="B565" s="163"/>
      <c r="C565" s="159"/>
      <c r="D565" s="160"/>
      <c r="E565" s="160"/>
      <c r="F565" s="160"/>
      <c r="G565" s="160"/>
      <c r="H565" s="161"/>
    </row>
    <row r="566" spans="2:8" ht="15" customHeight="1" x14ac:dyDescent="0.2">
      <c r="B566" s="163"/>
      <c r="C566" s="159"/>
      <c r="D566" s="160"/>
      <c r="E566" s="160"/>
      <c r="F566" s="160"/>
      <c r="G566" s="160"/>
      <c r="H566" s="161"/>
    </row>
    <row r="567" spans="2:8" ht="15" customHeight="1" x14ac:dyDescent="0.2">
      <c r="B567" s="163"/>
      <c r="C567" s="159"/>
      <c r="D567" s="160"/>
      <c r="E567" s="160"/>
      <c r="F567" s="160"/>
      <c r="G567" s="160"/>
      <c r="H567" s="161"/>
    </row>
    <row r="568" spans="2:8" ht="15" customHeight="1" x14ac:dyDescent="0.2">
      <c r="B568" s="163"/>
      <c r="C568" s="159"/>
      <c r="D568" s="160"/>
      <c r="E568" s="160"/>
      <c r="F568" s="160"/>
      <c r="G568" s="160"/>
      <c r="H568" s="161"/>
    </row>
    <row r="569" spans="2:8" ht="15" customHeight="1" x14ac:dyDescent="0.2">
      <c r="B569" s="163"/>
      <c r="C569" s="159"/>
      <c r="D569" s="160"/>
      <c r="E569" s="160"/>
      <c r="F569" s="160"/>
      <c r="G569" s="160"/>
      <c r="H569" s="161"/>
    </row>
    <row r="570" spans="2:8" ht="15" customHeight="1" x14ac:dyDescent="0.2">
      <c r="B570" s="163"/>
      <c r="C570" s="159"/>
      <c r="D570" s="160"/>
      <c r="E570" s="160"/>
      <c r="F570" s="160"/>
      <c r="G570" s="160"/>
      <c r="H570" s="161"/>
    </row>
    <row r="571" spans="2:8" ht="15" customHeight="1" x14ac:dyDescent="0.2">
      <c r="B571" s="163"/>
      <c r="C571" s="159"/>
      <c r="D571" s="160"/>
      <c r="E571" s="160"/>
      <c r="F571" s="160"/>
      <c r="G571" s="160"/>
      <c r="H571" s="161"/>
    </row>
    <row r="572" spans="2:8" ht="15" customHeight="1" x14ac:dyDescent="0.2">
      <c r="B572" s="163"/>
      <c r="C572" s="159"/>
      <c r="D572" s="160"/>
      <c r="E572" s="160"/>
      <c r="F572" s="160"/>
      <c r="G572" s="160"/>
      <c r="H572" s="161"/>
    </row>
    <row r="573" spans="2:8" ht="15" customHeight="1" x14ac:dyDescent="0.2">
      <c r="B573" s="163"/>
      <c r="C573" s="159"/>
      <c r="D573" s="160"/>
      <c r="E573" s="160"/>
      <c r="F573" s="160"/>
      <c r="G573" s="160"/>
      <c r="H573" s="161"/>
    </row>
    <row r="574" spans="2:8" ht="15" customHeight="1" x14ac:dyDescent="0.2">
      <c r="B574" s="163"/>
      <c r="C574" s="159"/>
      <c r="D574" s="160"/>
      <c r="E574" s="160"/>
      <c r="F574" s="160"/>
      <c r="G574" s="160"/>
      <c r="H574" s="161"/>
    </row>
    <row r="575" spans="2:8" ht="15" customHeight="1" x14ac:dyDescent="0.2">
      <c r="B575" s="163"/>
      <c r="C575" s="159"/>
      <c r="D575" s="160"/>
      <c r="E575" s="160"/>
      <c r="F575" s="160"/>
      <c r="G575" s="160"/>
      <c r="H575" s="161"/>
    </row>
    <row r="576" spans="2:8" ht="15" customHeight="1" x14ac:dyDescent="0.2">
      <c r="B576" s="163"/>
      <c r="C576" s="159"/>
      <c r="D576" s="160"/>
      <c r="E576" s="160"/>
      <c r="F576" s="160"/>
      <c r="G576" s="160"/>
      <c r="H576" s="161"/>
    </row>
    <row r="577" spans="2:8" ht="15" customHeight="1" x14ac:dyDescent="0.2">
      <c r="B577" s="163"/>
      <c r="C577" s="159"/>
      <c r="D577" s="160"/>
      <c r="E577" s="160"/>
      <c r="F577" s="160"/>
      <c r="G577" s="160"/>
      <c r="H577" s="161"/>
    </row>
    <row r="578" spans="2:8" ht="15" customHeight="1" x14ac:dyDescent="0.2">
      <c r="B578" s="163"/>
      <c r="C578" s="159"/>
      <c r="D578" s="160"/>
      <c r="E578" s="160"/>
      <c r="F578" s="160"/>
      <c r="G578" s="160"/>
      <c r="H578" s="161"/>
    </row>
    <row r="579" spans="2:8" ht="15" customHeight="1" x14ac:dyDescent="0.2">
      <c r="B579" s="163"/>
      <c r="C579" s="159"/>
      <c r="D579" s="160"/>
      <c r="E579" s="160"/>
      <c r="F579" s="160"/>
      <c r="G579" s="160"/>
      <c r="H579" s="161"/>
    </row>
    <row r="580" spans="2:8" ht="15" customHeight="1" x14ac:dyDescent="0.2">
      <c r="B580" s="163"/>
      <c r="C580" s="159"/>
      <c r="D580" s="160"/>
      <c r="E580" s="160"/>
      <c r="F580" s="160"/>
      <c r="G580" s="160"/>
      <c r="H580" s="161"/>
    </row>
    <row r="581" spans="2:8" ht="15" customHeight="1" x14ac:dyDescent="0.2">
      <c r="B581" s="163"/>
      <c r="C581" s="159"/>
      <c r="D581" s="160"/>
      <c r="E581" s="160"/>
      <c r="F581" s="160"/>
      <c r="G581" s="160"/>
      <c r="H581" s="161"/>
    </row>
    <row r="582" spans="2:8" ht="15" customHeight="1" x14ac:dyDescent="0.2">
      <c r="B582" s="163"/>
      <c r="C582" s="159"/>
      <c r="D582" s="160"/>
      <c r="E582" s="160"/>
      <c r="F582" s="160"/>
      <c r="G582" s="160"/>
      <c r="H582" s="161"/>
    </row>
    <row r="583" spans="2:8" ht="15" customHeight="1" x14ac:dyDescent="0.2">
      <c r="B583" s="163"/>
      <c r="C583" s="159"/>
      <c r="D583" s="160"/>
      <c r="E583" s="160"/>
      <c r="F583" s="160"/>
      <c r="G583" s="160"/>
      <c r="H583" s="161"/>
    </row>
    <row r="584" spans="2:8" ht="15" customHeight="1" x14ac:dyDescent="0.2">
      <c r="B584" s="163"/>
      <c r="C584" s="159"/>
      <c r="D584" s="160"/>
      <c r="E584" s="160"/>
      <c r="F584" s="160"/>
      <c r="G584" s="160"/>
      <c r="H584" s="161"/>
    </row>
    <row r="585" spans="2:8" ht="15" customHeight="1" x14ac:dyDescent="0.2">
      <c r="B585" s="163"/>
      <c r="C585" s="159"/>
      <c r="D585" s="160"/>
      <c r="E585" s="160"/>
      <c r="F585" s="160"/>
      <c r="G585" s="160"/>
      <c r="H585" s="161"/>
    </row>
    <row r="586" spans="2:8" ht="15" customHeight="1" x14ac:dyDescent="0.2">
      <c r="B586" s="163"/>
      <c r="C586" s="159"/>
      <c r="D586" s="160"/>
      <c r="E586" s="160"/>
      <c r="F586" s="160"/>
      <c r="G586" s="160"/>
      <c r="H586" s="161"/>
    </row>
    <row r="587" spans="2:8" ht="15" customHeight="1" x14ac:dyDescent="0.2">
      <c r="B587" s="163"/>
      <c r="C587" s="159"/>
      <c r="D587" s="160"/>
      <c r="E587" s="160"/>
      <c r="F587" s="160"/>
      <c r="G587" s="160"/>
      <c r="H587" s="161"/>
    </row>
    <row r="588" spans="2:8" ht="15" customHeight="1" x14ac:dyDescent="0.2">
      <c r="B588" s="163"/>
      <c r="C588" s="159"/>
      <c r="D588" s="160"/>
      <c r="E588" s="160"/>
      <c r="F588" s="160"/>
      <c r="G588" s="160"/>
      <c r="H588" s="161"/>
    </row>
    <row r="589" spans="2:8" ht="15" customHeight="1" x14ac:dyDescent="0.2">
      <c r="B589" s="163"/>
      <c r="C589" s="159"/>
      <c r="D589" s="160"/>
      <c r="E589" s="160"/>
      <c r="F589" s="160"/>
      <c r="G589" s="160"/>
      <c r="H589" s="161"/>
    </row>
    <row r="590" spans="2:8" ht="15" customHeight="1" x14ac:dyDescent="0.2">
      <c r="B590" s="163"/>
      <c r="C590" s="159"/>
      <c r="D590" s="160"/>
      <c r="E590" s="160"/>
      <c r="F590" s="160"/>
      <c r="G590" s="160"/>
      <c r="H590" s="161"/>
    </row>
    <row r="591" spans="2:8" ht="15" customHeight="1" x14ac:dyDescent="0.2">
      <c r="B591" s="163"/>
      <c r="C591" s="159"/>
      <c r="D591" s="160"/>
      <c r="E591" s="160"/>
      <c r="F591" s="160"/>
      <c r="G591" s="160"/>
      <c r="H591" s="161"/>
    </row>
    <row r="592" spans="2:8" ht="15" customHeight="1" x14ac:dyDescent="0.2">
      <c r="B592" s="163"/>
      <c r="C592" s="159"/>
      <c r="D592" s="160"/>
      <c r="E592" s="160"/>
      <c r="F592" s="160"/>
      <c r="G592" s="160"/>
      <c r="H592" s="161"/>
    </row>
    <row r="593" spans="2:8" ht="15" customHeight="1" x14ac:dyDescent="0.2">
      <c r="B593" s="163"/>
      <c r="C593" s="159"/>
      <c r="D593" s="160"/>
      <c r="E593" s="160"/>
      <c r="F593" s="160"/>
      <c r="G593" s="160"/>
      <c r="H593" s="161"/>
    </row>
    <row r="594" spans="2:8" ht="15" customHeight="1" x14ac:dyDescent="0.2">
      <c r="B594" s="163"/>
      <c r="C594" s="159"/>
      <c r="D594" s="160"/>
      <c r="E594" s="160"/>
      <c r="F594" s="160"/>
      <c r="G594" s="160"/>
      <c r="H594" s="161"/>
    </row>
    <row r="595" spans="2:8" ht="15" customHeight="1" x14ac:dyDescent="0.2">
      <c r="B595" s="163"/>
      <c r="C595" s="159"/>
      <c r="D595" s="160"/>
      <c r="E595" s="160"/>
      <c r="F595" s="160"/>
      <c r="G595" s="160"/>
      <c r="H595" s="161"/>
    </row>
    <row r="596" spans="2:8" ht="15" customHeight="1" x14ac:dyDescent="0.2">
      <c r="B596" s="163"/>
      <c r="C596" s="159"/>
      <c r="D596" s="160"/>
      <c r="E596" s="160"/>
      <c r="F596" s="160"/>
      <c r="G596" s="160"/>
      <c r="H596" s="161"/>
    </row>
    <row r="597" spans="2:8" ht="15" customHeight="1" x14ac:dyDescent="0.2">
      <c r="B597" s="163"/>
      <c r="C597" s="159"/>
      <c r="D597" s="160"/>
      <c r="E597" s="160"/>
      <c r="F597" s="160"/>
      <c r="G597" s="160"/>
      <c r="H597" s="161"/>
    </row>
    <row r="598" spans="2:8" ht="15" customHeight="1" x14ac:dyDescent="0.2">
      <c r="B598" s="163"/>
      <c r="C598" s="159"/>
      <c r="D598" s="160"/>
      <c r="E598" s="160"/>
      <c r="F598" s="160"/>
      <c r="G598" s="160"/>
      <c r="H598" s="161"/>
    </row>
    <row r="599" spans="2:8" ht="15" customHeight="1" x14ac:dyDescent="0.2">
      <c r="B599" s="163"/>
      <c r="C599" s="159"/>
      <c r="D599" s="160"/>
      <c r="E599" s="160"/>
      <c r="F599" s="160"/>
      <c r="G599" s="160"/>
      <c r="H599" s="161"/>
    </row>
    <row r="600" spans="2:8" ht="15" customHeight="1" x14ac:dyDescent="0.2">
      <c r="B600" s="163"/>
      <c r="C600" s="159"/>
      <c r="D600" s="160"/>
      <c r="E600" s="160"/>
      <c r="F600" s="160"/>
      <c r="G600" s="160"/>
      <c r="H600" s="161"/>
    </row>
    <row r="601" spans="2:8" ht="15" customHeight="1" x14ac:dyDescent="0.2">
      <c r="B601" s="163"/>
      <c r="C601" s="159"/>
      <c r="D601" s="160"/>
      <c r="E601" s="160"/>
      <c r="F601" s="160"/>
      <c r="G601" s="160"/>
      <c r="H601" s="161"/>
    </row>
    <row r="602" spans="2:8" ht="15" customHeight="1" x14ac:dyDescent="0.2">
      <c r="B602" s="163"/>
      <c r="C602" s="159"/>
      <c r="D602" s="160"/>
      <c r="E602" s="160"/>
      <c r="F602" s="160"/>
      <c r="G602" s="160"/>
      <c r="H602" s="161"/>
    </row>
    <row r="603" spans="2:8" ht="15" customHeight="1" x14ac:dyDescent="0.2">
      <c r="B603" s="163"/>
      <c r="C603" s="159"/>
      <c r="D603" s="160"/>
      <c r="E603" s="160"/>
      <c r="F603" s="160"/>
      <c r="G603" s="160"/>
      <c r="H603" s="161"/>
    </row>
    <row r="604" spans="2:8" ht="15" customHeight="1" x14ac:dyDescent="0.2">
      <c r="B604" s="163"/>
      <c r="C604" s="159"/>
      <c r="D604" s="160"/>
      <c r="E604" s="160"/>
      <c r="F604" s="160"/>
      <c r="G604" s="160"/>
      <c r="H604" s="161"/>
    </row>
    <row r="605" spans="2:8" ht="15" customHeight="1" x14ac:dyDescent="0.2">
      <c r="B605" s="163"/>
      <c r="C605" s="159"/>
      <c r="D605" s="160"/>
      <c r="E605" s="160"/>
      <c r="F605" s="160"/>
      <c r="G605" s="160"/>
      <c r="H605" s="161"/>
    </row>
    <row r="606" spans="2:8" ht="15" customHeight="1" x14ac:dyDescent="0.2">
      <c r="B606" s="163"/>
      <c r="C606" s="159"/>
      <c r="D606" s="160"/>
      <c r="E606" s="160"/>
      <c r="F606" s="160"/>
      <c r="G606" s="160"/>
      <c r="H606" s="161"/>
    </row>
    <row r="607" spans="2:8" ht="15" customHeight="1" x14ac:dyDescent="0.2">
      <c r="B607" s="163"/>
      <c r="C607" s="159"/>
      <c r="D607" s="160"/>
      <c r="E607" s="160"/>
      <c r="F607" s="160"/>
      <c r="G607" s="160"/>
      <c r="H607" s="161"/>
    </row>
    <row r="608" spans="2:8" ht="15" customHeight="1" x14ac:dyDescent="0.2">
      <c r="B608" s="163"/>
      <c r="C608" s="159"/>
      <c r="D608" s="160"/>
      <c r="E608" s="160"/>
      <c r="F608" s="160"/>
      <c r="G608" s="160"/>
      <c r="H608" s="161"/>
    </row>
    <row r="609" spans="2:8" ht="15" customHeight="1" x14ac:dyDescent="0.2">
      <c r="B609" s="163"/>
      <c r="C609" s="159"/>
      <c r="D609" s="160"/>
      <c r="E609" s="160"/>
      <c r="F609" s="160"/>
      <c r="G609" s="160"/>
      <c r="H609" s="161"/>
    </row>
    <row r="610" spans="2:8" ht="15" customHeight="1" x14ac:dyDescent="0.2">
      <c r="B610" s="163"/>
      <c r="C610" s="159"/>
      <c r="D610" s="160"/>
      <c r="E610" s="160"/>
      <c r="F610" s="160"/>
      <c r="G610" s="160"/>
      <c r="H610" s="161"/>
    </row>
    <row r="611" spans="2:8" ht="15" customHeight="1" x14ac:dyDescent="0.2">
      <c r="B611" s="163"/>
      <c r="C611" s="159"/>
      <c r="D611" s="160"/>
      <c r="E611" s="160"/>
      <c r="F611" s="160"/>
      <c r="G611" s="160"/>
      <c r="H611" s="161"/>
    </row>
    <row r="612" spans="2:8" ht="15" customHeight="1" x14ac:dyDescent="0.2">
      <c r="B612" s="163"/>
      <c r="C612" s="159"/>
      <c r="D612" s="160"/>
      <c r="E612" s="160"/>
      <c r="F612" s="160"/>
      <c r="G612" s="160"/>
      <c r="H612" s="161"/>
    </row>
    <row r="613" spans="2:8" ht="15" customHeight="1" x14ac:dyDescent="0.2">
      <c r="B613" s="163"/>
      <c r="C613" s="159"/>
      <c r="D613" s="160"/>
      <c r="E613" s="160"/>
      <c r="F613" s="160"/>
      <c r="G613" s="160"/>
      <c r="H613" s="161"/>
    </row>
    <row r="614" spans="2:8" ht="15" customHeight="1" x14ac:dyDescent="0.2">
      <c r="B614" s="163"/>
      <c r="C614" s="159"/>
      <c r="D614" s="160"/>
      <c r="E614" s="160"/>
      <c r="F614" s="160"/>
      <c r="G614" s="160"/>
      <c r="H614" s="161"/>
    </row>
    <row r="615" spans="2:8" ht="15" customHeight="1" x14ac:dyDescent="0.2">
      <c r="B615" s="163"/>
      <c r="C615" s="159"/>
      <c r="D615" s="160"/>
      <c r="E615" s="160"/>
      <c r="F615" s="160"/>
      <c r="G615" s="160"/>
      <c r="H615" s="161"/>
    </row>
    <row r="616" spans="2:8" ht="15" customHeight="1" x14ac:dyDescent="0.2">
      <c r="B616" s="163"/>
      <c r="C616" s="159"/>
      <c r="D616" s="160"/>
      <c r="E616" s="160"/>
      <c r="F616" s="160"/>
      <c r="G616" s="160"/>
      <c r="H616" s="161"/>
    </row>
    <row r="617" spans="2:8" ht="15" customHeight="1" x14ac:dyDescent="0.2">
      <c r="B617" s="163"/>
      <c r="C617" s="159"/>
      <c r="D617" s="160"/>
      <c r="E617" s="160"/>
      <c r="F617" s="160"/>
      <c r="G617" s="160"/>
      <c r="H617" s="161"/>
    </row>
    <row r="618" spans="2:8" ht="15" customHeight="1" x14ac:dyDescent="0.2">
      <c r="B618" s="163"/>
      <c r="C618" s="159"/>
      <c r="D618" s="160"/>
      <c r="E618" s="160"/>
      <c r="F618" s="160"/>
      <c r="G618" s="160"/>
      <c r="H618" s="161"/>
    </row>
    <row r="619" spans="2:8" ht="15" customHeight="1" x14ac:dyDescent="0.2">
      <c r="B619" s="163"/>
      <c r="C619" s="159"/>
      <c r="D619" s="160"/>
      <c r="E619" s="160"/>
      <c r="F619" s="160"/>
      <c r="G619" s="160"/>
      <c r="H619" s="161"/>
    </row>
    <row r="620" spans="2:8" ht="15" customHeight="1" x14ac:dyDescent="0.2">
      <c r="B620" s="163"/>
      <c r="C620" s="159"/>
      <c r="D620" s="160"/>
      <c r="E620" s="160"/>
      <c r="F620" s="160"/>
      <c r="G620" s="160"/>
      <c r="H620" s="161"/>
    </row>
    <row r="621" spans="2:8" ht="15" customHeight="1" x14ac:dyDescent="0.2">
      <c r="B621" s="163"/>
      <c r="C621" s="159"/>
      <c r="D621" s="160"/>
      <c r="E621" s="160"/>
      <c r="F621" s="160"/>
      <c r="G621" s="160"/>
      <c r="H621" s="161"/>
    </row>
    <row r="622" spans="2:8" ht="15" customHeight="1" x14ac:dyDescent="0.2">
      <c r="B622" s="163"/>
      <c r="C622" s="159"/>
      <c r="D622" s="160"/>
      <c r="E622" s="160"/>
      <c r="F622" s="160"/>
      <c r="G622" s="160"/>
      <c r="H622" s="161"/>
    </row>
    <row r="623" spans="2:8" ht="15" customHeight="1" x14ac:dyDescent="0.2">
      <c r="B623" s="163"/>
      <c r="C623" s="159"/>
      <c r="D623" s="160"/>
      <c r="E623" s="160"/>
      <c r="F623" s="160"/>
      <c r="G623" s="160"/>
      <c r="H623" s="161"/>
    </row>
    <row r="624" spans="2:8" ht="15" customHeight="1" x14ac:dyDescent="0.2">
      <c r="B624" s="163"/>
      <c r="C624" s="159"/>
      <c r="D624" s="160"/>
      <c r="E624" s="160"/>
      <c r="F624" s="160"/>
      <c r="G624" s="160"/>
      <c r="H624" s="161"/>
    </row>
    <row r="625" spans="2:8" ht="15" customHeight="1" x14ac:dyDescent="0.2">
      <c r="B625" s="163"/>
      <c r="C625" s="159"/>
      <c r="D625" s="160"/>
      <c r="E625" s="160"/>
      <c r="F625" s="160"/>
      <c r="G625" s="160"/>
      <c r="H625" s="161"/>
    </row>
    <row r="626" spans="2:8" ht="15" customHeight="1" x14ac:dyDescent="0.2">
      <c r="B626" s="163"/>
      <c r="C626" s="159"/>
      <c r="D626" s="160"/>
      <c r="E626" s="160"/>
      <c r="F626" s="160"/>
      <c r="G626" s="160"/>
      <c r="H626" s="161"/>
    </row>
    <row r="627" spans="2:8" ht="15" customHeight="1" x14ac:dyDescent="0.2">
      <c r="B627" s="163"/>
      <c r="C627" s="159"/>
      <c r="D627" s="160"/>
      <c r="E627" s="160"/>
      <c r="F627" s="160"/>
      <c r="G627" s="160"/>
      <c r="H627" s="161"/>
    </row>
    <row r="628" spans="2:8" ht="15" customHeight="1" x14ac:dyDescent="0.2">
      <c r="B628" s="163"/>
      <c r="C628" s="159"/>
      <c r="D628" s="160"/>
      <c r="E628" s="160"/>
      <c r="F628" s="160"/>
      <c r="G628" s="160"/>
      <c r="H628" s="161"/>
    </row>
    <row r="629" spans="2:8" ht="15" customHeight="1" x14ac:dyDescent="0.2">
      <c r="B629" s="163"/>
      <c r="C629" s="159"/>
      <c r="D629" s="160"/>
      <c r="E629" s="160"/>
      <c r="F629" s="160"/>
      <c r="G629" s="160"/>
      <c r="H629" s="161"/>
    </row>
    <row r="630" spans="2:8" ht="15" customHeight="1" x14ac:dyDescent="0.2">
      <c r="B630" s="163"/>
      <c r="C630" s="159"/>
      <c r="D630" s="160"/>
      <c r="E630" s="160"/>
      <c r="F630" s="160"/>
      <c r="G630" s="160"/>
      <c r="H630" s="161"/>
    </row>
    <row r="631" spans="2:8" ht="15" customHeight="1" x14ac:dyDescent="0.2">
      <c r="B631" s="163"/>
      <c r="C631" s="159"/>
      <c r="D631" s="160"/>
      <c r="E631" s="160"/>
      <c r="F631" s="160"/>
      <c r="G631" s="160"/>
      <c r="H631" s="161"/>
    </row>
    <row r="632" spans="2:8" ht="15" customHeight="1" x14ac:dyDescent="0.2">
      <c r="B632" s="163"/>
      <c r="C632" s="159"/>
      <c r="D632" s="160"/>
      <c r="E632" s="160"/>
      <c r="F632" s="160"/>
      <c r="G632" s="160"/>
      <c r="H632" s="161"/>
    </row>
    <row r="633" spans="2:8" ht="15" customHeight="1" x14ac:dyDescent="0.2">
      <c r="B633" s="163"/>
      <c r="C633" s="159"/>
      <c r="D633" s="160"/>
      <c r="E633" s="160"/>
      <c r="F633" s="160"/>
      <c r="G633" s="160"/>
      <c r="H633" s="161"/>
    </row>
    <row r="634" spans="2:8" ht="15" customHeight="1" x14ac:dyDescent="0.2">
      <c r="B634" s="163"/>
      <c r="C634" s="159"/>
      <c r="D634" s="160"/>
      <c r="E634" s="160"/>
      <c r="F634" s="160"/>
      <c r="G634" s="160"/>
      <c r="H634" s="161"/>
    </row>
    <row r="635" spans="2:8" ht="15" customHeight="1" x14ac:dyDescent="0.2">
      <c r="B635" s="163"/>
      <c r="C635" s="159"/>
      <c r="D635" s="160"/>
      <c r="E635" s="160"/>
      <c r="F635" s="160"/>
      <c r="G635" s="160"/>
      <c r="H635" s="161"/>
    </row>
    <row r="636" spans="2:8" ht="15" customHeight="1" x14ac:dyDescent="0.2">
      <c r="B636" s="163"/>
      <c r="C636" s="159"/>
      <c r="D636" s="160"/>
      <c r="E636" s="160"/>
      <c r="F636" s="160"/>
      <c r="G636" s="160"/>
      <c r="H636" s="161"/>
    </row>
    <row r="637" spans="2:8" ht="15" customHeight="1" x14ac:dyDescent="0.2">
      <c r="B637" s="163"/>
      <c r="C637" s="159"/>
      <c r="D637" s="160"/>
      <c r="E637" s="160"/>
      <c r="F637" s="160"/>
      <c r="G637" s="160"/>
      <c r="H637" s="161"/>
    </row>
    <row r="638" spans="2:8" ht="15" customHeight="1" x14ac:dyDescent="0.2">
      <c r="B638" s="163"/>
      <c r="C638" s="159"/>
      <c r="D638" s="160"/>
      <c r="E638" s="160"/>
      <c r="F638" s="160"/>
      <c r="G638" s="160"/>
      <c r="H638" s="161"/>
    </row>
    <row r="639" spans="2:8" ht="15" customHeight="1" x14ac:dyDescent="0.2">
      <c r="B639" s="163"/>
      <c r="C639" s="159"/>
      <c r="D639" s="160"/>
      <c r="E639" s="160"/>
      <c r="F639" s="160"/>
      <c r="G639" s="160"/>
      <c r="H639" s="161"/>
    </row>
    <row r="640" spans="2:8" ht="15" customHeight="1" x14ac:dyDescent="0.2">
      <c r="B640" s="163"/>
      <c r="C640" s="159"/>
      <c r="D640" s="160"/>
      <c r="E640" s="160"/>
      <c r="F640" s="160"/>
      <c r="G640" s="160"/>
      <c r="H640" s="161"/>
    </row>
    <row r="641" spans="2:8" ht="15" customHeight="1" x14ac:dyDescent="0.2">
      <c r="B641" s="163"/>
      <c r="C641" s="159"/>
      <c r="D641" s="160"/>
      <c r="E641" s="160"/>
      <c r="F641" s="160"/>
      <c r="G641" s="160"/>
      <c r="H641" s="161"/>
    </row>
    <row r="642" spans="2:8" ht="15" customHeight="1" x14ac:dyDescent="0.2">
      <c r="B642" s="163"/>
      <c r="C642" s="159"/>
      <c r="D642" s="160"/>
      <c r="E642" s="160"/>
      <c r="F642" s="160"/>
      <c r="G642" s="160"/>
      <c r="H642" s="161"/>
    </row>
    <row r="643" spans="2:8" ht="15" customHeight="1" x14ac:dyDescent="0.2">
      <c r="B643" s="163"/>
      <c r="C643" s="159"/>
      <c r="D643" s="160"/>
      <c r="E643" s="160"/>
      <c r="F643" s="160"/>
      <c r="G643" s="160"/>
      <c r="H643" s="161"/>
    </row>
    <row r="644" spans="2:8" ht="15" customHeight="1" x14ac:dyDescent="0.2">
      <c r="B644" s="163"/>
      <c r="C644" s="159"/>
      <c r="D644" s="160"/>
      <c r="E644" s="160"/>
      <c r="F644" s="160"/>
      <c r="G644" s="160"/>
      <c r="H644" s="161"/>
    </row>
    <row r="645" spans="2:8" ht="15" customHeight="1" x14ac:dyDescent="0.2">
      <c r="B645" s="163"/>
      <c r="C645" s="159"/>
      <c r="D645" s="160"/>
      <c r="E645" s="160"/>
      <c r="F645" s="160"/>
      <c r="G645" s="160"/>
      <c r="H645" s="161"/>
    </row>
    <row r="646" spans="2:8" ht="15" customHeight="1" x14ac:dyDescent="0.2">
      <c r="B646" s="163"/>
      <c r="C646" s="159"/>
      <c r="D646" s="160"/>
      <c r="E646" s="160"/>
      <c r="F646" s="160"/>
      <c r="G646" s="160"/>
      <c r="H646" s="161"/>
    </row>
    <row r="647" spans="2:8" ht="15" customHeight="1" x14ac:dyDescent="0.2">
      <c r="B647" s="163"/>
      <c r="C647" s="159"/>
      <c r="D647" s="160"/>
      <c r="E647" s="160"/>
      <c r="F647" s="160"/>
      <c r="G647" s="160"/>
      <c r="H647" s="161"/>
    </row>
    <row r="648" spans="2:8" ht="15" customHeight="1" x14ac:dyDescent="0.2">
      <c r="B648" s="163"/>
      <c r="C648" s="159"/>
      <c r="D648" s="160"/>
      <c r="E648" s="160"/>
      <c r="F648" s="160"/>
      <c r="G648" s="160"/>
      <c r="H648" s="161"/>
    </row>
    <row r="649" spans="2:8" ht="15" customHeight="1" x14ac:dyDescent="0.2">
      <c r="B649" s="163"/>
      <c r="C649" s="159"/>
      <c r="D649" s="160"/>
      <c r="E649" s="160"/>
      <c r="F649" s="160"/>
      <c r="G649" s="160"/>
      <c r="H649" s="161"/>
    </row>
    <row r="650" spans="2:8" ht="15" customHeight="1" x14ac:dyDescent="0.2">
      <c r="B650" s="163"/>
      <c r="C650" s="159"/>
      <c r="D650" s="160"/>
      <c r="E650" s="160"/>
      <c r="F650" s="160"/>
      <c r="G650" s="160"/>
      <c r="H650" s="161"/>
    </row>
    <row r="651" spans="2:8" ht="15" customHeight="1" x14ac:dyDescent="0.2">
      <c r="B651" s="163"/>
      <c r="C651" s="159"/>
      <c r="D651" s="160"/>
      <c r="E651" s="160"/>
      <c r="F651" s="160"/>
      <c r="G651" s="160"/>
      <c r="H651" s="161"/>
    </row>
    <row r="652" spans="2:8" ht="15" customHeight="1" x14ac:dyDescent="0.2">
      <c r="B652" s="163"/>
      <c r="C652" s="159"/>
      <c r="D652" s="160"/>
      <c r="E652" s="160"/>
      <c r="F652" s="160"/>
      <c r="G652" s="160"/>
      <c r="H652" s="161"/>
    </row>
    <row r="653" spans="2:8" ht="15" customHeight="1" x14ac:dyDescent="0.2">
      <c r="B653" s="163"/>
      <c r="C653" s="159"/>
      <c r="D653" s="160"/>
      <c r="E653" s="160"/>
      <c r="F653" s="160"/>
      <c r="G653" s="160"/>
      <c r="H653" s="161"/>
    </row>
    <row r="654" spans="2:8" ht="15" customHeight="1" x14ac:dyDescent="0.2">
      <c r="B654" s="163"/>
      <c r="C654" s="159"/>
      <c r="D654" s="160"/>
      <c r="E654" s="160"/>
      <c r="F654" s="160"/>
      <c r="G654" s="160"/>
      <c r="H654" s="161"/>
    </row>
    <row r="655" spans="2:8" ht="15" customHeight="1" x14ac:dyDescent="0.2">
      <c r="B655" s="163"/>
      <c r="C655" s="159"/>
      <c r="D655" s="160"/>
      <c r="E655" s="160"/>
      <c r="F655" s="160"/>
      <c r="G655" s="160"/>
      <c r="H655" s="161"/>
    </row>
    <row r="656" spans="2:8" ht="15" customHeight="1" x14ac:dyDescent="0.2">
      <c r="B656" s="163"/>
      <c r="C656" s="159"/>
      <c r="D656" s="160"/>
      <c r="E656" s="160"/>
      <c r="F656" s="160"/>
      <c r="G656" s="160"/>
      <c r="H656" s="161"/>
    </row>
    <row r="657" spans="2:8" ht="15" customHeight="1" x14ac:dyDescent="0.2">
      <c r="B657" s="163"/>
      <c r="C657" s="159"/>
      <c r="D657" s="160"/>
      <c r="E657" s="160"/>
      <c r="F657" s="160"/>
      <c r="G657" s="160"/>
      <c r="H657" s="161"/>
    </row>
    <row r="658" spans="2:8" ht="15" customHeight="1" x14ac:dyDescent="0.2">
      <c r="B658" s="163"/>
      <c r="C658" s="159"/>
      <c r="D658" s="160"/>
      <c r="E658" s="160"/>
      <c r="F658" s="160"/>
      <c r="G658" s="160"/>
      <c r="H658" s="161"/>
    </row>
    <row r="659" spans="2:8" ht="15" customHeight="1" x14ac:dyDescent="0.2">
      <c r="B659" s="163"/>
      <c r="C659" s="159"/>
      <c r="D659" s="160"/>
      <c r="E659" s="160"/>
      <c r="F659" s="160"/>
      <c r="G659" s="160"/>
      <c r="H659" s="161"/>
    </row>
    <row r="660" spans="2:8" ht="15" customHeight="1" x14ac:dyDescent="0.2">
      <c r="B660" s="163"/>
      <c r="C660" s="159"/>
      <c r="D660" s="160"/>
      <c r="E660" s="160"/>
      <c r="F660" s="160"/>
      <c r="G660" s="160"/>
      <c r="H660" s="161"/>
    </row>
    <row r="661" spans="2:8" ht="15" customHeight="1" x14ac:dyDescent="0.2">
      <c r="B661" s="163"/>
      <c r="C661" s="159"/>
      <c r="D661" s="160"/>
      <c r="E661" s="160"/>
      <c r="F661" s="160"/>
      <c r="G661" s="160"/>
      <c r="H661" s="161"/>
    </row>
    <row r="662" spans="2:8" ht="15" customHeight="1" x14ac:dyDescent="0.2">
      <c r="B662" s="163"/>
      <c r="C662" s="159"/>
      <c r="D662" s="160"/>
      <c r="E662" s="160"/>
      <c r="F662" s="160"/>
      <c r="G662" s="160"/>
      <c r="H662" s="161"/>
    </row>
    <row r="663" spans="2:8" ht="15" customHeight="1" x14ac:dyDescent="0.2">
      <c r="B663" s="163"/>
      <c r="C663" s="159"/>
      <c r="D663" s="160"/>
      <c r="E663" s="160"/>
      <c r="F663" s="160"/>
      <c r="G663" s="160"/>
      <c r="H663" s="161"/>
    </row>
    <row r="664" spans="2:8" ht="15" customHeight="1" x14ac:dyDescent="0.2">
      <c r="B664" s="163"/>
      <c r="C664" s="159"/>
      <c r="D664" s="160"/>
      <c r="E664" s="160"/>
      <c r="F664" s="160"/>
      <c r="G664" s="160"/>
      <c r="H664" s="161"/>
    </row>
    <row r="665" spans="2:8" ht="15" customHeight="1" x14ac:dyDescent="0.2">
      <c r="B665" s="163"/>
      <c r="C665" s="159"/>
      <c r="D665" s="160"/>
      <c r="E665" s="160"/>
      <c r="F665" s="160"/>
      <c r="G665" s="160"/>
      <c r="H665" s="161"/>
    </row>
    <row r="666" spans="2:8" ht="15" customHeight="1" x14ac:dyDescent="0.2">
      <c r="B666" s="163"/>
      <c r="C666" s="159"/>
      <c r="D666" s="160"/>
      <c r="E666" s="160"/>
      <c r="F666" s="160"/>
      <c r="G666" s="160"/>
      <c r="H666" s="161"/>
    </row>
    <row r="667" spans="2:8" ht="15" customHeight="1" x14ac:dyDescent="0.2">
      <c r="B667" s="163"/>
      <c r="C667" s="159"/>
      <c r="D667" s="160"/>
      <c r="E667" s="160"/>
      <c r="F667" s="160"/>
      <c r="G667" s="160"/>
      <c r="H667" s="161"/>
    </row>
    <row r="668" spans="2:8" ht="15" customHeight="1" x14ac:dyDescent="0.2">
      <c r="B668" s="163"/>
      <c r="C668" s="159"/>
      <c r="D668" s="160"/>
      <c r="E668" s="160"/>
      <c r="F668" s="160"/>
      <c r="G668" s="160"/>
      <c r="H668" s="161"/>
    </row>
    <row r="669" spans="2:8" ht="15" customHeight="1" x14ac:dyDescent="0.2">
      <c r="B669" s="163"/>
      <c r="C669" s="159"/>
      <c r="D669" s="160"/>
      <c r="E669" s="160"/>
      <c r="F669" s="160"/>
      <c r="G669" s="160"/>
      <c r="H669" s="161"/>
    </row>
    <row r="670" spans="2:8" ht="15" customHeight="1" x14ac:dyDescent="0.2">
      <c r="B670" s="163"/>
      <c r="C670" s="159"/>
      <c r="D670" s="160"/>
      <c r="E670" s="160"/>
      <c r="F670" s="160"/>
      <c r="G670" s="160"/>
      <c r="H670" s="161"/>
    </row>
    <row r="671" spans="2:8" ht="15" customHeight="1" x14ac:dyDescent="0.2">
      <c r="B671" s="163"/>
      <c r="C671" s="159"/>
      <c r="D671" s="160"/>
      <c r="E671" s="160"/>
      <c r="F671" s="160"/>
      <c r="G671" s="160"/>
      <c r="H671" s="161"/>
    </row>
    <row r="672" spans="2:8" ht="15" customHeight="1" x14ac:dyDescent="0.2">
      <c r="B672" s="163"/>
      <c r="C672" s="159"/>
      <c r="D672" s="160"/>
      <c r="E672" s="160"/>
      <c r="F672" s="160"/>
      <c r="G672" s="160"/>
      <c r="H672" s="161"/>
    </row>
    <row r="673" spans="2:8" ht="15" customHeight="1" x14ac:dyDescent="0.2">
      <c r="B673" s="163"/>
      <c r="C673" s="159"/>
      <c r="D673" s="160"/>
      <c r="E673" s="160"/>
      <c r="F673" s="160"/>
      <c r="G673" s="160"/>
      <c r="H673" s="161"/>
    </row>
    <row r="674" spans="2:8" ht="15" customHeight="1" x14ac:dyDescent="0.2">
      <c r="B674" s="163"/>
      <c r="C674" s="159"/>
      <c r="D674" s="160"/>
      <c r="E674" s="160"/>
      <c r="F674" s="160"/>
      <c r="G674" s="160"/>
      <c r="H674" s="161"/>
    </row>
    <row r="675" spans="2:8" ht="15" customHeight="1" x14ac:dyDescent="0.2">
      <c r="B675" s="163"/>
      <c r="C675" s="159"/>
      <c r="D675" s="160"/>
      <c r="E675" s="160"/>
      <c r="F675" s="160"/>
      <c r="G675" s="160"/>
      <c r="H675" s="161"/>
    </row>
    <row r="676" spans="2:8" ht="15" customHeight="1" x14ac:dyDescent="0.2">
      <c r="B676" s="163"/>
      <c r="C676" s="159"/>
      <c r="D676" s="160"/>
      <c r="E676" s="160"/>
      <c r="F676" s="160"/>
      <c r="G676" s="160"/>
      <c r="H676" s="161"/>
    </row>
    <row r="677" spans="2:8" ht="15" customHeight="1" x14ac:dyDescent="0.2">
      <c r="B677" s="163"/>
      <c r="C677" s="159"/>
      <c r="D677" s="160"/>
      <c r="E677" s="160"/>
      <c r="F677" s="160"/>
      <c r="G677" s="160"/>
      <c r="H677" s="161"/>
    </row>
    <row r="678" spans="2:8" ht="15" customHeight="1" x14ac:dyDescent="0.2">
      <c r="B678" s="163"/>
      <c r="C678" s="159"/>
      <c r="D678" s="160"/>
      <c r="E678" s="160"/>
      <c r="F678" s="160"/>
      <c r="G678" s="160"/>
      <c r="H678" s="161"/>
    </row>
    <row r="679" spans="2:8" ht="15" customHeight="1" x14ac:dyDescent="0.2">
      <c r="B679" s="163"/>
      <c r="C679" s="159"/>
      <c r="D679" s="160"/>
      <c r="E679" s="160"/>
      <c r="F679" s="160"/>
      <c r="G679" s="160"/>
      <c r="H679" s="161"/>
    </row>
    <row r="680" spans="2:8" ht="15" customHeight="1" x14ac:dyDescent="0.2">
      <c r="B680" s="163"/>
      <c r="C680" s="159"/>
      <c r="D680" s="160"/>
      <c r="E680" s="160"/>
      <c r="F680" s="160"/>
      <c r="G680" s="160"/>
      <c r="H680" s="161"/>
    </row>
    <row r="681" spans="2:8" ht="15" customHeight="1" x14ac:dyDescent="0.2">
      <c r="B681" s="163"/>
      <c r="C681" s="159"/>
      <c r="D681" s="160"/>
      <c r="E681" s="160"/>
      <c r="F681" s="160"/>
      <c r="G681" s="160"/>
      <c r="H681" s="161"/>
    </row>
    <row r="682" spans="2:8" ht="15" customHeight="1" x14ac:dyDescent="0.2">
      <c r="B682" s="163"/>
      <c r="C682" s="159"/>
      <c r="D682" s="160"/>
      <c r="E682" s="160"/>
      <c r="F682" s="160"/>
      <c r="G682" s="160"/>
      <c r="H682" s="161"/>
    </row>
    <row r="683" spans="2:8" ht="15" customHeight="1" x14ac:dyDescent="0.2">
      <c r="B683" s="163"/>
      <c r="C683" s="159"/>
      <c r="D683" s="160"/>
      <c r="E683" s="160"/>
      <c r="F683" s="160"/>
      <c r="G683" s="160"/>
      <c r="H683" s="161"/>
    </row>
    <row r="684" spans="2:8" ht="15" customHeight="1" x14ac:dyDescent="0.2">
      <c r="B684" s="163"/>
      <c r="C684" s="159"/>
      <c r="D684" s="160"/>
      <c r="E684" s="160"/>
      <c r="F684" s="160"/>
      <c r="G684" s="160"/>
      <c r="H684" s="161"/>
    </row>
    <row r="685" spans="2:8" ht="15" customHeight="1" x14ac:dyDescent="0.2">
      <c r="B685" s="163"/>
      <c r="C685" s="159"/>
      <c r="D685" s="160"/>
      <c r="E685" s="160"/>
      <c r="F685" s="160"/>
      <c r="G685" s="160"/>
      <c r="H685" s="161"/>
    </row>
    <row r="686" spans="2:8" ht="15" customHeight="1" x14ac:dyDescent="0.2">
      <c r="B686" s="163"/>
      <c r="C686" s="159"/>
      <c r="D686" s="160"/>
      <c r="E686" s="160"/>
      <c r="F686" s="160"/>
      <c r="G686" s="160"/>
      <c r="H686" s="161"/>
    </row>
    <row r="687" spans="2:8" ht="15" customHeight="1" x14ac:dyDescent="0.2">
      <c r="B687" s="163"/>
      <c r="C687" s="159"/>
      <c r="D687" s="160"/>
      <c r="E687" s="160"/>
      <c r="F687" s="160"/>
      <c r="G687" s="160"/>
      <c r="H687" s="161"/>
    </row>
    <row r="688" spans="2:8" ht="15" customHeight="1" x14ac:dyDescent="0.2">
      <c r="B688" s="163"/>
      <c r="C688" s="159"/>
      <c r="D688" s="160"/>
      <c r="E688" s="160"/>
      <c r="F688" s="160"/>
      <c r="G688" s="160"/>
      <c r="H688" s="161"/>
    </row>
    <row r="689" spans="2:8" ht="15" customHeight="1" x14ac:dyDescent="0.2">
      <c r="B689" s="163"/>
      <c r="C689" s="159"/>
      <c r="D689" s="160"/>
      <c r="E689" s="160"/>
      <c r="F689" s="160"/>
      <c r="G689" s="160"/>
      <c r="H689" s="161"/>
    </row>
    <row r="690" spans="2:8" ht="15" customHeight="1" x14ac:dyDescent="0.2">
      <c r="B690" s="163"/>
      <c r="C690" s="159"/>
      <c r="D690" s="160"/>
      <c r="E690" s="160"/>
      <c r="F690" s="160"/>
      <c r="G690" s="160"/>
      <c r="H690" s="161"/>
    </row>
    <row r="691" spans="2:8" ht="15" customHeight="1" x14ac:dyDescent="0.2">
      <c r="B691" s="163"/>
      <c r="C691" s="159"/>
      <c r="D691" s="160"/>
      <c r="E691" s="160"/>
      <c r="F691" s="160"/>
      <c r="G691" s="160"/>
      <c r="H691" s="161"/>
    </row>
    <row r="692" spans="2:8" ht="15" customHeight="1" x14ac:dyDescent="0.2">
      <c r="B692" s="163"/>
      <c r="C692" s="159"/>
      <c r="D692" s="160"/>
      <c r="E692" s="160"/>
      <c r="F692" s="160"/>
      <c r="G692" s="160"/>
      <c r="H692" s="161"/>
    </row>
    <row r="693" spans="2:8" ht="15" customHeight="1" x14ac:dyDescent="0.2">
      <c r="B693" s="163"/>
      <c r="C693" s="159"/>
      <c r="D693" s="160"/>
      <c r="E693" s="160"/>
      <c r="F693" s="160"/>
      <c r="G693" s="160"/>
      <c r="H693" s="161"/>
    </row>
    <row r="694" spans="2:8" ht="15" customHeight="1" x14ac:dyDescent="0.2">
      <c r="B694" s="163"/>
      <c r="C694" s="159"/>
      <c r="D694" s="160"/>
      <c r="E694" s="160"/>
      <c r="F694" s="160"/>
      <c r="G694" s="160"/>
      <c r="H694" s="161"/>
    </row>
    <row r="695" spans="2:8" ht="15" customHeight="1" x14ac:dyDescent="0.2">
      <c r="B695" s="163"/>
      <c r="C695" s="159"/>
      <c r="D695" s="160"/>
      <c r="E695" s="160"/>
      <c r="F695" s="160"/>
      <c r="G695" s="160"/>
      <c r="H695" s="161"/>
    </row>
    <row r="696" spans="2:8" ht="15" customHeight="1" x14ac:dyDescent="0.2">
      <c r="B696" s="163"/>
      <c r="C696" s="159"/>
      <c r="D696" s="160"/>
      <c r="E696" s="160"/>
      <c r="F696" s="160"/>
      <c r="G696" s="160"/>
      <c r="H696" s="161"/>
    </row>
    <row r="697" spans="2:8" ht="15" customHeight="1" x14ac:dyDescent="0.2">
      <c r="B697" s="163"/>
      <c r="C697" s="159"/>
      <c r="D697" s="160"/>
      <c r="E697" s="160"/>
      <c r="F697" s="160"/>
      <c r="G697" s="160"/>
      <c r="H697" s="161"/>
    </row>
    <row r="698" spans="2:8" ht="15" customHeight="1" x14ac:dyDescent="0.2">
      <c r="B698" s="163"/>
      <c r="C698" s="159"/>
      <c r="D698" s="160"/>
      <c r="E698" s="160"/>
      <c r="F698" s="160"/>
      <c r="G698" s="160"/>
      <c r="H698" s="161"/>
    </row>
    <row r="699" spans="2:8" ht="15" customHeight="1" x14ac:dyDescent="0.2">
      <c r="B699" s="163"/>
      <c r="C699" s="159"/>
      <c r="D699" s="160"/>
      <c r="E699" s="160"/>
      <c r="F699" s="160"/>
      <c r="G699" s="160"/>
      <c r="H699" s="161"/>
    </row>
    <row r="700" spans="2:8" ht="15" customHeight="1" x14ac:dyDescent="0.2">
      <c r="B700" s="163"/>
      <c r="C700" s="159"/>
      <c r="D700" s="160"/>
      <c r="E700" s="160"/>
      <c r="F700" s="160"/>
      <c r="G700" s="160"/>
      <c r="H700" s="161"/>
    </row>
    <row r="701" spans="2:8" ht="15" customHeight="1" x14ac:dyDescent="0.2">
      <c r="B701" s="163"/>
      <c r="C701" s="159"/>
      <c r="D701" s="160"/>
      <c r="E701" s="160"/>
      <c r="F701" s="160"/>
      <c r="G701" s="160"/>
      <c r="H701" s="161"/>
    </row>
    <row r="702" spans="2:8" ht="15" customHeight="1" x14ac:dyDescent="0.2">
      <c r="B702" s="163"/>
      <c r="C702" s="159"/>
      <c r="D702" s="160"/>
      <c r="E702" s="160"/>
      <c r="F702" s="160"/>
      <c r="G702" s="160"/>
      <c r="H702" s="161"/>
    </row>
    <row r="703" spans="2:8" ht="15" customHeight="1" x14ac:dyDescent="0.2">
      <c r="B703" s="163"/>
      <c r="C703" s="159"/>
      <c r="D703" s="160"/>
      <c r="E703" s="160"/>
      <c r="F703" s="160"/>
      <c r="G703" s="160"/>
      <c r="H703" s="161"/>
    </row>
    <row r="704" spans="2:8" ht="15" customHeight="1" x14ac:dyDescent="0.2">
      <c r="B704" s="163"/>
      <c r="C704" s="159"/>
      <c r="D704" s="160"/>
      <c r="E704" s="160"/>
      <c r="F704" s="160"/>
      <c r="G704" s="160"/>
      <c r="H704" s="161"/>
    </row>
    <row r="705" spans="2:8" ht="15" customHeight="1" x14ac:dyDescent="0.2">
      <c r="B705" s="163"/>
      <c r="C705" s="159"/>
      <c r="D705" s="160"/>
      <c r="E705" s="160"/>
      <c r="F705" s="160"/>
      <c r="G705" s="160"/>
      <c r="H705" s="161"/>
    </row>
    <row r="706" spans="2:8" ht="15" customHeight="1" x14ac:dyDescent="0.2">
      <c r="B706" s="163"/>
      <c r="C706" s="159"/>
      <c r="D706" s="160"/>
      <c r="E706" s="160"/>
      <c r="F706" s="160"/>
      <c r="G706" s="160"/>
      <c r="H706" s="161"/>
    </row>
    <row r="707" spans="2:8" ht="15" customHeight="1" x14ac:dyDescent="0.2">
      <c r="B707" s="163"/>
      <c r="C707" s="159"/>
      <c r="D707" s="160"/>
      <c r="E707" s="160"/>
      <c r="F707" s="160"/>
      <c r="G707" s="160"/>
      <c r="H707" s="161"/>
    </row>
    <row r="708" spans="2:8" ht="15" customHeight="1" x14ac:dyDescent="0.2">
      <c r="B708" s="163"/>
      <c r="C708" s="159"/>
      <c r="D708" s="160"/>
      <c r="E708" s="160"/>
      <c r="F708" s="160"/>
      <c r="G708" s="160"/>
      <c r="H708" s="161"/>
    </row>
    <row r="709" spans="2:8" ht="15" customHeight="1" x14ac:dyDescent="0.2">
      <c r="B709" s="163"/>
      <c r="C709" s="159"/>
      <c r="D709" s="160"/>
      <c r="E709" s="160"/>
      <c r="F709" s="160"/>
      <c r="G709" s="160"/>
      <c r="H709" s="161"/>
    </row>
    <row r="710" spans="2:8" ht="15" customHeight="1" x14ac:dyDescent="0.2">
      <c r="B710" s="163"/>
      <c r="C710" s="159"/>
      <c r="D710" s="160"/>
      <c r="E710" s="160"/>
      <c r="F710" s="160"/>
      <c r="G710" s="160"/>
      <c r="H710" s="161"/>
    </row>
    <row r="711" spans="2:8" ht="15" customHeight="1" x14ac:dyDescent="0.2">
      <c r="B711" s="163"/>
      <c r="C711" s="159"/>
      <c r="D711" s="160"/>
      <c r="E711" s="160"/>
      <c r="F711" s="160"/>
      <c r="G711" s="160"/>
      <c r="H711" s="161"/>
    </row>
    <row r="712" spans="2:8" ht="15" customHeight="1" x14ac:dyDescent="0.2">
      <c r="B712" s="163"/>
      <c r="C712" s="159"/>
      <c r="D712" s="160"/>
      <c r="E712" s="160"/>
      <c r="F712" s="160"/>
      <c r="G712" s="160"/>
      <c r="H712" s="161"/>
    </row>
    <row r="713" spans="2:8" ht="15" customHeight="1" x14ac:dyDescent="0.2">
      <c r="B713" s="163"/>
      <c r="C713" s="159"/>
      <c r="D713" s="160"/>
      <c r="E713" s="160"/>
      <c r="F713" s="160"/>
      <c r="G713" s="160"/>
      <c r="H713" s="161"/>
    </row>
    <row r="714" spans="2:8" ht="15" customHeight="1" x14ac:dyDescent="0.2">
      <c r="B714" s="163"/>
      <c r="C714" s="159"/>
      <c r="D714" s="160"/>
      <c r="E714" s="160"/>
      <c r="F714" s="160"/>
      <c r="G714" s="160"/>
      <c r="H714" s="161"/>
    </row>
    <row r="715" spans="2:8" ht="15" customHeight="1" x14ac:dyDescent="0.2">
      <c r="B715" s="163"/>
      <c r="C715" s="159"/>
      <c r="D715" s="160"/>
      <c r="E715" s="160"/>
      <c r="F715" s="160"/>
      <c r="G715" s="160"/>
      <c r="H715" s="161"/>
    </row>
    <row r="716" spans="2:8" ht="15" customHeight="1" x14ac:dyDescent="0.2">
      <c r="B716" s="163"/>
      <c r="C716" s="159"/>
      <c r="D716" s="160"/>
      <c r="E716" s="160"/>
      <c r="F716" s="160"/>
      <c r="G716" s="160"/>
      <c r="H716" s="161"/>
    </row>
    <row r="717" spans="2:8" ht="15" customHeight="1" x14ac:dyDescent="0.2">
      <c r="B717" s="163"/>
      <c r="C717" s="159"/>
      <c r="D717" s="160"/>
      <c r="E717" s="160"/>
      <c r="F717" s="160"/>
      <c r="G717" s="160"/>
      <c r="H717" s="161"/>
    </row>
    <row r="718" spans="2:8" ht="15" customHeight="1" x14ac:dyDescent="0.2">
      <c r="B718" s="163"/>
      <c r="C718" s="159"/>
      <c r="D718" s="160"/>
      <c r="E718" s="160"/>
      <c r="F718" s="160"/>
      <c r="G718" s="160"/>
      <c r="H718" s="161"/>
    </row>
    <row r="719" spans="2:8" ht="15" customHeight="1" x14ac:dyDescent="0.2">
      <c r="B719" s="163"/>
      <c r="C719" s="159"/>
      <c r="D719" s="160"/>
      <c r="E719" s="160"/>
      <c r="F719" s="160"/>
      <c r="G719" s="160"/>
      <c r="H719" s="161"/>
    </row>
    <row r="720" spans="2:8" ht="15" customHeight="1" x14ac:dyDescent="0.2">
      <c r="B720" s="163"/>
      <c r="C720" s="159"/>
      <c r="D720" s="160"/>
      <c r="E720" s="160"/>
      <c r="F720" s="160"/>
      <c r="G720" s="160"/>
      <c r="H720" s="161"/>
    </row>
    <row r="721" spans="2:8" ht="15" customHeight="1" x14ac:dyDescent="0.2">
      <c r="B721" s="163"/>
      <c r="C721" s="159"/>
      <c r="D721" s="160"/>
      <c r="E721" s="160"/>
      <c r="F721" s="160"/>
      <c r="G721" s="160"/>
      <c r="H721" s="161"/>
    </row>
    <row r="722" spans="2:8" ht="15" customHeight="1" x14ac:dyDescent="0.2">
      <c r="B722" s="163"/>
      <c r="C722" s="159"/>
      <c r="D722" s="160"/>
      <c r="E722" s="160"/>
      <c r="F722" s="160"/>
      <c r="G722" s="160"/>
      <c r="H722" s="161"/>
    </row>
    <row r="723" spans="2:8" ht="15" customHeight="1" x14ac:dyDescent="0.2">
      <c r="B723" s="163"/>
      <c r="C723" s="159"/>
      <c r="D723" s="160"/>
      <c r="E723" s="160"/>
      <c r="F723" s="160"/>
      <c r="G723" s="160"/>
      <c r="H723" s="161"/>
    </row>
    <row r="724" spans="2:8" ht="15" customHeight="1" x14ac:dyDescent="0.2">
      <c r="B724" s="163"/>
      <c r="C724" s="159"/>
      <c r="D724" s="160"/>
      <c r="E724" s="160"/>
      <c r="F724" s="160"/>
      <c r="G724" s="160"/>
      <c r="H724" s="161"/>
    </row>
    <row r="725" spans="2:8" ht="15" customHeight="1" x14ac:dyDescent="0.2">
      <c r="B725" s="163"/>
      <c r="C725" s="159"/>
      <c r="D725" s="160"/>
      <c r="E725" s="160"/>
      <c r="F725" s="160"/>
      <c r="G725" s="160"/>
      <c r="H725" s="161"/>
    </row>
    <row r="726" spans="2:8" ht="15" customHeight="1" x14ac:dyDescent="0.2">
      <c r="B726" s="163"/>
      <c r="C726" s="159"/>
      <c r="D726" s="160"/>
      <c r="E726" s="160"/>
      <c r="F726" s="160"/>
      <c r="G726" s="160"/>
      <c r="H726" s="161"/>
    </row>
    <row r="727" spans="2:8" ht="15" customHeight="1" x14ac:dyDescent="0.2">
      <c r="B727" s="163"/>
      <c r="C727" s="159"/>
      <c r="D727" s="160"/>
      <c r="E727" s="160"/>
      <c r="F727" s="160"/>
      <c r="G727" s="160"/>
      <c r="H727" s="161"/>
    </row>
    <row r="728" spans="2:8" ht="15" customHeight="1" x14ac:dyDescent="0.2">
      <c r="B728" s="163"/>
      <c r="C728" s="159"/>
      <c r="D728" s="160"/>
      <c r="E728" s="160"/>
      <c r="F728" s="160"/>
      <c r="G728" s="160"/>
      <c r="H728" s="161"/>
    </row>
    <row r="729" spans="2:8" ht="15" customHeight="1" x14ac:dyDescent="0.2">
      <c r="B729" s="163"/>
      <c r="C729" s="159"/>
      <c r="D729" s="160"/>
      <c r="E729" s="160"/>
      <c r="F729" s="160"/>
      <c r="G729" s="160"/>
      <c r="H729" s="161"/>
    </row>
    <row r="730" spans="2:8" ht="15" customHeight="1" x14ac:dyDescent="0.2">
      <c r="B730" s="163"/>
      <c r="C730" s="159"/>
      <c r="D730" s="160"/>
      <c r="E730" s="160"/>
      <c r="F730" s="160"/>
      <c r="G730" s="160"/>
      <c r="H730" s="161"/>
    </row>
    <row r="731" spans="2:8" ht="15" customHeight="1" x14ac:dyDescent="0.2">
      <c r="B731" s="163"/>
      <c r="C731" s="159"/>
      <c r="D731" s="160"/>
      <c r="E731" s="160"/>
      <c r="F731" s="160"/>
      <c r="G731" s="160"/>
      <c r="H731" s="161"/>
    </row>
    <row r="732" spans="2:8" ht="15" customHeight="1" x14ac:dyDescent="0.2">
      <c r="B732" s="163"/>
      <c r="C732" s="159"/>
      <c r="D732" s="160"/>
      <c r="E732" s="160"/>
      <c r="F732" s="160"/>
      <c r="G732" s="160"/>
      <c r="H732" s="161"/>
    </row>
    <row r="733" spans="2:8" ht="15" customHeight="1" x14ac:dyDescent="0.2">
      <c r="B733" s="163"/>
      <c r="C733" s="159"/>
      <c r="D733" s="160"/>
      <c r="E733" s="160"/>
      <c r="F733" s="160"/>
      <c r="G733" s="160"/>
      <c r="H733" s="161"/>
    </row>
    <row r="734" spans="2:8" ht="15" customHeight="1" x14ac:dyDescent="0.2">
      <c r="B734" s="163"/>
      <c r="C734" s="159"/>
      <c r="D734" s="160"/>
      <c r="E734" s="160"/>
      <c r="F734" s="160"/>
      <c r="G734" s="160"/>
      <c r="H734" s="161"/>
    </row>
    <row r="735" spans="2:8" ht="15" customHeight="1" x14ac:dyDescent="0.2">
      <c r="B735" s="163"/>
      <c r="C735" s="159"/>
      <c r="D735" s="160"/>
      <c r="E735" s="160"/>
      <c r="F735" s="160"/>
      <c r="G735" s="160"/>
      <c r="H735" s="161"/>
    </row>
    <row r="736" spans="2:8" ht="15" customHeight="1" x14ac:dyDescent="0.2">
      <c r="B736" s="163"/>
      <c r="C736" s="159"/>
      <c r="D736" s="160"/>
      <c r="E736" s="160"/>
      <c r="F736" s="160"/>
      <c r="G736" s="160"/>
      <c r="H736" s="161"/>
    </row>
    <row r="737" spans="2:8" ht="15" customHeight="1" x14ac:dyDescent="0.2">
      <c r="B737" s="163"/>
      <c r="C737" s="159"/>
      <c r="D737" s="160"/>
      <c r="E737" s="160"/>
      <c r="F737" s="160"/>
      <c r="G737" s="160"/>
      <c r="H737" s="161"/>
    </row>
    <row r="738" spans="2:8" ht="15" customHeight="1" x14ac:dyDescent="0.2">
      <c r="B738" s="163"/>
      <c r="C738" s="159"/>
      <c r="D738" s="160"/>
      <c r="E738" s="160"/>
      <c r="F738" s="160"/>
      <c r="G738" s="160"/>
      <c r="H738" s="161"/>
    </row>
    <row r="739" spans="2:8" ht="15" customHeight="1" x14ac:dyDescent="0.2">
      <c r="B739" s="163"/>
      <c r="C739" s="159"/>
      <c r="D739" s="160"/>
      <c r="E739" s="160"/>
      <c r="F739" s="160"/>
      <c r="G739" s="160"/>
      <c r="H739" s="161"/>
    </row>
    <row r="740" spans="2:8" ht="15" customHeight="1" x14ac:dyDescent="0.2">
      <c r="B740" s="163"/>
      <c r="C740" s="159"/>
      <c r="D740" s="160"/>
      <c r="E740" s="160"/>
      <c r="F740" s="160"/>
      <c r="G740" s="160"/>
      <c r="H740" s="161"/>
    </row>
    <row r="741" spans="2:8" ht="15" customHeight="1" x14ac:dyDescent="0.2">
      <c r="B741" s="163"/>
      <c r="C741" s="159"/>
      <c r="D741" s="160"/>
      <c r="E741" s="160"/>
      <c r="F741" s="160"/>
      <c r="G741" s="160"/>
      <c r="H741" s="161"/>
    </row>
    <row r="742" spans="2:8" ht="15" customHeight="1" x14ac:dyDescent="0.2">
      <c r="B742" s="163"/>
      <c r="C742" s="159"/>
      <c r="D742" s="160"/>
      <c r="E742" s="160"/>
      <c r="F742" s="160"/>
      <c r="G742" s="160"/>
      <c r="H742" s="161"/>
    </row>
    <row r="743" spans="2:8" ht="15" customHeight="1" x14ac:dyDescent="0.2">
      <c r="B743" s="163"/>
      <c r="C743" s="159"/>
      <c r="D743" s="160"/>
      <c r="E743" s="160"/>
      <c r="F743" s="160"/>
      <c r="G743" s="160"/>
      <c r="H743" s="161"/>
    </row>
    <row r="744" spans="2:8" ht="15" customHeight="1" x14ac:dyDescent="0.2">
      <c r="B744" s="163"/>
      <c r="C744" s="159"/>
      <c r="D744" s="160"/>
      <c r="E744" s="160"/>
      <c r="F744" s="160"/>
      <c r="G744" s="160"/>
      <c r="H744" s="161"/>
    </row>
    <row r="745" spans="2:8" ht="15" customHeight="1" x14ac:dyDescent="0.2">
      <c r="B745" s="163"/>
      <c r="C745" s="159"/>
      <c r="D745" s="160"/>
      <c r="E745" s="160"/>
      <c r="F745" s="160"/>
      <c r="G745" s="160"/>
      <c r="H745" s="161"/>
    </row>
    <row r="746" spans="2:8" ht="15" customHeight="1" x14ac:dyDescent="0.2">
      <c r="B746" s="163"/>
      <c r="C746" s="159"/>
      <c r="D746" s="160"/>
      <c r="E746" s="160"/>
      <c r="F746" s="160"/>
      <c r="G746" s="160"/>
      <c r="H746" s="161"/>
    </row>
    <row r="747" spans="2:8" ht="15" customHeight="1" x14ac:dyDescent="0.2">
      <c r="B747" s="163"/>
      <c r="C747" s="159"/>
      <c r="D747" s="160"/>
      <c r="E747" s="160"/>
      <c r="F747" s="160"/>
      <c r="G747" s="160"/>
      <c r="H747" s="161"/>
    </row>
    <row r="748" spans="2:8" ht="15" customHeight="1" x14ac:dyDescent="0.2">
      <c r="B748" s="163"/>
      <c r="C748" s="159"/>
      <c r="D748" s="160"/>
      <c r="E748" s="160"/>
      <c r="F748" s="160"/>
      <c r="G748" s="160"/>
      <c r="H748" s="161"/>
    </row>
    <row r="749" spans="2:8" ht="15" customHeight="1" x14ac:dyDescent="0.2">
      <c r="B749" s="163"/>
      <c r="C749" s="159"/>
      <c r="D749" s="160"/>
      <c r="E749" s="160"/>
      <c r="F749" s="160"/>
      <c r="G749" s="160"/>
      <c r="H749" s="161"/>
    </row>
    <row r="750" spans="2:8" ht="15" customHeight="1" x14ac:dyDescent="0.2">
      <c r="B750" s="163"/>
      <c r="C750" s="159"/>
      <c r="D750" s="160"/>
      <c r="E750" s="160"/>
      <c r="F750" s="160"/>
      <c r="G750" s="160"/>
      <c r="H750" s="161"/>
    </row>
    <row r="751" spans="2:8" ht="15" customHeight="1" x14ac:dyDescent="0.2">
      <c r="B751" s="163"/>
      <c r="C751" s="159"/>
      <c r="D751" s="160"/>
      <c r="E751" s="160"/>
      <c r="F751" s="160"/>
      <c r="G751" s="160"/>
      <c r="H751" s="161"/>
    </row>
    <row r="752" spans="2:8" ht="15" customHeight="1" x14ac:dyDescent="0.2">
      <c r="B752" s="163"/>
      <c r="C752" s="159"/>
      <c r="D752" s="160"/>
      <c r="E752" s="160"/>
      <c r="F752" s="160"/>
      <c r="G752" s="160"/>
      <c r="H752" s="161"/>
    </row>
    <row r="753" spans="2:8" ht="15" customHeight="1" x14ac:dyDescent="0.2">
      <c r="B753" s="163"/>
      <c r="C753" s="159"/>
      <c r="D753" s="160"/>
      <c r="E753" s="160"/>
      <c r="F753" s="160"/>
      <c r="G753" s="160"/>
      <c r="H753" s="161"/>
    </row>
    <row r="754" spans="2:8" ht="15" customHeight="1" x14ac:dyDescent="0.2">
      <c r="B754" s="163"/>
      <c r="C754" s="159"/>
      <c r="D754" s="160"/>
      <c r="E754" s="160"/>
      <c r="F754" s="160"/>
      <c r="G754" s="160"/>
      <c r="H754" s="161"/>
    </row>
    <row r="755" spans="2:8" ht="15" customHeight="1" x14ac:dyDescent="0.2">
      <c r="B755" s="163"/>
      <c r="C755" s="159"/>
      <c r="D755" s="160"/>
      <c r="E755" s="160"/>
      <c r="F755" s="160"/>
      <c r="G755" s="160"/>
      <c r="H755" s="161"/>
    </row>
    <row r="756" spans="2:8" ht="15" customHeight="1" x14ac:dyDescent="0.2">
      <c r="B756" s="163"/>
      <c r="C756" s="159"/>
      <c r="D756" s="160"/>
      <c r="E756" s="160"/>
      <c r="F756" s="160"/>
      <c r="G756" s="160"/>
      <c r="H756" s="161"/>
    </row>
    <row r="757" spans="2:8" ht="15" customHeight="1" x14ac:dyDescent="0.2">
      <c r="B757" s="163"/>
      <c r="C757" s="159"/>
      <c r="D757" s="160"/>
      <c r="E757" s="160"/>
      <c r="F757" s="160"/>
      <c r="G757" s="160"/>
      <c r="H757" s="161"/>
    </row>
    <row r="758" spans="2:8" ht="15" customHeight="1" x14ac:dyDescent="0.2">
      <c r="B758" s="163"/>
      <c r="C758" s="159"/>
      <c r="D758" s="160"/>
      <c r="E758" s="160"/>
      <c r="F758" s="160"/>
      <c r="G758" s="160"/>
      <c r="H758" s="161"/>
    </row>
    <row r="759" spans="2:8" ht="15" customHeight="1" x14ac:dyDescent="0.2">
      <c r="B759" s="163"/>
      <c r="C759" s="159"/>
      <c r="D759" s="160"/>
      <c r="E759" s="160"/>
      <c r="F759" s="160"/>
      <c r="G759" s="160"/>
      <c r="H759" s="161"/>
    </row>
    <row r="760" spans="2:8" ht="15" customHeight="1" x14ac:dyDescent="0.2">
      <c r="B760" s="163"/>
      <c r="C760" s="159"/>
      <c r="D760" s="160"/>
      <c r="E760" s="160"/>
      <c r="F760" s="160"/>
      <c r="G760" s="160"/>
      <c r="H760" s="161"/>
    </row>
    <row r="761" spans="2:8" ht="15" customHeight="1" x14ac:dyDescent="0.2">
      <c r="B761" s="163"/>
      <c r="C761" s="159"/>
      <c r="D761" s="160"/>
      <c r="E761" s="160"/>
      <c r="F761" s="160"/>
      <c r="G761" s="160"/>
      <c r="H761" s="161"/>
    </row>
    <row r="762" spans="2:8" ht="15" customHeight="1" x14ac:dyDescent="0.2">
      <c r="B762" s="163"/>
      <c r="C762" s="159"/>
      <c r="D762" s="160"/>
      <c r="E762" s="160"/>
      <c r="F762" s="160"/>
      <c r="G762" s="160"/>
      <c r="H762" s="161"/>
    </row>
    <row r="763" spans="2:8" ht="15" customHeight="1" x14ac:dyDescent="0.2">
      <c r="B763" s="163"/>
      <c r="C763" s="159"/>
      <c r="D763" s="160"/>
      <c r="E763" s="160"/>
      <c r="F763" s="160"/>
      <c r="G763" s="160"/>
      <c r="H763" s="161"/>
    </row>
    <row r="764" spans="2:8" ht="15" customHeight="1" x14ac:dyDescent="0.2">
      <c r="B764" s="163"/>
      <c r="C764" s="159"/>
      <c r="D764" s="160"/>
      <c r="E764" s="160"/>
      <c r="F764" s="160"/>
      <c r="G764" s="160"/>
      <c r="H764" s="161"/>
    </row>
    <row r="765" spans="2:8" ht="15" customHeight="1" x14ac:dyDescent="0.2">
      <c r="B765" s="163"/>
      <c r="C765" s="159"/>
      <c r="D765" s="160"/>
      <c r="E765" s="160"/>
      <c r="F765" s="160"/>
      <c r="G765" s="160"/>
      <c r="H765" s="161"/>
    </row>
    <row r="766" spans="2:8" ht="15" customHeight="1" x14ac:dyDescent="0.2">
      <c r="B766" s="163"/>
      <c r="C766" s="159"/>
      <c r="D766" s="160"/>
      <c r="E766" s="160"/>
      <c r="F766" s="160"/>
      <c r="G766" s="160"/>
      <c r="H766" s="161"/>
    </row>
    <row r="767" spans="2:8" ht="15" customHeight="1" x14ac:dyDescent="0.2">
      <c r="B767" s="163"/>
      <c r="C767" s="159"/>
      <c r="D767" s="160"/>
      <c r="E767" s="160"/>
      <c r="F767" s="160"/>
      <c r="G767" s="160"/>
      <c r="H767" s="161"/>
    </row>
    <row r="768" spans="2:8" ht="15" customHeight="1" x14ac:dyDescent="0.2">
      <c r="B768" s="163"/>
      <c r="C768" s="159"/>
      <c r="D768" s="160"/>
      <c r="E768" s="160"/>
      <c r="F768" s="160"/>
      <c r="G768" s="160"/>
      <c r="H768" s="161"/>
    </row>
    <row r="769" spans="2:8" ht="15" customHeight="1" x14ac:dyDescent="0.2">
      <c r="B769" s="163"/>
      <c r="C769" s="159"/>
      <c r="D769" s="160"/>
      <c r="E769" s="160"/>
      <c r="F769" s="160"/>
      <c r="G769" s="160"/>
      <c r="H769" s="161"/>
    </row>
    <row r="770" spans="2:8" ht="15" customHeight="1" x14ac:dyDescent="0.2">
      <c r="B770" s="163"/>
      <c r="C770" s="159"/>
      <c r="D770" s="160"/>
      <c r="E770" s="160"/>
      <c r="F770" s="160"/>
      <c r="G770" s="160"/>
      <c r="H770" s="161"/>
    </row>
    <row r="771" spans="2:8" ht="15" customHeight="1" x14ac:dyDescent="0.2">
      <c r="B771" s="163"/>
      <c r="C771" s="159"/>
      <c r="D771" s="160"/>
      <c r="E771" s="160"/>
      <c r="F771" s="160"/>
      <c r="G771" s="160"/>
      <c r="H771" s="161"/>
    </row>
    <row r="772" spans="2:8" ht="15" customHeight="1" x14ac:dyDescent="0.2">
      <c r="B772" s="163"/>
      <c r="C772" s="159"/>
      <c r="D772" s="160"/>
      <c r="E772" s="160"/>
      <c r="F772" s="160"/>
      <c r="G772" s="160"/>
      <c r="H772" s="161"/>
    </row>
    <row r="773" spans="2:8" ht="15" customHeight="1" x14ac:dyDescent="0.2">
      <c r="B773" s="163"/>
      <c r="C773" s="159"/>
      <c r="D773" s="160"/>
      <c r="E773" s="160"/>
      <c r="F773" s="160"/>
      <c r="G773" s="160"/>
      <c r="H773" s="161"/>
    </row>
    <row r="774" spans="2:8" ht="15" customHeight="1" x14ac:dyDescent="0.2">
      <c r="B774" s="163"/>
      <c r="C774" s="159"/>
      <c r="D774" s="160"/>
      <c r="E774" s="160"/>
      <c r="F774" s="160"/>
      <c r="G774" s="160"/>
      <c r="H774" s="161"/>
    </row>
    <row r="775" spans="2:8" ht="15" customHeight="1" x14ac:dyDescent="0.2">
      <c r="B775" s="163"/>
      <c r="C775" s="159"/>
      <c r="D775" s="160"/>
      <c r="E775" s="160"/>
      <c r="F775" s="160"/>
      <c r="G775" s="160"/>
      <c r="H775" s="161"/>
    </row>
    <row r="776" spans="2:8" ht="15" customHeight="1" x14ac:dyDescent="0.2">
      <c r="B776" s="163"/>
      <c r="C776" s="159"/>
      <c r="D776" s="160"/>
      <c r="E776" s="160"/>
      <c r="F776" s="160"/>
      <c r="G776" s="160"/>
      <c r="H776" s="161"/>
    </row>
    <row r="777" spans="2:8" ht="15" customHeight="1" x14ac:dyDescent="0.2">
      <c r="B777" s="163"/>
      <c r="C777" s="159"/>
      <c r="D777" s="160"/>
      <c r="E777" s="160"/>
      <c r="F777" s="160"/>
      <c r="G777" s="160"/>
      <c r="H777" s="161"/>
    </row>
    <row r="778" spans="2:8" ht="15" customHeight="1" x14ac:dyDescent="0.2">
      <c r="B778" s="163"/>
      <c r="C778" s="159"/>
      <c r="D778" s="160"/>
      <c r="E778" s="160"/>
      <c r="F778" s="160"/>
      <c r="G778" s="160"/>
      <c r="H778" s="161"/>
    </row>
    <row r="779" spans="2:8" ht="15" customHeight="1" x14ac:dyDescent="0.2">
      <c r="B779" s="163"/>
      <c r="C779" s="159"/>
      <c r="D779" s="160"/>
      <c r="E779" s="160"/>
      <c r="F779" s="160"/>
      <c r="G779" s="160"/>
      <c r="H779" s="161"/>
    </row>
    <row r="780" spans="2:8" ht="15" customHeight="1" x14ac:dyDescent="0.2">
      <c r="B780" s="163"/>
      <c r="C780" s="159"/>
      <c r="D780" s="160"/>
      <c r="E780" s="160"/>
      <c r="F780" s="160"/>
      <c r="G780" s="160"/>
      <c r="H780" s="161"/>
    </row>
    <row r="781" spans="2:8" ht="15" customHeight="1" x14ac:dyDescent="0.2">
      <c r="B781" s="163"/>
      <c r="C781" s="159"/>
      <c r="D781" s="160"/>
      <c r="E781" s="160"/>
      <c r="F781" s="160"/>
      <c r="G781" s="160"/>
      <c r="H781" s="161"/>
    </row>
    <row r="782" spans="2:8" ht="15" customHeight="1" x14ac:dyDescent="0.2">
      <c r="B782" s="163"/>
      <c r="C782" s="159"/>
      <c r="D782" s="160"/>
      <c r="E782" s="160"/>
      <c r="F782" s="160"/>
      <c r="G782" s="160"/>
      <c r="H782" s="161"/>
    </row>
    <row r="783" spans="2:8" ht="15" customHeight="1" x14ac:dyDescent="0.2">
      <c r="B783" s="163"/>
      <c r="C783" s="159"/>
      <c r="D783" s="160"/>
      <c r="E783" s="160"/>
      <c r="F783" s="160"/>
      <c r="G783" s="160"/>
      <c r="H783" s="161"/>
    </row>
    <row r="784" spans="2:8" ht="15" customHeight="1" x14ac:dyDescent="0.2">
      <c r="B784" s="163"/>
      <c r="C784" s="159"/>
      <c r="D784" s="160"/>
      <c r="E784" s="160"/>
      <c r="F784" s="160"/>
      <c r="G784" s="160"/>
      <c r="H784" s="161"/>
    </row>
    <row r="785" spans="2:8" ht="15" customHeight="1" x14ac:dyDescent="0.2">
      <c r="B785" s="163"/>
      <c r="C785" s="159"/>
      <c r="D785" s="160"/>
      <c r="E785" s="160"/>
      <c r="F785" s="160"/>
      <c r="G785" s="160"/>
      <c r="H785" s="161"/>
    </row>
    <row r="786" spans="2:8" ht="15" customHeight="1" x14ac:dyDescent="0.2">
      <c r="B786" s="163"/>
      <c r="C786" s="159"/>
      <c r="D786" s="160"/>
      <c r="E786" s="160"/>
      <c r="F786" s="160"/>
      <c r="G786" s="160"/>
      <c r="H786" s="161"/>
    </row>
    <row r="787" spans="2:8" ht="15" customHeight="1" x14ac:dyDescent="0.2">
      <c r="B787" s="163"/>
      <c r="C787" s="159"/>
      <c r="D787" s="160"/>
      <c r="E787" s="160"/>
      <c r="F787" s="160"/>
      <c r="G787" s="160"/>
      <c r="H787" s="161"/>
    </row>
    <row r="788" spans="2:8" ht="15" customHeight="1" x14ac:dyDescent="0.2">
      <c r="B788" s="163"/>
      <c r="C788" s="159"/>
      <c r="D788" s="160"/>
      <c r="E788" s="160"/>
      <c r="F788" s="160"/>
      <c r="G788" s="160"/>
      <c r="H788" s="161"/>
    </row>
    <row r="789" spans="2:8" ht="15" customHeight="1" x14ac:dyDescent="0.2">
      <c r="B789" s="163"/>
      <c r="C789" s="159"/>
      <c r="D789" s="160"/>
      <c r="E789" s="160"/>
      <c r="F789" s="160"/>
      <c r="G789" s="160"/>
      <c r="H789" s="161"/>
    </row>
    <row r="790" spans="2:8" ht="15" customHeight="1" x14ac:dyDescent="0.2">
      <c r="B790" s="163"/>
      <c r="C790" s="159"/>
      <c r="D790" s="160"/>
      <c r="E790" s="160"/>
      <c r="F790" s="160"/>
      <c r="G790" s="160"/>
      <c r="H790" s="161"/>
    </row>
    <row r="791" spans="2:8" ht="15" customHeight="1" x14ac:dyDescent="0.2">
      <c r="B791" s="163"/>
      <c r="C791" s="159"/>
      <c r="D791" s="160"/>
      <c r="E791" s="160"/>
      <c r="F791" s="160"/>
      <c r="G791" s="160"/>
      <c r="H791" s="161"/>
    </row>
    <row r="792" spans="2:8" ht="15" customHeight="1" x14ac:dyDescent="0.2">
      <c r="B792" s="163"/>
      <c r="C792" s="159"/>
      <c r="D792" s="160"/>
      <c r="E792" s="160"/>
      <c r="F792" s="160"/>
      <c r="G792" s="160"/>
      <c r="H792" s="161"/>
    </row>
    <row r="793" spans="2:8" ht="15" customHeight="1" x14ac:dyDescent="0.2">
      <c r="B793" s="163"/>
      <c r="C793" s="159"/>
      <c r="D793" s="160"/>
      <c r="E793" s="160"/>
      <c r="F793" s="160"/>
      <c r="G793" s="160"/>
      <c r="H793" s="161"/>
    </row>
    <row r="794" spans="2:8" ht="15" customHeight="1" x14ac:dyDescent="0.2">
      <c r="B794" s="163"/>
      <c r="C794" s="159"/>
      <c r="D794" s="160"/>
      <c r="E794" s="160"/>
      <c r="F794" s="160"/>
      <c r="G794" s="160"/>
      <c r="H794" s="161"/>
    </row>
    <row r="795" spans="2:8" ht="15" customHeight="1" x14ac:dyDescent="0.2">
      <c r="B795" s="163"/>
      <c r="C795" s="159"/>
      <c r="D795" s="160"/>
      <c r="E795" s="160"/>
      <c r="F795" s="160"/>
      <c r="G795" s="160"/>
      <c r="H795" s="161"/>
    </row>
    <row r="796" spans="2:8" ht="15" customHeight="1" x14ac:dyDescent="0.2">
      <c r="B796" s="163"/>
      <c r="C796" s="159"/>
      <c r="D796" s="160"/>
      <c r="E796" s="160"/>
      <c r="F796" s="160"/>
      <c r="G796" s="160"/>
      <c r="H796" s="161"/>
    </row>
    <row r="797" spans="2:8" ht="15" customHeight="1" x14ac:dyDescent="0.2">
      <c r="B797" s="163"/>
      <c r="C797" s="159"/>
      <c r="D797" s="160"/>
      <c r="E797" s="160"/>
      <c r="F797" s="160"/>
      <c r="G797" s="160"/>
      <c r="H797" s="161"/>
    </row>
    <row r="798" spans="2:8" ht="15" customHeight="1" x14ac:dyDescent="0.2">
      <c r="B798" s="163"/>
      <c r="C798" s="159"/>
      <c r="D798" s="160"/>
      <c r="E798" s="160"/>
      <c r="F798" s="160"/>
      <c r="G798" s="160"/>
      <c r="H798" s="161"/>
    </row>
    <row r="799" spans="2:8" ht="15" customHeight="1" x14ac:dyDescent="0.2">
      <c r="B799" s="163"/>
      <c r="C799" s="159"/>
      <c r="D799" s="160"/>
      <c r="E799" s="160"/>
      <c r="F799" s="160"/>
      <c r="G799" s="160"/>
      <c r="H799" s="161"/>
    </row>
    <row r="800" spans="2:8" ht="15" customHeight="1" x14ac:dyDescent="0.2">
      <c r="B800" s="163"/>
      <c r="C800" s="159"/>
      <c r="D800" s="160"/>
      <c r="E800" s="160"/>
      <c r="F800" s="160"/>
      <c r="G800" s="160"/>
      <c r="H800" s="161"/>
    </row>
    <row r="801" spans="2:8" ht="15" customHeight="1" x14ac:dyDescent="0.2">
      <c r="B801" s="163"/>
      <c r="C801" s="159"/>
      <c r="D801" s="160"/>
      <c r="E801" s="160"/>
      <c r="F801" s="160"/>
      <c r="G801" s="160"/>
      <c r="H801" s="161"/>
    </row>
    <row r="802" spans="2:8" ht="15" customHeight="1" x14ac:dyDescent="0.2">
      <c r="B802" s="163"/>
      <c r="C802" s="159"/>
      <c r="D802" s="160"/>
      <c r="E802" s="160"/>
      <c r="F802" s="160"/>
      <c r="G802" s="160"/>
      <c r="H802" s="161"/>
    </row>
    <row r="803" spans="2:8" ht="15" customHeight="1" x14ac:dyDescent="0.2">
      <c r="B803" s="163"/>
      <c r="C803" s="159"/>
      <c r="D803" s="160"/>
      <c r="E803" s="160"/>
      <c r="F803" s="160"/>
      <c r="G803" s="160"/>
      <c r="H803" s="161"/>
    </row>
    <row r="804" spans="2:8" ht="15" customHeight="1" x14ac:dyDescent="0.2">
      <c r="B804" s="163"/>
      <c r="C804" s="159"/>
      <c r="D804" s="160"/>
      <c r="E804" s="160"/>
      <c r="F804" s="160"/>
      <c r="G804" s="160"/>
      <c r="H804" s="161"/>
    </row>
    <row r="805" spans="2:8" ht="15" customHeight="1" x14ac:dyDescent="0.2">
      <c r="B805" s="163"/>
      <c r="C805" s="159"/>
      <c r="D805" s="160"/>
      <c r="E805" s="160"/>
      <c r="F805" s="160"/>
      <c r="G805" s="160"/>
      <c r="H805" s="161"/>
    </row>
    <row r="806" spans="2:8" ht="15" customHeight="1" x14ac:dyDescent="0.2">
      <c r="B806" s="163"/>
      <c r="C806" s="159"/>
      <c r="D806" s="160"/>
      <c r="E806" s="160"/>
      <c r="F806" s="160"/>
      <c r="G806" s="160"/>
      <c r="H806" s="161"/>
    </row>
    <row r="807" spans="2:8" ht="15" customHeight="1" x14ac:dyDescent="0.2">
      <c r="B807" s="163"/>
      <c r="C807" s="159"/>
      <c r="D807" s="160"/>
      <c r="E807" s="160"/>
      <c r="F807" s="160"/>
      <c r="G807" s="160"/>
      <c r="H807" s="161"/>
    </row>
    <row r="808" spans="2:8" ht="15" customHeight="1" x14ac:dyDescent="0.2">
      <c r="B808" s="163"/>
      <c r="C808" s="159"/>
      <c r="D808" s="160"/>
      <c r="E808" s="160"/>
      <c r="F808" s="160"/>
      <c r="G808" s="160"/>
      <c r="H808" s="161"/>
    </row>
    <row r="809" spans="2:8" ht="15" customHeight="1" x14ac:dyDescent="0.2">
      <c r="B809" s="163"/>
      <c r="C809" s="159"/>
      <c r="D809" s="160"/>
      <c r="E809" s="160"/>
      <c r="F809" s="160"/>
      <c r="G809" s="160"/>
      <c r="H809" s="161"/>
    </row>
    <row r="810" spans="2:8" ht="15" customHeight="1" x14ac:dyDescent="0.2">
      <c r="B810" s="163"/>
      <c r="C810" s="159"/>
      <c r="D810" s="160"/>
      <c r="E810" s="160"/>
      <c r="F810" s="160"/>
      <c r="G810" s="160"/>
      <c r="H810" s="161"/>
    </row>
    <row r="811" spans="2:8" ht="15" customHeight="1" x14ac:dyDescent="0.2">
      <c r="B811" s="163"/>
      <c r="C811" s="159"/>
      <c r="D811" s="160"/>
      <c r="E811" s="160"/>
      <c r="F811" s="160"/>
      <c r="G811" s="160"/>
      <c r="H811" s="161"/>
    </row>
    <row r="812" spans="2:8" ht="15" customHeight="1" x14ac:dyDescent="0.2">
      <c r="B812" s="163"/>
      <c r="C812" s="159"/>
      <c r="D812" s="160"/>
      <c r="E812" s="160"/>
      <c r="F812" s="160"/>
      <c r="G812" s="160"/>
      <c r="H812" s="161"/>
    </row>
    <row r="813" spans="2:8" ht="15" customHeight="1" x14ac:dyDescent="0.2">
      <c r="B813" s="163"/>
      <c r="C813" s="159"/>
      <c r="D813" s="160"/>
      <c r="E813" s="160"/>
      <c r="F813" s="160"/>
      <c r="G813" s="160"/>
      <c r="H813" s="161"/>
    </row>
    <row r="814" spans="2:8" ht="15" customHeight="1" x14ac:dyDescent="0.2">
      <c r="B814" s="163"/>
      <c r="C814" s="159"/>
      <c r="D814" s="160"/>
      <c r="E814" s="160"/>
      <c r="F814" s="160"/>
      <c r="G814" s="160"/>
      <c r="H814" s="161"/>
    </row>
    <row r="815" spans="2:8" ht="15" customHeight="1" x14ac:dyDescent="0.2">
      <c r="B815" s="163"/>
      <c r="C815" s="159"/>
      <c r="D815" s="160"/>
      <c r="E815" s="160"/>
      <c r="F815" s="160"/>
      <c r="G815" s="160"/>
      <c r="H815" s="161"/>
    </row>
    <row r="816" spans="2:8" ht="15" customHeight="1" x14ac:dyDescent="0.2">
      <c r="B816" s="163"/>
      <c r="C816" s="159"/>
      <c r="D816" s="160"/>
      <c r="E816" s="160"/>
      <c r="F816" s="160"/>
      <c r="G816" s="160"/>
      <c r="H816" s="161"/>
    </row>
    <row r="817" spans="2:8" ht="15" customHeight="1" x14ac:dyDescent="0.2">
      <c r="B817" s="163"/>
      <c r="C817" s="159"/>
      <c r="D817" s="160"/>
      <c r="E817" s="160"/>
      <c r="F817" s="160"/>
      <c r="G817" s="160"/>
      <c r="H817" s="161"/>
    </row>
    <row r="818" spans="2:8" ht="15" customHeight="1" x14ac:dyDescent="0.2">
      <c r="B818" s="163"/>
      <c r="C818" s="159"/>
      <c r="D818" s="160"/>
      <c r="E818" s="160"/>
      <c r="F818" s="160"/>
      <c r="G818" s="160"/>
      <c r="H818" s="161"/>
    </row>
    <row r="819" spans="2:8" ht="15" customHeight="1" x14ac:dyDescent="0.2">
      <c r="B819" s="163"/>
      <c r="C819" s="159"/>
      <c r="D819" s="160"/>
      <c r="E819" s="160"/>
      <c r="F819" s="160"/>
      <c r="G819" s="160"/>
      <c r="H819" s="161"/>
    </row>
    <row r="820" spans="2:8" ht="15" customHeight="1" x14ac:dyDescent="0.2">
      <c r="B820" s="163"/>
      <c r="C820" s="159"/>
      <c r="D820" s="160"/>
      <c r="E820" s="160"/>
      <c r="F820" s="160"/>
      <c r="G820" s="160"/>
      <c r="H820" s="161"/>
    </row>
    <row r="821" spans="2:8" ht="15" customHeight="1" x14ac:dyDescent="0.2">
      <c r="B821" s="163"/>
      <c r="C821" s="159"/>
      <c r="D821" s="160"/>
      <c r="E821" s="160"/>
      <c r="F821" s="160"/>
      <c r="G821" s="160"/>
      <c r="H821" s="161"/>
    </row>
    <row r="822" spans="2:8" ht="15" customHeight="1" x14ac:dyDescent="0.2">
      <c r="B822" s="163"/>
      <c r="C822" s="159"/>
      <c r="D822" s="160"/>
      <c r="E822" s="160"/>
      <c r="F822" s="160"/>
      <c r="G822" s="160"/>
      <c r="H822" s="161"/>
    </row>
    <row r="823" spans="2:8" ht="15" customHeight="1" x14ac:dyDescent="0.2">
      <c r="B823" s="163"/>
      <c r="C823" s="159"/>
      <c r="D823" s="160"/>
      <c r="E823" s="160"/>
      <c r="F823" s="160"/>
      <c r="G823" s="160"/>
      <c r="H823" s="161"/>
    </row>
    <row r="824" spans="2:8" ht="15" customHeight="1" x14ac:dyDescent="0.2">
      <c r="B824" s="163"/>
      <c r="C824" s="159"/>
      <c r="D824" s="160"/>
      <c r="E824" s="160"/>
      <c r="F824" s="160"/>
      <c r="G824" s="160"/>
      <c r="H824" s="161"/>
    </row>
    <row r="825" spans="2:8" ht="15" customHeight="1" x14ac:dyDescent="0.2">
      <c r="B825" s="163"/>
      <c r="C825" s="159"/>
      <c r="D825" s="160"/>
      <c r="E825" s="160"/>
      <c r="F825" s="160"/>
      <c r="G825" s="160"/>
      <c r="H825" s="161"/>
    </row>
    <row r="826" spans="2:8" ht="15" customHeight="1" x14ac:dyDescent="0.2">
      <c r="B826" s="163"/>
      <c r="C826" s="159"/>
      <c r="D826" s="160"/>
      <c r="E826" s="160"/>
      <c r="F826" s="160"/>
      <c r="G826" s="160"/>
      <c r="H826" s="161"/>
    </row>
    <row r="827" spans="2:8" ht="15" customHeight="1" x14ac:dyDescent="0.2">
      <c r="B827" s="163"/>
      <c r="C827" s="159"/>
      <c r="D827" s="160"/>
      <c r="E827" s="160"/>
      <c r="F827" s="160"/>
      <c r="G827" s="160"/>
      <c r="H827" s="161"/>
    </row>
    <row r="828" spans="2:8" ht="15" customHeight="1" x14ac:dyDescent="0.2">
      <c r="B828" s="163"/>
      <c r="C828" s="159"/>
      <c r="D828" s="160"/>
      <c r="E828" s="160"/>
      <c r="F828" s="160"/>
      <c r="G828" s="160"/>
      <c r="H828" s="161"/>
    </row>
    <row r="829" spans="2:8" ht="15" customHeight="1" x14ac:dyDescent="0.2">
      <c r="B829" s="163"/>
      <c r="C829" s="159"/>
      <c r="D829" s="160"/>
      <c r="E829" s="160"/>
      <c r="F829" s="160"/>
      <c r="G829" s="160"/>
      <c r="H829" s="161"/>
    </row>
    <row r="830" spans="2:8" ht="15" customHeight="1" x14ac:dyDescent="0.2">
      <c r="B830" s="163"/>
      <c r="C830" s="159"/>
      <c r="D830" s="160"/>
      <c r="E830" s="160"/>
      <c r="F830" s="160"/>
      <c r="G830" s="160"/>
      <c r="H830" s="161"/>
    </row>
    <row r="831" spans="2:8" ht="15" customHeight="1" x14ac:dyDescent="0.2">
      <c r="B831" s="163"/>
      <c r="C831" s="159"/>
      <c r="D831" s="160"/>
      <c r="E831" s="160"/>
      <c r="F831" s="160"/>
      <c r="G831" s="160"/>
      <c r="H831" s="161"/>
    </row>
    <row r="832" spans="2:8" ht="15" customHeight="1" x14ac:dyDescent="0.2">
      <c r="B832" s="163"/>
      <c r="C832" s="159"/>
      <c r="D832" s="160"/>
      <c r="E832" s="160"/>
      <c r="F832" s="160"/>
      <c r="G832" s="160"/>
      <c r="H832" s="161"/>
    </row>
    <row r="833" spans="2:8" ht="15" customHeight="1" x14ac:dyDescent="0.2">
      <c r="B833" s="163"/>
      <c r="C833" s="159"/>
      <c r="D833" s="160"/>
      <c r="E833" s="160"/>
      <c r="F833" s="160"/>
      <c r="G833" s="160"/>
      <c r="H833" s="161"/>
    </row>
    <row r="834" spans="2:8" ht="15" customHeight="1" x14ac:dyDescent="0.2">
      <c r="B834" s="163"/>
      <c r="C834" s="159"/>
      <c r="D834" s="160"/>
      <c r="E834" s="160"/>
      <c r="F834" s="160"/>
      <c r="G834" s="160"/>
      <c r="H834" s="161"/>
    </row>
    <row r="835" spans="2:8" ht="15" customHeight="1" x14ac:dyDescent="0.2">
      <c r="B835" s="163"/>
      <c r="C835" s="159"/>
      <c r="D835" s="160"/>
      <c r="E835" s="160"/>
      <c r="F835" s="160"/>
      <c r="G835" s="160"/>
      <c r="H835" s="161"/>
    </row>
    <row r="836" spans="2:8" ht="15" customHeight="1" x14ac:dyDescent="0.2">
      <c r="B836" s="163"/>
      <c r="C836" s="159"/>
      <c r="D836" s="160"/>
      <c r="E836" s="160"/>
      <c r="F836" s="160"/>
      <c r="G836" s="160"/>
      <c r="H836" s="161"/>
    </row>
    <row r="837" spans="2:8" ht="15" customHeight="1" x14ac:dyDescent="0.2">
      <c r="B837" s="163"/>
      <c r="C837" s="159"/>
      <c r="D837" s="160"/>
      <c r="E837" s="160"/>
      <c r="F837" s="160"/>
      <c r="G837" s="160"/>
      <c r="H837" s="161"/>
    </row>
    <row r="838" spans="2:8" ht="15" customHeight="1" x14ac:dyDescent="0.2">
      <c r="B838" s="163"/>
      <c r="C838" s="159"/>
      <c r="D838" s="160"/>
      <c r="E838" s="160"/>
      <c r="F838" s="160"/>
      <c r="G838" s="160"/>
      <c r="H838" s="161"/>
    </row>
    <row r="839" spans="2:8" ht="15" customHeight="1" x14ac:dyDescent="0.2">
      <c r="B839" s="163"/>
      <c r="C839" s="159"/>
      <c r="D839" s="160"/>
      <c r="E839" s="160"/>
      <c r="F839" s="160"/>
      <c r="G839" s="160"/>
      <c r="H839" s="161"/>
    </row>
    <row r="840" spans="2:8" ht="15" customHeight="1" x14ac:dyDescent="0.2">
      <c r="B840" s="163"/>
      <c r="C840" s="159"/>
      <c r="D840" s="160"/>
      <c r="E840" s="160"/>
      <c r="F840" s="160"/>
      <c r="G840" s="160"/>
      <c r="H840" s="161"/>
    </row>
    <row r="841" spans="2:8" ht="15" customHeight="1" x14ac:dyDescent="0.2">
      <c r="B841" s="163"/>
      <c r="C841" s="159"/>
      <c r="D841" s="160"/>
      <c r="E841" s="160"/>
      <c r="F841" s="160"/>
      <c r="G841" s="160"/>
      <c r="H841" s="161"/>
    </row>
    <row r="842" spans="2:8" ht="15" customHeight="1" x14ac:dyDescent="0.2">
      <c r="B842" s="163"/>
      <c r="C842" s="159"/>
      <c r="D842" s="160"/>
      <c r="E842" s="160"/>
      <c r="F842" s="160"/>
      <c r="G842" s="160"/>
      <c r="H842" s="161"/>
    </row>
    <row r="843" spans="2:8" ht="15" customHeight="1" x14ac:dyDescent="0.2">
      <c r="B843" s="163"/>
      <c r="C843" s="159"/>
      <c r="D843" s="160"/>
      <c r="E843" s="160"/>
      <c r="F843" s="160"/>
      <c r="G843" s="160"/>
      <c r="H843" s="161"/>
    </row>
    <row r="844" spans="2:8" ht="15" customHeight="1" x14ac:dyDescent="0.2">
      <c r="B844" s="163"/>
      <c r="C844" s="159"/>
      <c r="D844" s="160"/>
      <c r="E844" s="160"/>
      <c r="F844" s="160"/>
      <c r="G844" s="160"/>
      <c r="H844" s="161"/>
    </row>
    <row r="845" spans="2:8" ht="15" customHeight="1" x14ac:dyDescent="0.2">
      <c r="B845" s="163"/>
      <c r="C845" s="159"/>
      <c r="D845" s="160"/>
      <c r="E845" s="160"/>
      <c r="F845" s="160"/>
      <c r="G845" s="160"/>
      <c r="H845" s="161"/>
    </row>
    <row r="846" spans="2:8" ht="15" customHeight="1" x14ac:dyDescent="0.2">
      <c r="B846" s="163"/>
      <c r="C846" s="159"/>
      <c r="D846" s="160"/>
      <c r="E846" s="160"/>
      <c r="F846" s="160"/>
      <c r="G846" s="160"/>
      <c r="H846" s="161"/>
    </row>
    <row r="847" spans="2:8" ht="15" customHeight="1" x14ac:dyDescent="0.2">
      <c r="B847" s="163"/>
      <c r="C847" s="159"/>
      <c r="D847" s="160"/>
      <c r="E847" s="160"/>
      <c r="F847" s="160"/>
      <c r="G847" s="160"/>
      <c r="H847" s="161"/>
    </row>
    <row r="848" spans="2:8" ht="15" customHeight="1" x14ac:dyDescent="0.2">
      <c r="B848" s="163"/>
      <c r="C848" s="159"/>
      <c r="D848" s="160"/>
      <c r="E848" s="160"/>
      <c r="F848" s="160"/>
      <c r="G848" s="160"/>
      <c r="H848" s="161"/>
    </row>
    <row r="849" spans="2:8" ht="15" customHeight="1" x14ac:dyDescent="0.2">
      <c r="B849" s="163"/>
      <c r="C849" s="159"/>
      <c r="D849" s="160"/>
      <c r="E849" s="160"/>
      <c r="F849" s="160"/>
      <c r="G849" s="160"/>
      <c r="H849" s="161"/>
    </row>
    <row r="850" spans="2:8" ht="15" customHeight="1" x14ac:dyDescent="0.2">
      <c r="B850" s="163"/>
      <c r="C850" s="159"/>
      <c r="D850" s="160"/>
      <c r="E850" s="160"/>
      <c r="F850" s="160"/>
      <c r="G850" s="160"/>
      <c r="H850" s="161"/>
    </row>
    <row r="851" spans="2:8" ht="15" customHeight="1" x14ac:dyDescent="0.2">
      <c r="B851" s="163"/>
      <c r="C851" s="159"/>
      <c r="D851" s="160"/>
      <c r="E851" s="160"/>
      <c r="F851" s="160"/>
      <c r="G851" s="160"/>
      <c r="H851" s="161"/>
    </row>
    <row r="852" spans="2:8" ht="15" customHeight="1" x14ac:dyDescent="0.2">
      <c r="B852" s="163"/>
      <c r="C852" s="159"/>
      <c r="D852" s="160"/>
      <c r="E852" s="160"/>
      <c r="F852" s="160"/>
      <c r="G852" s="160"/>
      <c r="H852" s="161"/>
    </row>
    <row r="853" spans="2:8" ht="15" customHeight="1" x14ac:dyDescent="0.2">
      <c r="B853" s="163"/>
      <c r="C853" s="159"/>
      <c r="D853" s="160"/>
      <c r="E853" s="160"/>
      <c r="F853" s="160"/>
      <c r="G853" s="160"/>
      <c r="H853" s="161"/>
    </row>
    <row r="854" spans="2:8" ht="15" customHeight="1" x14ac:dyDescent="0.2">
      <c r="B854" s="163"/>
      <c r="C854" s="159"/>
      <c r="D854" s="160"/>
      <c r="E854" s="160"/>
      <c r="F854" s="160"/>
      <c r="G854" s="160"/>
      <c r="H854" s="161"/>
    </row>
    <row r="855" spans="2:8" ht="15" customHeight="1" x14ac:dyDescent="0.2">
      <c r="B855" s="163"/>
      <c r="C855" s="159"/>
      <c r="D855" s="160"/>
      <c r="E855" s="160"/>
      <c r="F855" s="160"/>
      <c r="G855" s="160"/>
      <c r="H855" s="161"/>
    </row>
    <row r="856" spans="2:8" ht="15" customHeight="1" x14ac:dyDescent="0.2">
      <c r="B856" s="163"/>
      <c r="C856" s="159"/>
      <c r="D856" s="160"/>
      <c r="E856" s="160"/>
      <c r="F856" s="160"/>
      <c r="G856" s="160"/>
      <c r="H856" s="161"/>
    </row>
    <row r="857" spans="2:8" ht="15" customHeight="1" x14ac:dyDescent="0.2">
      <c r="B857" s="163"/>
      <c r="C857" s="159"/>
      <c r="D857" s="160"/>
      <c r="E857" s="160"/>
      <c r="F857" s="160"/>
      <c r="G857" s="160"/>
      <c r="H857" s="161"/>
    </row>
    <row r="858" spans="2:8" ht="15" customHeight="1" x14ac:dyDescent="0.2">
      <c r="B858" s="163"/>
      <c r="C858" s="159"/>
      <c r="D858" s="160"/>
      <c r="E858" s="160"/>
      <c r="F858" s="160"/>
      <c r="G858" s="160"/>
      <c r="H858" s="161"/>
    </row>
    <row r="859" spans="2:8" ht="15" customHeight="1" x14ac:dyDescent="0.2">
      <c r="B859" s="163"/>
      <c r="C859" s="159"/>
      <c r="D859" s="160"/>
      <c r="E859" s="160"/>
      <c r="F859" s="160"/>
      <c r="G859" s="160"/>
      <c r="H859" s="161"/>
    </row>
    <row r="860" spans="2:8" ht="15" customHeight="1" x14ac:dyDescent="0.2">
      <c r="B860" s="163"/>
      <c r="C860" s="159"/>
      <c r="D860" s="160"/>
      <c r="E860" s="160"/>
      <c r="F860" s="160"/>
      <c r="G860" s="160"/>
      <c r="H860" s="161"/>
    </row>
    <row r="861" spans="2:8" ht="15" customHeight="1" x14ac:dyDescent="0.2">
      <c r="B861" s="163"/>
      <c r="C861" s="159"/>
      <c r="D861" s="160"/>
      <c r="E861" s="160"/>
      <c r="F861" s="160"/>
      <c r="G861" s="160"/>
      <c r="H861" s="161"/>
    </row>
    <row r="862" spans="2:8" ht="15" customHeight="1" x14ac:dyDescent="0.2">
      <c r="B862" s="163"/>
      <c r="C862" s="159"/>
      <c r="D862" s="160"/>
      <c r="E862" s="160"/>
      <c r="F862" s="160"/>
      <c r="G862" s="160"/>
      <c r="H862" s="161"/>
    </row>
    <row r="863" spans="2:8" ht="15" customHeight="1" x14ac:dyDescent="0.2">
      <c r="B863" s="163"/>
      <c r="C863" s="159"/>
      <c r="D863" s="160"/>
      <c r="E863" s="160"/>
      <c r="F863" s="160"/>
      <c r="G863" s="160"/>
      <c r="H863" s="161"/>
    </row>
    <row r="864" spans="2:8" ht="15" customHeight="1" x14ac:dyDescent="0.2">
      <c r="B864" s="163"/>
      <c r="C864" s="159"/>
      <c r="D864" s="160"/>
      <c r="E864" s="160"/>
      <c r="F864" s="160"/>
      <c r="G864" s="160"/>
      <c r="H864" s="161"/>
    </row>
    <row r="865" spans="2:8" ht="15" customHeight="1" x14ac:dyDescent="0.2">
      <c r="B865" s="163"/>
      <c r="C865" s="159"/>
      <c r="D865" s="160"/>
      <c r="E865" s="160"/>
      <c r="F865" s="160"/>
      <c r="G865" s="160"/>
      <c r="H865" s="161"/>
    </row>
    <row r="866" spans="2:8" ht="15" customHeight="1" x14ac:dyDescent="0.2">
      <c r="B866" s="163"/>
      <c r="C866" s="159"/>
      <c r="D866" s="160"/>
      <c r="E866" s="160"/>
      <c r="F866" s="160"/>
      <c r="G866" s="160"/>
      <c r="H866" s="161"/>
    </row>
    <row r="867" spans="2:8" ht="15" customHeight="1" x14ac:dyDescent="0.2">
      <c r="B867" s="163"/>
      <c r="C867" s="159"/>
      <c r="D867" s="160"/>
      <c r="E867" s="160"/>
      <c r="F867" s="160"/>
      <c r="G867" s="160"/>
      <c r="H867" s="161"/>
    </row>
    <row r="868" spans="2:8" ht="15" customHeight="1" x14ac:dyDescent="0.2">
      <c r="B868" s="163"/>
      <c r="C868" s="159"/>
      <c r="D868" s="160"/>
      <c r="E868" s="160"/>
      <c r="F868" s="160"/>
      <c r="G868" s="160"/>
      <c r="H868" s="161"/>
    </row>
    <row r="869" spans="2:8" ht="15" customHeight="1" x14ac:dyDescent="0.2">
      <c r="B869" s="163"/>
      <c r="C869" s="159"/>
      <c r="D869" s="160"/>
      <c r="E869" s="160"/>
      <c r="F869" s="160"/>
      <c r="G869" s="160"/>
      <c r="H869" s="161"/>
    </row>
    <row r="870" spans="2:8" ht="15" customHeight="1" x14ac:dyDescent="0.2">
      <c r="B870" s="163"/>
      <c r="C870" s="159"/>
      <c r="D870" s="160"/>
      <c r="E870" s="160"/>
      <c r="F870" s="160"/>
      <c r="G870" s="160"/>
      <c r="H870" s="161"/>
    </row>
    <row r="871" spans="2:8" ht="15" customHeight="1" x14ac:dyDescent="0.2">
      <c r="B871" s="163"/>
      <c r="C871" s="159"/>
      <c r="D871" s="160"/>
      <c r="E871" s="160"/>
      <c r="F871" s="160"/>
      <c r="G871" s="160"/>
      <c r="H871" s="161"/>
    </row>
    <row r="872" spans="2:8" ht="15" customHeight="1" x14ac:dyDescent="0.2">
      <c r="B872" s="163"/>
      <c r="C872" s="159"/>
      <c r="D872" s="160"/>
      <c r="E872" s="160"/>
      <c r="F872" s="160"/>
      <c r="G872" s="160"/>
      <c r="H872" s="161"/>
    </row>
    <row r="873" spans="2:8" ht="15" customHeight="1" x14ac:dyDescent="0.2">
      <c r="B873" s="163"/>
      <c r="C873" s="159"/>
      <c r="D873" s="160"/>
      <c r="E873" s="160"/>
      <c r="F873" s="160"/>
      <c r="G873" s="160"/>
      <c r="H873" s="161"/>
    </row>
    <row r="874" spans="2:8" ht="15" customHeight="1" x14ac:dyDescent="0.2">
      <c r="B874" s="163"/>
      <c r="C874" s="159"/>
      <c r="D874" s="160"/>
      <c r="E874" s="160"/>
      <c r="F874" s="160"/>
      <c r="G874" s="160"/>
      <c r="H874" s="161"/>
    </row>
    <row r="875" spans="2:8" ht="15" customHeight="1" x14ac:dyDescent="0.2">
      <c r="B875" s="163"/>
      <c r="C875" s="159"/>
      <c r="D875" s="160"/>
      <c r="E875" s="160"/>
      <c r="F875" s="160"/>
      <c r="G875" s="160"/>
      <c r="H875" s="161"/>
    </row>
    <row r="876" spans="2:8" ht="15" customHeight="1" x14ac:dyDescent="0.2">
      <c r="B876" s="163"/>
      <c r="C876" s="159"/>
      <c r="D876" s="160"/>
      <c r="E876" s="160"/>
      <c r="F876" s="160"/>
      <c r="G876" s="160"/>
      <c r="H876" s="161"/>
    </row>
    <row r="877" spans="2:8" ht="15" customHeight="1" x14ac:dyDescent="0.2">
      <c r="B877" s="163"/>
      <c r="C877" s="159"/>
      <c r="D877" s="160"/>
      <c r="E877" s="160"/>
      <c r="F877" s="160"/>
      <c r="G877" s="160"/>
      <c r="H877" s="161"/>
    </row>
    <row r="878" spans="2:8" ht="15" customHeight="1" x14ac:dyDescent="0.2">
      <c r="B878" s="163"/>
      <c r="C878" s="159"/>
      <c r="D878" s="160"/>
      <c r="E878" s="160"/>
      <c r="F878" s="160"/>
      <c r="G878" s="160"/>
      <c r="H878" s="161"/>
    </row>
    <row r="879" spans="2:8" ht="15" customHeight="1" x14ac:dyDescent="0.2">
      <c r="B879" s="163"/>
      <c r="C879" s="159"/>
      <c r="D879" s="160"/>
      <c r="E879" s="160"/>
      <c r="F879" s="160"/>
      <c r="G879" s="160"/>
      <c r="H879" s="161"/>
    </row>
    <row r="880" spans="2:8" ht="15" customHeight="1" x14ac:dyDescent="0.2">
      <c r="B880" s="163"/>
      <c r="C880" s="159"/>
      <c r="D880" s="160"/>
      <c r="E880" s="160"/>
      <c r="F880" s="160"/>
      <c r="G880" s="160"/>
      <c r="H880" s="161"/>
    </row>
    <row r="881" spans="2:8" ht="15" customHeight="1" x14ac:dyDescent="0.2">
      <c r="B881" s="163"/>
      <c r="C881" s="159"/>
      <c r="D881" s="160"/>
      <c r="E881" s="160"/>
      <c r="F881" s="160"/>
      <c r="G881" s="160"/>
      <c r="H881" s="161"/>
    </row>
    <row r="882" spans="2:8" ht="15" customHeight="1" x14ac:dyDescent="0.2">
      <c r="B882" s="163"/>
      <c r="C882" s="159"/>
      <c r="D882" s="160"/>
      <c r="E882" s="160"/>
      <c r="F882" s="160"/>
      <c r="G882" s="160"/>
      <c r="H882" s="161"/>
    </row>
    <row r="883" spans="2:8" ht="15" customHeight="1" x14ac:dyDescent="0.2">
      <c r="B883" s="163"/>
      <c r="C883" s="159"/>
      <c r="D883" s="160"/>
      <c r="E883" s="160"/>
      <c r="F883" s="160"/>
      <c r="G883" s="160"/>
      <c r="H883" s="161"/>
    </row>
    <row r="884" spans="2:8" ht="15" customHeight="1" x14ac:dyDescent="0.2">
      <c r="B884" s="163"/>
      <c r="C884" s="159"/>
      <c r="D884" s="160"/>
      <c r="E884" s="160"/>
      <c r="F884" s="160"/>
      <c r="G884" s="160"/>
      <c r="H884" s="161"/>
    </row>
    <row r="885" spans="2:8" ht="15" customHeight="1" x14ac:dyDescent="0.2">
      <c r="B885" s="163"/>
      <c r="C885" s="159"/>
      <c r="D885" s="160"/>
      <c r="E885" s="160"/>
      <c r="F885" s="160"/>
      <c r="G885" s="160"/>
      <c r="H885" s="161"/>
    </row>
    <row r="886" spans="2:8" ht="15" customHeight="1" x14ac:dyDescent="0.2">
      <c r="B886" s="163"/>
      <c r="C886" s="159"/>
      <c r="D886" s="160"/>
      <c r="E886" s="160"/>
      <c r="F886" s="160"/>
      <c r="G886" s="160"/>
      <c r="H886" s="161"/>
    </row>
    <row r="887" spans="2:8" ht="15" customHeight="1" x14ac:dyDescent="0.2">
      <c r="B887" s="163"/>
      <c r="C887" s="159"/>
      <c r="D887" s="160"/>
      <c r="E887" s="160"/>
      <c r="F887" s="160"/>
      <c r="G887" s="160"/>
      <c r="H887" s="161"/>
    </row>
    <row r="888" spans="2:8" ht="15" customHeight="1" x14ac:dyDescent="0.2">
      <c r="B888" s="163"/>
      <c r="C888" s="159"/>
      <c r="D888" s="160"/>
      <c r="E888" s="160"/>
      <c r="F888" s="160"/>
      <c r="G888" s="160"/>
      <c r="H888" s="161"/>
    </row>
    <row r="889" spans="2:8" ht="15" customHeight="1" x14ac:dyDescent="0.2">
      <c r="B889" s="163"/>
      <c r="C889" s="159"/>
      <c r="D889" s="160"/>
      <c r="E889" s="160"/>
      <c r="F889" s="160"/>
      <c r="G889" s="160"/>
      <c r="H889" s="161"/>
    </row>
    <row r="890" spans="2:8" ht="15" customHeight="1" x14ac:dyDescent="0.2">
      <c r="B890" s="163"/>
      <c r="C890" s="159"/>
      <c r="D890" s="160"/>
      <c r="E890" s="160"/>
      <c r="F890" s="160"/>
      <c r="G890" s="160"/>
      <c r="H890" s="161"/>
    </row>
    <row r="891" spans="2:8" ht="15" customHeight="1" x14ac:dyDescent="0.2">
      <c r="B891" s="163"/>
      <c r="C891" s="159"/>
      <c r="D891" s="160"/>
      <c r="E891" s="160"/>
      <c r="F891" s="160"/>
      <c r="G891" s="160"/>
      <c r="H891" s="161"/>
    </row>
    <row r="892" spans="2:8" ht="15" customHeight="1" x14ac:dyDescent="0.2">
      <c r="B892" s="163"/>
      <c r="C892" s="159"/>
      <c r="D892" s="160"/>
      <c r="E892" s="160"/>
      <c r="F892" s="160"/>
      <c r="G892" s="160"/>
      <c r="H892" s="161"/>
    </row>
    <row r="893" spans="2:8" ht="15" customHeight="1" x14ac:dyDescent="0.2">
      <c r="B893" s="163"/>
      <c r="C893" s="159"/>
      <c r="D893" s="160"/>
      <c r="E893" s="160"/>
      <c r="F893" s="160"/>
      <c r="G893" s="160"/>
      <c r="H893" s="161"/>
    </row>
    <row r="894" spans="2:8" ht="15" customHeight="1" x14ac:dyDescent="0.2">
      <c r="B894" s="163"/>
      <c r="C894" s="159"/>
      <c r="D894" s="160"/>
      <c r="E894" s="160"/>
      <c r="F894" s="160"/>
      <c r="G894" s="160"/>
      <c r="H894" s="161"/>
    </row>
    <row r="895" spans="2:8" ht="15" customHeight="1" x14ac:dyDescent="0.2">
      <c r="B895" s="163"/>
      <c r="C895" s="159"/>
      <c r="D895" s="160"/>
      <c r="E895" s="160"/>
      <c r="F895" s="160"/>
      <c r="G895" s="160"/>
      <c r="H895" s="161"/>
    </row>
    <row r="896" spans="2:8" ht="15" customHeight="1" x14ac:dyDescent="0.2">
      <c r="B896" s="163"/>
      <c r="C896" s="159"/>
      <c r="D896" s="160"/>
      <c r="E896" s="160"/>
      <c r="F896" s="160"/>
      <c r="G896" s="160"/>
      <c r="H896" s="161"/>
    </row>
    <row r="897" spans="2:8" ht="15" customHeight="1" x14ac:dyDescent="0.2">
      <c r="B897" s="163"/>
      <c r="C897" s="159"/>
      <c r="D897" s="160"/>
      <c r="E897" s="160"/>
      <c r="F897" s="160"/>
      <c r="G897" s="160"/>
      <c r="H897" s="161"/>
    </row>
    <row r="898" spans="2:8" ht="15" customHeight="1" x14ac:dyDescent="0.2">
      <c r="B898" s="163"/>
      <c r="C898" s="159"/>
      <c r="D898" s="160"/>
      <c r="E898" s="160"/>
      <c r="F898" s="160"/>
      <c r="G898" s="160"/>
      <c r="H898" s="161"/>
    </row>
    <row r="899" spans="2:8" ht="15" customHeight="1" x14ac:dyDescent="0.2">
      <c r="B899" s="163"/>
      <c r="C899" s="159"/>
      <c r="D899" s="160"/>
      <c r="E899" s="160"/>
      <c r="F899" s="160"/>
      <c r="G899" s="160"/>
      <c r="H899" s="161"/>
    </row>
    <row r="900" spans="2:8" ht="15" customHeight="1" x14ac:dyDescent="0.2">
      <c r="B900" s="163"/>
      <c r="C900" s="159"/>
      <c r="D900" s="160"/>
      <c r="E900" s="160"/>
      <c r="F900" s="160"/>
      <c r="G900" s="160"/>
      <c r="H900" s="161"/>
    </row>
    <row r="901" spans="2:8" ht="15" customHeight="1" x14ac:dyDescent="0.2">
      <c r="B901" s="163"/>
      <c r="C901" s="159"/>
      <c r="D901" s="160"/>
      <c r="E901" s="160"/>
      <c r="F901" s="160"/>
      <c r="G901" s="160"/>
      <c r="H901" s="161"/>
    </row>
    <row r="902" spans="2:8" ht="15" customHeight="1" x14ac:dyDescent="0.2">
      <c r="B902" s="163"/>
      <c r="C902" s="159"/>
      <c r="D902" s="160"/>
      <c r="E902" s="160"/>
      <c r="F902" s="160"/>
      <c r="G902" s="160"/>
      <c r="H902" s="161"/>
    </row>
    <row r="903" spans="2:8" ht="15" customHeight="1" x14ac:dyDescent="0.2">
      <c r="B903" s="163"/>
      <c r="C903" s="159"/>
      <c r="D903" s="160"/>
      <c r="E903" s="160"/>
      <c r="F903" s="160"/>
      <c r="G903" s="160"/>
      <c r="H903" s="161"/>
    </row>
    <row r="904" spans="2:8" ht="15" customHeight="1" x14ac:dyDescent="0.2">
      <c r="B904" s="163"/>
      <c r="C904" s="159"/>
      <c r="D904" s="160"/>
      <c r="E904" s="160"/>
      <c r="F904" s="160"/>
      <c r="G904" s="160"/>
      <c r="H904" s="161"/>
    </row>
    <row r="905" spans="2:8" ht="15" customHeight="1" x14ac:dyDescent="0.2">
      <c r="B905" s="163"/>
      <c r="C905" s="159"/>
      <c r="D905" s="160"/>
      <c r="E905" s="160"/>
      <c r="F905" s="160"/>
      <c r="G905" s="160"/>
      <c r="H905" s="161"/>
    </row>
    <row r="906" spans="2:8" ht="15" customHeight="1" x14ac:dyDescent="0.2">
      <c r="B906" s="163"/>
      <c r="C906" s="159"/>
      <c r="D906" s="160"/>
      <c r="E906" s="160"/>
      <c r="F906" s="160"/>
      <c r="G906" s="160"/>
      <c r="H906" s="161"/>
    </row>
    <row r="907" spans="2:8" ht="15" customHeight="1" x14ac:dyDescent="0.2">
      <c r="B907" s="163"/>
      <c r="C907" s="159"/>
      <c r="D907" s="160"/>
      <c r="E907" s="160"/>
      <c r="F907" s="160"/>
      <c r="G907" s="160"/>
      <c r="H907" s="161"/>
    </row>
    <row r="908" spans="2:8" ht="15" customHeight="1" x14ac:dyDescent="0.2">
      <c r="B908" s="163"/>
      <c r="C908" s="159"/>
      <c r="D908" s="160"/>
      <c r="E908" s="160"/>
      <c r="F908" s="160"/>
      <c r="G908" s="160"/>
      <c r="H908" s="161"/>
    </row>
    <row r="909" spans="2:8" ht="15" customHeight="1" x14ac:dyDescent="0.2">
      <c r="B909" s="163"/>
      <c r="C909" s="159"/>
      <c r="D909" s="160"/>
      <c r="E909" s="160"/>
      <c r="F909" s="160"/>
      <c r="G909" s="160"/>
      <c r="H909" s="161"/>
    </row>
    <row r="910" spans="2:8" ht="15" customHeight="1" x14ac:dyDescent="0.2">
      <c r="B910" s="163"/>
      <c r="C910" s="159"/>
      <c r="D910" s="160"/>
      <c r="E910" s="160"/>
      <c r="F910" s="160"/>
      <c r="G910" s="160"/>
      <c r="H910" s="161"/>
    </row>
    <row r="911" spans="2:8" ht="15" customHeight="1" x14ac:dyDescent="0.2">
      <c r="B911" s="163"/>
      <c r="C911" s="159"/>
      <c r="D911" s="160"/>
      <c r="E911" s="160"/>
      <c r="F911" s="160"/>
      <c r="G911" s="160"/>
      <c r="H911" s="161"/>
    </row>
    <row r="912" spans="2:8" ht="15" customHeight="1" x14ac:dyDescent="0.2">
      <c r="B912" s="163"/>
      <c r="C912" s="159"/>
      <c r="D912" s="160"/>
      <c r="E912" s="160"/>
      <c r="F912" s="160"/>
      <c r="G912" s="160"/>
      <c r="H912" s="161"/>
    </row>
    <row r="913" spans="2:8" ht="15" customHeight="1" x14ac:dyDescent="0.2">
      <c r="B913" s="163"/>
      <c r="C913" s="159"/>
      <c r="D913" s="160"/>
      <c r="E913" s="160"/>
      <c r="F913" s="160"/>
      <c r="G913" s="160"/>
      <c r="H913" s="161"/>
    </row>
    <row r="914" spans="2:8" ht="15" customHeight="1" x14ac:dyDescent="0.2">
      <c r="B914" s="163"/>
      <c r="C914" s="159"/>
      <c r="D914" s="160"/>
      <c r="E914" s="160"/>
      <c r="F914" s="160"/>
      <c r="G914" s="160"/>
      <c r="H914" s="161"/>
    </row>
    <row r="915" spans="2:8" ht="15" customHeight="1" x14ac:dyDescent="0.2">
      <c r="B915" s="163"/>
      <c r="C915" s="159"/>
      <c r="D915" s="160"/>
      <c r="E915" s="160"/>
      <c r="F915" s="160"/>
      <c r="G915" s="160"/>
      <c r="H915" s="161"/>
    </row>
    <row r="916" spans="2:8" ht="15" customHeight="1" x14ac:dyDescent="0.2">
      <c r="B916" s="163"/>
      <c r="C916" s="159"/>
      <c r="D916" s="160"/>
      <c r="E916" s="160"/>
      <c r="F916" s="160"/>
      <c r="G916" s="160"/>
      <c r="H916" s="161"/>
    </row>
    <row r="917" spans="2:8" ht="15" customHeight="1" x14ac:dyDescent="0.2">
      <c r="B917" s="163"/>
      <c r="C917" s="159"/>
      <c r="D917" s="160"/>
      <c r="E917" s="160"/>
      <c r="F917" s="160"/>
      <c r="G917" s="160"/>
      <c r="H917" s="161"/>
    </row>
    <row r="918" spans="2:8" ht="15" customHeight="1" x14ac:dyDescent="0.2">
      <c r="B918" s="163"/>
      <c r="C918" s="159"/>
      <c r="D918" s="160"/>
      <c r="E918" s="160"/>
      <c r="F918" s="160"/>
      <c r="G918" s="160"/>
      <c r="H918" s="161"/>
    </row>
    <row r="919" spans="2:8" ht="15" customHeight="1" x14ac:dyDescent="0.2">
      <c r="B919" s="163"/>
      <c r="C919" s="159"/>
      <c r="D919" s="160"/>
      <c r="E919" s="160"/>
      <c r="F919" s="160"/>
      <c r="G919" s="160"/>
      <c r="H919" s="161"/>
    </row>
    <row r="920" spans="2:8" ht="15" customHeight="1" x14ac:dyDescent="0.2">
      <c r="B920" s="163"/>
      <c r="C920" s="159"/>
      <c r="D920" s="160"/>
      <c r="E920" s="160"/>
      <c r="F920" s="160"/>
      <c r="G920" s="160"/>
      <c r="H920" s="161"/>
    </row>
    <row r="921" spans="2:8" ht="15" customHeight="1" x14ac:dyDescent="0.2">
      <c r="B921" s="163"/>
      <c r="C921" s="159"/>
      <c r="D921" s="160"/>
      <c r="E921" s="160"/>
      <c r="F921" s="160"/>
      <c r="G921" s="160"/>
      <c r="H921" s="161"/>
    </row>
    <row r="922" spans="2:8" ht="15" customHeight="1" x14ac:dyDescent="0.2">
      <c r="B922" s="163"/>
      <c r="C922" s="159"/>
      <c r="D922" s="160"/>
      <c r="E922" s="160"/>
      <c r="F922" s="160"/>
      <c r="G922" s="160"/>
      <c r="H922" s="161"/>
    </row>
    <row r="923" spans="2:8" ht="15" customHeight="1" x14ac:dyDescent="0.2">
      <c r="B923" s="163"/>
      <c r="C923" s="159"/>
      <c r="D923" s="160"/>
      <c r="E923" s="160"/>
      <c r="F923" s="160"/>
      <c r="G923" s="160"/>
      <c r="H923" s="161"/>
    </row>
    <row r="924" spans="2:8" ht="15" customHeight="1" x14ac:dyDescent="0.2">
      <c r="B924" s="163"/>
      <c r="C924" s="159"/>
      <c r="D924" s="160"/>
      <c r="E924" s="160"/>
      <c r="F924" s="160"/>
      <c r="G924" s="160"/>
      <c r="H924" s="161"/>
    </row>
    <row r="925" spans="2:8" ht="15" customHeight="1" x14ac:dyDescent="0.2">
      <c r="B925" s="163"/>
      <c r="C925" s="159"/>
      <c r="D925" s="160"/>
      <c r="E925" s="160"/>
      <c r="F925" s="160"/>
      <c r="G925" s="160"/>
      <c r="H925" s="161"/>
    </row>
    <row r="926" spans="2:8" ht="15" customHeight="1" x14ac:dyDescent="0.2">
      <c r="B926" s="163"/>
      <c r="C926" s="159"/>
      <c r="D926" s="160"/>
      <c r="E926" s="160"/>
      <c r="F926" s="160"/>
      <c r="G926" s="160"/>
      <c r="H926" s="161"/>
    </row>
    <row r="927" spans="2:8" ht="15" customHeight="1" x14ac:dyDescent="0.2">
      <c r="B927" s="163"/>
      <c r="C927" s="159"/>
      <c r="D927" s="160"/>
      <c r="E927" s="160"/>
      <c r="F927" s="160"/>
      <c r="G927" s="160"/>
      <c r="H927" s="161"/>
    </row>
    <row r="928" spans="2:8" ht="15" customHeight="1" x14ac:dyDescent="0.2">
      <c r="B928" s="163"/>
      <c r="C928" s="159"/>
      <c r="D928" s="160"/>
      <c r="E928" s="160"/>
      <c r="F928" s="160"/>
      <c r="G928" s="160"/>
      <c r="H928" s="161"/>
    </row>
    <row r="929" spans="2:8" ht="15" customHeight="1" x14ac:dyDescent="0.2">
      <c r="B929" s="163"/>
      <c r="C929" s="159"/>
      <c r="D929" s="160"/>
      <c r="E929" s="160"/>
      <c r="F929" s="160"/>
      <c r="G929" s="160"/>
      <c r="H929" s="161"/>
    </row>
    <row r="930" spans="2:8" ht="15" customHeight="1" x14ac:dyDescent="0.2">
      <c r="B930" s="163"/>
      <c r="C930" s="159"/>
      <c r="D930" s="160"/>
      <c r="E930" s="160"/>
      <c r="F930" s="160"/>
      <c r="G930" s="160"/>
      <c r="H930" s="161"/>
    </row>
    <row r="931" spans="2:8" ht="15" customHeight="1" x14ac:dyDescent="0.2">
      <c r="B931" s="163"/>
      <c r="C931" s="159"/>
      <c r="D931" s="160"/>
      <c r="E931" s="160"/>
      <c r="F931" s="160"/>
      <c r="G931" s="160"/>
      <c r="H931" s="161"/>
    </row>
    <row r="932" spans="2:8" ht="15" customHeight="1" x14ac:dyDescent="0.2">
      <c r="B932" s="163"/>
      <c r="C932" s="159"/>
      <c r="D932" s="160"/>
      <c r="E932" s="160"/>
      <c r="F932" s="160"/>
      <c r="G932" s="160"/>
      <c r="H932" s="161"/>
    </row>
    <row r="933" spans="2:8" ht="15" customHeight="1" x14ac:dyDescent="0.2">
      <c r="B933" s="163"/>
      <c r="C933" s="159"/>
      <c r="D933" s="160"/>
      <c r="E933" s="160"/>
      <c r="F933" s="160"/>
      <c r="G933" s="160"/>
      <c r="H933" s="161"/>
    </row>
    <row r="934" spans="2:8" ht="15" customHeight="1" x14ac:dyDescent="0.2">
      <c r="B934" s="163"/>
      <c r="C934" s="159"/>
      <c r="D934" s="160"/>
      <c r="E934" s="160"/>
      <c r="F934" s="160"/>
      <c r="G934" s="160"/>
      <c r="H934" s="161"/>
    </row>
    <row r="935" spans="2:8" ht="15" customHeight="1" x14ac:dyDescent="0.2">
      <c r="B935" s="163"/>
      <c r="C935" s="159"/>
      <c r="D935" s="160"/>
      <c r="E935" s="160"/>
      <c r="F935" s="160"/>
      <c r="G935" s="160"/>
      <c r="H935" s="161"/>
    </row>
    <row r="936" spans="2:8" ht="15" customHeight="1" x14ac:dyDescent="0.2">
      <c r="B936" s="163"/>
      <c r="C936" s="159"/>
      <c r="D936" s="160"/>
      <c r="E936" s="160"/>
      <c r="F936" s="160"/>
      <c r="G936" s="160"/>
      <c r="H936" s="161"/>
    </row>
    <row r="937" spans="2:8" ht="15" customHeight="1" x14ac:dyDescent="0.2">
      <c r="B937" s="163"/>
      <c r="C937" s="159"/>
      <c r="D937" s="160"/>
      <c r="E937" s="160"/>
      <c r="F937" s="160"/>
      <c r="G937" s="160"/>
      <c r="H937" s="161"/>
    </row>
    <row r="938" spans="2:8" ht="15" customHeight="1" x14ac:dyDescent="0.2">
      <c r="B938" s="163"/>
      <c r="C938" s="159"/>
      <c r="D938" s="160"/>
      <c r="E938" s="160"/>
      <c r="F938" s="160"/>
      <c r="G938" s="160"/>
      <c r="H938" s="161"/>
    </row>
    <row r="939" spans="2:8" ht="15" customHeight="1" x14ac:dyDescent="0.2">
      <c r="B939" s="163"/>
      <c r="C939" s="159"/>
      <c r="D939" s="160"/>
      <c r="E939" s="160"/>
      <c r="F939" s="160"/>
      <c r="G939" s="160"/>
      <c r="H939" s="161"/>
    </row>
    <row r="940" spans="2:8" ht="15" customHeight="1" x14ac:dyDescent="0.2">
      <c r="B940" s="163"/>
      <c r="C940" s="159"/>
      <c r="D940" s="160"/>
      <c r="E940" s="160"/>
      <c r="F940" s="160"/>
      <c r="G940" s="160"/>
      <c r="H940" s="161"/>
    </row>
    <row r="941" spans="2:8" ht="15" customHeight="1" x14ac:dyDescent="0.2">
      <c r="B941" s="163"/>
      <c r="C941" s="159"/>
      <c r="D941" s="160"/>
      <c r="E941" s="160"/>
      <c r="F941" s="160"/>
      <c r="G941" s="160"/>
      <c r="H941" s="161"/>
    </row>
    <row r="942" spans="2:8" ht="15" customHeight="1" x14ac:dyDescent="0.2">
      <c r="B942" s="163"/>
      <c r="C942" s="159"/>
      <c r="D942" s="160"/>
      <c r="E942" s="160"/>
      <c r="F942" s="160"/>
      <c r="G942" s="160"/>
      <c r="H942" s="161"/>
    </row>
    <row r="943" spans="2:8" ht="15" customHeight="1" x14ac:dyDescent="0.2">
      <c r="B943" s="163"/>
      <c r="C943" s="159"/>
      <c r="D943" s="160"/>
      <c r="E943" s="160"/>
      <c r="F943" s="160"/>
      <c r="G943" s="160"/>
      <c r="H943" s="161"/>
    </row>
    <row r="944" spans="2:8" ht="15" customHeight="1" x14ac:dyDescent="0.2">
      <c r="B944" s="163"/>
      <c r="C944" s="159"/>
      <c r="D944" s="160"/>
      <c r="E944" s="160"/>
      <c r="F944" s="160"/>
      <c r="G944" s="160"/>
      <c r="H944" s="161"/>
    </row>
    <row r="945" spans="2:8" ht="15" customHeight="1" x14ac:dyDescent="0.2">
      <c r="B945" s="163"/>
      <c r="C945" s="159"/>
      <c r="D945" s="160"/>
      <c r="E945" s="160"/>
      <c r="F945" s="160"/>
      <c r="G945" s="160"/>
      <c r="H945" s="161"/>
    </row>
    <row r="946" spans="2:8" ht="15" customHeight="1" x14ac:dyDescent="0.2">
      <c r="B946" s="163"/>
      <c r="C946" s="159"/>
      <c r="D946" s="160"/>
      <c r="E946" s="160"/>
      <c r="F946" s="160"/>
      <c r="G946" s="160"/>
      <c r="H946" s="161"/>
    </row>
    <row r="947" spans="2:8" ht="15" customHeight="1" x14ac:dyDescent="0.2">
      <c r="B947" s="163"/>
      <c r="C947" s="159"/>
      <c r="D947" s="160"/>
      <c r="E947" s="160"/>
      <c r="F947" s="160"/>
      <c r="G947" s="160"/>
      <c r="H947" s="161"/>
    </row>
    <row r="948" spans="2:8" ht="15" customHeight="1" x14ac:dyDescent="0.2">
      <c r="B948" s="163"/>
      <c r="C948" s="159"/>
      <c r="D948" s="160"/>
      <c r="E948" s="160"/>
      <c r="F948" s="160"/>
      <c r="G948" s="160"/>
      <c r="H948" s="161"/>
    </row>
    <row r="949" spans="2:8" ht="15" customHeight="1" x14ac:dyDescent="0.2">
      <c r="B949" s="163"/>
      <c r="C949" s="159"/>
      <c r="D949" s="160"/>
      <c r="E949" s="160"/>
      <c r="F949" s="160"/>
      <c r="G949" s="160"/>
      <c r="H949" s="161"/>
    </row>
    <row r="950" spans="2:8" ht="15" customHeight="1" x14ac:dyDescent="0.2">
      <c r="B950" s="163"/>
      <c r="C950" s="159"/>
      <c r="D950" s="160"/>
      <c r="E950" s="160"/>
      <c r="F950" s="160"/>
      <c r="G950" s="160"/>
      <c r="H950" s="161"/>
    </row>
    <row r="951" spans="2:8" ht="15" customHeight="1" x14ac:dyDescent="0.2">
      <c r="B951" s="163"/>
      <c r="C951" s="159"/>
      <c r="D951" s="160"/>
      <c r="E951" s="160"/>
      <c r="F951" s="160"/>
      <c r="G951" s="160"/>
      <c r="H951" s="161"/>
    </row>
    <row r="952" spans="2:8" ht="15" customHeight="1" x14ac:dyDescent="0.2">
      <c r="B952" s="163"/>
      <c r="C952" s="159"/>
      <c r="D952" s="160"/>
      <c r="E952" s="160"/>
      <c r="F952" s="160"/>
      <c r="G952" s="160"/>
      <c r="H952" s="161"/>
    </row>
    <row r="953" spans="2:8" ht="15" customHeight="1" x14ac:dyDescent="0.2">
      <c r="B953" s="163"/>
      <c r="C953" s="159"/>
      <c r="D953" s="160"/>
      <c r="E953" s="160"/>
      <c r="F953" s="160"/>
      <c r="G953" s="160"/>
      <c r="H953" s="161"/>
    </row>
    <row r="954" spans="2:8" ht="15" customHeight="1" x14ac:dyDescent="0.2">
      <c r="B954" s="163"/>
      <c r="C954" s="159"/>
      <c r="D954" s="160"/>
      <c r="E954" s="160"/>
      <c r="F954" s="160"/>
      <c r="G954" s="160"/>
      <c r="H954" s="161"/>
    </row>
    <row r="955" spans="2:8" ht="15" customHeight="1" x14ac:dyDescent="0.2">
      <c r="B955" s="163"/>
      <c r="C955" s="159"/>
      <c r="D955" s="160"/>
      <c r="E955" s="160"/>
      <c r="F955" s="160"/>
      <c r="G955" s="160"/>
      <c r="H955" s="161"/>
    </row>
    <row r="956" spans="2:8" ht="15" customHeight="1" x14ac:dyDescent="0.2">
      <c r="B956" s="163"/>
      <c r="C956" s="159"/>
      <c r="D956" s="160"/>
      <c r="E956" s="160"/>
      <c r="F956" s="160"/>
      <c r="G956" s="160"/>
      <c r="H956" s="161"/>
    </row>
    <row r="957" spans="2:8" ht="15" customHeight="1" x14ac:dyDescent="0.2">
      <c r="B957" s="163"/>
      <c r="C957" s="159"/>
      <c r="D957" s="160"/>
      <c r="E957" s="160"/>
      <c r="F957" s="160"/>
      <c r="G957" s="160"/>
      <c r="H957" s="161"/>
    </row>
    <row r="958" spans="2:8" ht="15" customHeight="1" x14ac:dyDescent="0.2">
      <c r="B958" s="163"/>
      <c r="C958" s="159"/>
      <c r="D958" s="160"/>
      <c r="E958" s="160"/>
      <c r="F958" s="160"/>
      <c r="G958" s="160"/>
      <c r="H958" s="161"/>
    </row>
    <row r="959" spans="2:8" ht="15" customHeight="1" x14ac:dyDescent="0.2">
      <c r="B959" s="163"/>
      <c r="C959" s="159"/>
      <c r="D959" s="160"/>
      <c r="E959" s="160"/>
      <c r="F959" s="160"/>
      <c r="G959" s="160"/>
      <c r="H959" s="161"/>
    </row>
    <row r="960" spans="2:8" ht="15" customHeight="1" x14ac:dyDescent="0.2">
      <c r="B960" s="163"/>
      <c r="C960" s="159"/>
      <c r="D960" s="160"/>
      <c r="E960" s="160"/>
      <c r="F960" s="160"/>
      <c r="G960" s="160"/>
      <c r="H960" s="161"/>
    </row>
    <row r="961" spans="2:8" ht="15" customHeight="1" x14ac:dyDescent="0.2">
      <c r="B961" s="163"/>
      <c r="C961" s="159"/>
      <c r="D961" s="160"/>
      <c r="E961" s="160"/>
      <c r="F961" s="160"/>
      <c r="G961" s="160"/>
      <c r="H961" s="161"/>
    </row>
    <row r="962" spans="2:8" ht="15" customHeight="1" x14ac:dyDescent="0.2">
      <c r="B962" s="163"/>
      <c r="C962" s="159"/>
      <c r="D962" s="160"/>
      <c r="E962" s="160"/>
      <c r="F962" s="160"/>
      <c r="G962" s="160"/>
      <c r="H962" s="161"/>
    </row>
    <row r="963" spans="2:8" ht="15" customHeight="1" x14ac:dyDescent="0.2">
      <c r="B963" s="163"/>
      <c r="C963" s="159"/>
      <c r="D963" s="160"/>
      <c r="E963" s="160"/>
      <c r="F963" s="160"/>
      <c r="G963" s="160"/>
      <c r="H963" s="161"/>
    </row>
    <row r="964" spans="2:8" ht="15" customHeight="1" x14ac:dyDescent="0.2">
      <c r="B964" s="163"/>
      <c r="C964" s="159"/>
      <c r="D964" s="160"/>
      <c r="E964" s="160"/>
      <c r="F964" s="160"/>
      <c r="G964" s="160"/>
      <c r="H964" s="161"/>
    </row>
    <row r="965" spans="2:8" ht="15" customHeight="1" x14ac:dyDescent="0.2">
      <c r="B965" s="163"/>
      <c r="C965" s="159"/>
      <c r="D965" s="160"/>
      <c r="E965" s="160"/>
      <c r="F965" s="160"/>
      <c r="G965" s="160"/>
      <c r="H965" s="161"/>
    </row>
    <row r="966" spans="2:8" ht="15" customHeight="1" x14ac:dyDescent="0.2">
      <c r="B966" s="163"/>
      <c r="C966" s="159"/>
      <c r="D966" s="160"/>
      <c r="E966" s="160"/>
      <c r="F966" s="160"/>
      <c r="G966" s="160"/>
      <c r="H966" s="161"/>
    </row>
    <row r="967" spans="2:8" ht="15" customHeight="1" x14ac:dyDescent="0.2">
      <c r="B967" s="163"/>
      <c r="C967" s="159"/>
      <c r="D967" s="160"/>
      <c r="E967" s="160"/>
      <c r="F967" s="160"/>
      <c r="G967" s="160"/>
      <c r="H967" s="161"/>
    </row>
    <row r="968" spans="2:8" ht="15" customHeight="1" x14ac:dyDescent="0.2">
      <c r="B968" s="163"/>
      <c r="C968" s="159"/>
      <c r="D968" s="160"/>
      <c r="E968" s="160"/>
      <c r="F968" s="160"/>
      <c r="G968" s="160"/>
      <c r="H968" s="161"/>
    </row>
    <row r="969" spans="2:8" ht="15" customHeight="1" x14ac:dyDescent="0.2">
      <c r="B969" s="163"/>
      <c r="C969" s="159"/>
      <c r="D969" s="160"/>
      <c r="E969" s="160"/>
      <c r="F969" s="160"/>
      <c r="G969" s="160"/>
      <c r="H969" s="161"/>
    </row>
    <row r="970" spans="2:8" ht="15" customHeight="1" x14ac:dyDescent="0.2">
      <c r="B970" s="163"/>
      <c r="C970" s="159"/>
      <c r="D970" s="160"/>
      <c r="E970" s="160"/>
      <c r="F970" s="160"/>
      <c r="G970" s="160"/>
      <c r="H970" s="161"/>
    </row>
    <row r="971" spans="2:8" ht="15" customHeight="1" x14ac:dyDescent="0.2">
      <c r="B971" s="163"/>
      <c r="C971" s="159"/>
      <c r="D971" s="160"/>
      <c r="E971" s="160"/>
      <c r="F971" s="160"/>
      <c r="G971" s="160"/>
      <c r="H971" s="161"/>
    </row>
    <row r="972" spans="2:8" ht="15" customHeight="1" x14ac:dyDescent="0.2">
      <c r="B972" s="163"/>
      <c r="C972" s="159"/>
      <c r="D972" s="160"/>
      <c r="E972" s="160"/>
      <c r="F972" s="160"/>
      <c r="G972" s="160"/>
      <c r="H972" s="161"/>
    </row>
    <row r="973" spans="2:8" ht="15" customHeight="1" x14ac:dyDescent="0.2">
      <c r="B973" s="163"/>
      <c r="C973" s="159"/>
      <c r="D973" s="160"/>
      <c r="E973" s="160"/>
      <c r="F973" s="160"/>
      <c r="G973" s="160"/>
      <c r="H973" s="161"/>
    </row>
    <row r="974" spans="2:8" ht="15" customHeight="1" x14ac:dyDescent="0.2">
      <c r="B974" s="163"/>
      <c r="C974" s="159"/>
      <c r="D974" s="160"/>
      <c r="E974" s="160"/>
      <c r="F974" s="160"/>
      <c r="G974" s="160"/>
      <c r="H974" s="161"/>
    </row>
    <row r="975" spans="2:8" ht="15" customHeight="1" x14ac:dyDescent="0.2">
      <c r="B975" s="163"/>
      <c r="C975" s="159"/>
      <c r="D975" s="160"/>
      <c r="E975" s="160"/>
      <c r="F975" s="160"/>
      <c r="G975" s="160"/>
      <c r="H975" s="161"/>
    </row>
    <row r="976" spans="2:8" ht="15" customHeight="1" x14ac:dyDescent="0.2">
      <c r="B976" s="163"/>
      <c r="C976" s="159"/>
      <c r="D976" s="160"/>
      <c r="E976" s="160"/>
      <c r="F976" s="160"/>
      <c r="G976" s="160"/>
      <c r="H976" s="161"/>
    </row>
    <row r="977" spans="2:8" ht="15" customHeight="1" x14ac:dyDescent="0.2">
      <c r="B977" s="163"/>
      <c r="C977" s="159"/>
      <c r="D977" s="160"/>
      <c r="E977" s="160"/>
      <c r="F977" s="160"/>
      <c r="G977" s="160"/>
      <c r="H977" s="161"/>
    </row>
    <row r="978" spans="2:8" ht="15" customHeight="1" x14ac:dyDescent="0.2">
      <c r="B978" s="163"/>
      <c r="C978" s="159"/>
      <c r="D978" s="160"/>
      <c r="E978" s="160"/>
      <c r="F978" s="160"/>
      <c r="G978" s="160"/>
      <c r="H978" s="161"/>
    </row>
    <row r="979" spans="2:8" ht="15" customHeight="1" x14ac:dyDescent="0.2">
      <c r="B979" s="163"/>
      <c r="C979" s="159"/>
      <c r="D979" s="160"/>
      <c r="E979" s="160"/>
      <c r="F979" s="160"/>
      <c r="G979" s="160"/>
      <c r="H979" s="161"/>
    </row>
    <row r="980" spans="2:8" ht="15" customHeight="1" x14ac:dyDescent="0.2">
      <c r="B980" s="163"/>
      <c r="C980" s="159"/>
      <c r="D980" s="160"/>
      <c r="E980" s="160"/>
      <c r="F980" s="160"/>
      <c r="G980" s="160"/>
      <c r="H980" s="161"/>
    </row>
    <row r="981" spans="2:8" ht="15" customHeight="1" x14ac:dyDescent="0.2">
      <c r="B981" s="163"/>
      <c r="C981" s="159"/>
      <c r="D981" s="160"/>
      <c r="E981" s="160"/>
      <c r="F981" s="160"/>
      <c r="G981" s="160"/>
      <c r="H981" s="161"/>
    </row>
    <row r="982" spans="2:8" ht="15" customHeight="1" x14ac:dyDescent="0.2">
      <c r="B982" s="163"/>
      <c r="C982" s="159"/>
      <c r="D982" s="160"/>
      <c r="E982" s="160"/>
      <c r="F982" s="160"/>
      <c r="G982" s="160"/>
      <c r="H982" s="161"/>
    </row>
    <row r="983" spans="2:8" ht="15" customHeight="1" x14ac:dyDescent="0.2">
      <c r="B983" s="163"/>
      <c r="C983" s="159"/>
      <c r="D983" s="160"/>
      <c r="E983" s="160"/>
      <c r="F983" s="160"/>
      <c r="G983" s="160"/>
      <c r="H983" s="161"/>
    </row>
    <row r="984" spans="2:8" ht="15" customHeight="1" x14ac:dyDescent="0.2">
      <c r="B984" s="163"/>
      <c r="C984" s="159"/>
      <c r="D984" s="160"/>
      <c r="E984" s="160"/>
      <c r="F984" s="160"/>
      <c r="G984" s="160"/>
      <c r="H984" s="161"/>
    </row>
    <row r="985" spans="2:8" ht="15" customHeight="1" x14ac:dyDescent="0.2">
      <c r="B985" s="163"/>
      <c r="C985" s="159"/>
      <c r="D985" s="160"/>
      <c r="E985" s="160"/>
      <c r="F985" s="160"/>
      <c r="G985" s="160"/>
      <c r="H985" s="161"/>
    </row>
    <row r="986" spans="2:8" ht="15" customHeight="1" x14ac:dyDescent="0.2">
      <c r="B986" s="163"/>
      <c r="C986" s="159"/>
      <c r="D986" s="160"/>
      <c r="E986" s="160"/>
      <c r="F986" s="160"/>
      <c r="G986" s="160"/>
      <c r="H986" s="161"/>
    </row>
    <row r="987" spans="2:8" ht="15" customHeight="1" x14ac:dyDescent="0.2">
      <c r="B987" s="163"/>
      <c r="C987" s="159"/>
      <c r="D987" s="160"/>
      <c r="E987" s="160"/>
      <c r="F987" s="160"/>
      <c r="G987" s="160"/>
      <c r="H987" s="161"/>
    </row>
    <row r="988" spans="2:8" ht="15" customHeight="1" x14ac:dyDescent="0.2">
      <c r="B988" s="163"/>
      <c r="C988" s="159"/>
      <c r="D988" s="160"/>
      <c r="E988" s="160"/>
      <c r="F988" s="160"/>
      <c r="G988" s="160"/>
      <c r="H988" s="161"/>
    </row>
    <row r="989" spans="2:8" ht="15" customHeight="1" x14ac:dyDescent="0.2">
      <c r="B989" s="163"/>
      <c r="C989" s="159"/>
      <c r="D989" s="160"/>
      <c r="E989" s="160"/>
      <c r="F989" s="160"/>
      <c r="G989" s="160"/>
      <c r="H989" s="161"/>
    </row>
    <row r="990" spans="2:8" ht="15" customHeight="1" x14ac:dyDescent="0.2">
      <c r="B990" s="163"/>
      <c r="C990" s="159"/>
      <c r="D990" s="160"/>
      <c r="E990" s="160"/>
      <c r="F990" s="160"/>
      <c r="G990" s="160"/>
      <c r="H990" s="161"/>
    </row>
    <row r="991" spans="2:8" ht="15" customHeight="1" x14ac:dyDescent="0.2">
      <c r="B991" s="163"/>
      <c r="C991" s="159"/>
      <c r="D991" s="160"/>
      <c r="E991" s="160"/>
      <c r="F991" s="160"/>
      <c r="G991" s="160"/>
      <c r="H991" s="161"/>
    </row>
    <row r="992" spans="2:8" ht="15" customHeight="1" x14ac:dyDescent="0.2">
      <c r="B992" s="163"/>
      <c r="C992" s="159"/>
      <c r="D992" s="160"/>
      <c r="E992" s="160"/>
      <c r="F992" s="160"/>
      <c r="G992" s="160"/>
      <c r="H992" s="161"/>
    </row>
    <row r="993" spans="2:8" ht="15" customHeight="1" x14ac:dyDescent="0.2">
      <c r="B993" s="163"/>
      <c r="C993" s="159"/>
      <c r="D993" s="160"/>
      <c r="E993" s="160"/>
      <c r="F993" s="160"/>
      <c r="G993" s="160"/>
      <c r="H993" s="161"/>
    </row>
    <row r="994" spans="2:8" ht="15" customHeight="1" x14ac:dyDescent="0.2">
      <c r="B994" s="163"/>
      <c r="C994" s="159"/>
      <c r="D994" s="160"/>
      <c r="E994" s="160"/>
      <c r="F994" s="160"/>
      <c r="G994" s="160"/>
      <c r="H994" s="161"/>
    </row>
    <row r="995" spans="2:8" ht="15" customHeight="1" x14ac:dyDescent="0.2">
      <c r="B995" s="163"/>
      <c r="C995" s="159"/>
      <c r="D995" s="160"/>
      <c r="E995" s="160"/>
      <c r="F995" s="160"/>
      <c r="G995" s="160"/>
      <c r="H995" s="161"/>
    </row>
    <row r="996" spans="2:8" ht="15" customHeight="1" x14ac:dyDescent="0.2">
      <c r="B996" s="163"/>
      <c r="C996" s="159"/>
      <c r="D996" s="160"/>
      <c r="E996" s="160"/>
      <c r="F996" s="160"/>
      <c r="G996" s="160"/>
      <c r="H996" s="161"/>
    </row>
    <row r="997" spans="2:8" ht="15" customHeight="1" x14ac:dyDescent="0.2">
      <c r="B997" s="163"/>
      <c r="C997" s="159"/>
      <c r="D997" s="160"/>
      <c r="E997" s="160"/>
      <c r="F997" s="160"/>
      <c r="G997" s="160"/>
      <c r="H997" s="161"/>
    </row>
    <row r="998" spans="2:8" ht="15" customHeight="1" x14ac:dyDescent="0.2">
      <c r="B998" s="163"/>
      <c r="C998" s="159"/>
      <c r="D998" s="160"/>
      <c r="E998" s="160"/>
      <c r="F998" s="160"/>
      <c r="G998" s="160"/>
      <c r="H998" s="161"/>
    </row>
    <row r="999" spans="2:8" ht="15" customHeight="1" x14ac:dyDescent="0.2">
      <c r="B999" s="163"/>
      <c r="C999" s="159"/>
      <c r="D999" s="160"/>
      <c r="E999" s="160"/>
      <c r="F999" s="160"/>
      <c r="G999" s="160"/>
      <c r="H999" s="161"/>
    </row>
    <row r="1000" spans="2:8" ht="15" customHeight="1" x14ac:dyDescent="0.2">
      <c r="B1000" s="163"/>
      <c r="C1000" s="159"/>
      <c r="D1000" s="160"/>
      <c r="E1000" s="160"/>
      <c r="F1000" s="160"/>
      <c r="G1000" s="160"/>
      <c r="H1000" s="161"/>
    </row>
    <row r="1001" spans="2:8" ht="15" customHeight="1" x14ac:dyDescent="0.2">
      <c r="B1001" s="163"/>
      <c r="C1001" s="159"/>
      <c r="D1001" s="160"/>
      <c r="E1001" s="160"/>
      <c r="F1001" s="160"/>
      <c r="G1001" s="160"/>
      <c r="H1001" s="161"/>
    </row>
    <row r="1002" spans="2:8" ht="15" customHeight="1" x14ac:dyDescent="0.2">
      <c r="B1002" s="163"/>
      <c r="C1002" s="159"/>
      <c r="D1002" s="160"/>
      <c r="E1002" s="160"/>
      <c r="F1002" s="160"/>
      <c r="G1002" s="160"/>
      <c r="H1002" s="161"/>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93" t="s">
        <v>837</v>
      </c>
      <c r="B1" s="93" t="s">
        <v>531</v>
      </c>
      <c r="C1" s="93" t="s">
        <v>838</v>
      </c>
      <c r="D1" s="93" t="s">
        <v>839</v>
      </c>
      <c r="E1" s="93" t="s">
        <v>840</v>
      </c>
      <c r="F1" s="93" t="s">
        <v>841</v>
      </c>
      <c r="G1" s="93" t="s">
        <v>546</v>
      </c>
    </row>
    <row r="2" spans="1:7" ht="15" customHeight="1" x14ac:dyDescent="0.2">
      <c r="A2" s="163" t="s">
        <v>842</v>
      </c>
      <c r="B2" s="163" t="s">
        <v>840</v>
      </c>
      <c r="C2" s="163" t="s">
        <v>843</v>
      </c>
      <c r="D2" s="163"/>
      <c r="E2" s="163"/>
      <c r="F2" s="163"/>
    </row>
    <row r="3" spans="1:7" ht="15" customHeight="1" x14ac:dyDescent="0.2">
      <c r="A3" s="163" t="s">
        <v>844</v>
      </c>
      <c r="B3" s="163" t="s">
        <v>840</v>
      </c>
      <c r="C3" s="163" t="s">
        <v>845</v>
      </c>
      <c r="D3" s="163"/>
      <c r="E3" s="163"/>
      <c r="F3" s="163"/>
    </row>
    <row r="4" spans="1:7" ht="15" customHeight="1" x14ac:dyDescent="0.2">
      <c r="A4" s="163" t="s">
        <v>846</v>
      </c>
      <c r="B4" s="163" t="s">
        <v>840</v>
      </c>
      <c r="C4" s="163" t="s">
        <v>847</v>
      </c>
      <c r="D4" s="163"/>
      <c r="E4" s="163"/>
      <c r="F4" s="163"/>
    </row>
    <row r="5" spans="1:7" ht="15" customHeight="1" x14ac:dyDescent="0.2">
      <c r="A5" s="163" t="s">
        <v>848</v>
      </c>
      <c r="B5" s="163" t="s">
        <v>840</v>
      </c>
      <c r="C5" s="163" t="s">
        <v>849</v>
      </c>
      <c r="D5" s="163"/>
      <c r="E5" s="163"/>
      <c r="F5" s="163"/>
    </row>
    <row r="6" spans="1:7" ht="15" customHeight="1" x14ac:dyDescent="0.2">
      <c r="A6" s="163" t="s">
        <v>850</v>
      </c>
      <c r="B6" s="163" t="s">
        <v>840</v>
      </c>
      <c r="C6" s="163" t="s">
        <v>851</v>
      </c>
      <c r="D6" s="163"/>
      <c r="E6" s="163"/>
      <c r="F6" s="163"/>
    </row>
    <row r="7" spans="1:7" ht="15" customHeight="1" x14ac:dyDescent="0.2">
      <c r="A7" s="163" t="s">
        <v>852</v>
      </c>
      <c r="B7" s="163" t="s">
        <v>840</v>
      </c>
      <c r="C7" s="163" t="s">
        <v>853</v>
      </c>
      <c r="D7" s="163"/>
      <c r="E7" s="163"/>
      <c r="F7" s="163"/>
    </row>
    <row r="8" spans="1:7" ht="15" customHeight="1" x14ac:dyDescent="0.2">
      <c r="A8" s="163" t="s">
        <v>854</v>
      </c>
      <c r="B8" s="163" t="s">
        <v>29</v>
      </c>
      <c r="C8" s="163" t="s">
        <v>855</v>
      </c>
      <c r="D8" s="163"/>
      <c r="E8" s="163" t="s">
        <v>843</v>
      </c>
      <c r="F8" s="163"/>
    </row>
    <row r="9" spans="1:7" ht="15" customHeight="1" x14ac:dyDescent="0.2">
      <c r="A9" s="163" t="s">
        <v>566</v>
      </c>
      <c r="B9" s="163" t="s">
        <v>29</v>
      </c>
      <c r="C9" s="163" t="s">
        <v>856</v>
      </c>
      <c r="D9" s="163"/>
      <c r="E9" s="163" t="s">
        <v>843</v>
      </c>
      <c r="F9" s="163"/>
    </row>
    <row r="10" spans="1:7" ht="15" customHeight="1" x14ac:dyDescent="0.2">
      <c r="A10" s="163" t="s">
        <v>661</v>
      </c>
      <c r="B10" s="163" t="s">
        <v>29</v>
      </c>
      <c r="C10" s="163" t="s">
        <v>425</v>
      </c>
      <c r="D10" s="163"/>
      <c r="E10" s="163" t="s">
        <v>843</v>
      </c>
      <c r="F10" s="163"/>
    </row>
    <row r="11" spans="1:7" ht="15" customHeight="1" x14ac:dyDescent="0.2">
      <c r="A11" s="163" t="s">
        <v>857</v>
      </c>
      <c r="B11" s="163" t="s">
        <v>29</v>
      </c>
      <c r="C11" s="163" t="s">
        <v>417</v>
      </c>
      <c r="D11" s="163"/>
      <c r="E11" s="163" t="s">
        <v>845</v>
      </c>
      <c r="F11" s="163"/>
    </row>
    <row r="12" spans="1:7" ht="15" customHeight="1" x14ac:dyDescent="0.2">
      <c r="A12" s="163" t="s">
        <v>586</v>
      </c>
      <c r="B12" s="163" t="s">
        <v>29</v>
      </c>
      <c r="C12" s="163" t="s">
        <v>514</v>
      </c>
      <c r="D12" s="163"/>
      <c r="E12" s="163" t="s">
        <v>845</v>
      </c>
      <c r="F12" s="163"/>
    </row>
    <row r="13" spans="1:7" ht="15" customHeight="1" x14ac:dyDescent="0.2">
      <c r="A13" s="163" t="s">
        <v>858</v>
      </c>
      <c r="B13" s="163" t="s">
        <v>29</v>
      </c>
      <c r="C13" s="163" t="s">
        <v>421</v>
      </c>
      <c r="D13" s="163"/>
      <c r="E13" s="163" t="s">
        <v>845</v>
      </c>
      <c r="F13" s="163"/>
    </row>
    <row r="14" spans="1:7" ht="15" customHeight="1" x14ac:dyDescent="0.2">
      <c r="A14" s="163" t="s">
        <v>609</v>
      </c>
      <c r="B14" s="163" t="s">
        <v>29</v>
      </c>
      <c r="C14" s="163" t="s">
        <v>407</v>
      </c>
      <c r="D14" s="163"/>
      <c r="E14" s="163" t="s">
        <v>845</v>
      </c>
      <c r="F14" s="163"/>
    </row>
    <row r="15" spans="1:7" ht="15" customHeight="1" x14ac:dyDescent="0.2">
      <c r="A15" s="163" t="s">
        <v>681</v>
      </c>
      <c r="B15" s="163" t="s">
        <v>29</v>
      </c>
      <c r="C15" s="163" t="s">
        <v>434</v>
      </c>
      <c r="D15" s="163"/>
      <c r="E15" s="163" t="s">
        <v>847</v>
      </c>
      <c r="F15" s="163"/>
    </row>
    <row r="16" spans="1:7" ht="15" customHeight="1" x14ac:dyDescent="0.2">
      <c r="A16" s="163" t="s">
        <v>674</v>
      </c>
      <c r="B16" s="163" t="s">
        <v>29</v>
      </c>
      <c r="C16" s="163" t="s">
        <v>859</v>
      </c>
      <c r="D16" s="163"/>
      <c r="E16" s="163" t="s">
        <v>847</v>
      </c>
      <c r="F16" s="163"/>
    </row>
    <row r="17" spans="1:6" ht="15" customHeight="1" x14ac:dyDescent="0.2">
      <c r="A17" s="163" t="s">
        <v>860</v>
      </c>
      <c r="B17" s="163" t="s">
        <v>29</v>
      </c>
      <c r="C17" s="163" t="s">
        <v>428</v>
      </c>
      <c r="D17" s="163"/>
      <c r="E17" s="163" t="s">
        <v>847</v>
      </c>
      <c r="F17" s="163"/>
    </row>
    <row r="18" spans="1:6" ht="15" customHeight="1" x14ac:dyDescent="0.2">
      <c r="A18" s="163" t="s">
        <v>558</v>
      </c>
      <c r="B18" s="163" t="s">
        <v>29</v>
      </c>
      <c r="C18" s="163" t="s">
        <v>454</v>
      </c>
      <c r="D18" s="163"/>
      <c r="E18" s="163" t="s">
        <v>849</v>
      </c>
      <c r="F18" s="163"/>
    </row>
    <row r="19" spans="1:6" ht="15" customHeight="1" x14ac:dyDescent="0.2">
      <c r="A19" s="163" t="s">
        <v>575</v>
      </c>
      <c r="B19" s="163" t="s">
        <v>29</v>
      </c>
      <c r="C19" s="163" t="s">
        <v>462</v>
      </c>
      <c r="D19" s="163"/>
      <c r="E19" s="163" t="s">
        <v>849</v>
      </c>
      <c r="F19" s="163"/>
    </row>
    <row r="20" spans="1:6" ht="15" customHeight="1" x14ac:dyDescent="0.2">
      <c r="A20" s="163" t="s">
        <v>861</v>
      </c>
      <c r="B20" s="163" t="s">
        <v>29</v>
      </c>
      <c r="C20" s="163" t="s">
        <v>862</v>
      </c>
      <c r="D20" s="163"/>
      <c r="E20" s="163" t="s">
        <v>851</v>
      </c>
      <c r="F20" s="163"/>
    </row>
    <row r="21" spans="1:6" ht="15" customHeight="1" x14ac:dyDescent="0.2">
      <c r="A21" s="163" t="s">
        <v>691</v>
      </c>
      <c r="B21" s="163" t="s">
        <v>29</v>
      </c>
      <c r="C21" s="163" t="s">
        <v>483</v>
      </c>
      <c r="D21" s="163"/>
      <c r="E21" s="163" t="s">
        <v>851</v>
      </c>
      <c r="F21" s="163"/>
    </row>
    <row r="22" spans="1:6" ht="15" customHeight="1" x14ac:dyDescent="0.2">
      <c r="A22" s="163" t="s">
        <v>863</v>
      </c>
      <c r="B22" s="163" t="s">
        <v>29</v>
      </c>
      <c r="C22" s="163" t="s">
        <v>265</v>
      </c>
      <c r="D22" s="163"/>
      <c r="E22" s="163" t="s">
        <v>851</v>
      </c>
      <c r="F22" s="163"/>
    </row>
    <row r="23" spans="1:6" ht="15" customHeight="1" x14ac:dyDescent="0.2">
      <c r="A23" s="163" t="s">
        <v>864</v>
      </c>
      <c r="B23" s="163" t="s">
        <v>29</v>
      </c>
      <c r="C23" s="163" t="s">
        <v>494</v>
      </c>
      <c r="D23" s="163"/>
      <c r="E23" s="163" t="s">
        <v>851</v>
      </c>
      <c r="F23" s="163"/>
    </row>
    <row r="24" spans="1:6" ht="15" customHeight="1" x14ac:dyDescent="0.2">
      <c r="A24" s="163" t="s">
        <v>623</v>
      </c>
      <c r="B24" s="163" t="s">
        <v>29</v>
      </c>
      <c r="C24" s="163" t="s">
        <v>465</v>
      </c>
      <c r="D24" s="163"/>
      <c r="E24" s="163" t="s">
        <v>853</v>
      </c>
      <c r="F24" s="163"/>
    </row>
    <row r="25" spans="1:6" ht="15" customHeight="1" x14ac:dyDescent="0.2">
      <c r="A25" s="163" t="s">
        <v>740</v>
      </c>
      <c r="B25" s="163" t="s">
        <v>29</v>
      </c>
      <c r="C25" s="163" t="s">
        <v>865</v>
      </c>
      <c r="D25" s="163"/>
      <c r="E25" s="163" t="s">
        <v>853</v>
      </c>
      <c r="F25" s="163"/>
    </row>
    <row r="26" spans="1:6" ht="15" customHeight="1" x14ac:dyDescent="0.2">
      <c r="A26" s="163" t="s">
        <v>667</v>
      </c>
      <c r="B26" s="163" t="s">
        <v>29</v>
      </c>
      <c r="C26" s="163" t="s">
        <v>469</v>
      </c>
      <c r="D26" s="163"/>
      <c r="E26" s="163" t="s">
        <v>853</v>
      </c>
      <c r="F26" s="163"/>
    </row>
    <row r="27" spans="1:6" ht="15" customHeight="1" x14ac:dyDescent="0.2">
      <c r="A27" s="163" t="s">
        <v>42</v>
      </c>
      <c r="B27" s="163" t="s">
        <v>30</v>
      </c>
      <c r="C27" s="163" t="s">
        <v>41</v>
      </c>
      <c r="D27" s="163" t="s">
        <v>855</v>
      </c>
      <c r="E27" s="163" t="s">
        <v>843</v>
      </c>
      <c r="F27" s="163"/>
    </row>
    <row r="28" spans="1:6" ht="15" customHeight="1" x14ac:dyDescent="0.2">
      <c r="A28" s="163" t="s">
        <v>44</v>
      </c>
      <c r="B28" s="163" t="s">
        <v>30</v>
      </c>
      <c r="C28" s="163" t="s">
        <v>43</v>
      </c>
      <c r="D28" s="163" t="s">
        <v>855</v>
      </c>
      <c r="E28" s="163" t="s">
        <v>843</v>
      </c>
      <c r="F28" s="163"/>
    </row>
    <row r="29" spans="1:6" ht="15" customHeight="1" x14ac:dyDescent="0.2">
      <c r="A29" s="163" t="s">
        <v>46</v>
      </c>
      <c r="B29" s="163" t="s">
        <v>30</v>
      </c>
      <c r="C29" s="163" t="s">
        <v>45</v>
      </c>
      <c r="D29" s="163" t="s">
        <v>855</v>
      </c>
      <c r="E29" s="163" t="s">
        <v>843</v>
      </c>
      <c r="F29" s="163"/>
    </row>
    <row r="30" spans="1:6" ht="15" customHeight="1" x14ac:dyDescent="0.2">
      <c r="A30" s="163" t="s">
        <v>48</v>
      </c>
      <c r="B30" s="163" t="s">
        <v>30</v>
      </c>
      <c r="C30" s="163" t="s">
        <v>47</v>
      </c>
      <c r="D30" s="163" t="s">
        <v>855</v>
      </c>
      <c r="E30" s="163" t="s">
        <v>843</v>
      </c>
      <c r="F30" s="163"/>
    </row>
    <row r="31" spans="1:6" ht="15" customHeight="1" x14ac:dyDescent="0.2">
      <c r="A31" s="163" t="s">
        <v>51</v>
      </c>
      <c r="B31" s="163" t="s">
        <v>30</v>
      </c>
      <c r="C31" s="163" t="s">
        <v>50</v>
      </c>
      <c r="D31" s="163" t="s">
        <v>856</v>
      </c>
      <c r="E31" s="163" t="s">
        <v>843</v>
      </c>
      <c r="F31" s="163"/>
    </row>
    <row r="32" spans="1:6" ht="15" customHeight="1" x14ac:dyDescent="0.2">
      <c r="A32" s="163" t="s">
        <v>54</v>
      </c>
      <c r="B32" s="163" t="s">
        <v>30</v>
      </c>
      <c r="C32" s="163" t="s">
        <v>53</v>
      </c>
      <c r="D32" s="163" t="s">
        <v>856</v>
      </c>
      <c r="E32" s="163" t="s">
        <v>843</v>
      </c>
      <c r="F32" s="163"/>
    </row>
    <row r="33" spans="1:6" ht="15" customHeight="1" x14ac:dyDescent="0.2">
      <c r="A33" s="163" t="s">
        <v>60</v>
      </c>
      <c r="B33" s="163" t="s">
        <v>30</v>
      </c>
      <c r="C33" s="163" t="s">
        <v>59</v>
      </c>
      <c r="D33" s="163" t="s">
        <v>856</v>
      </c>
      <c r="E33" s="163" t="s">
        <v>843</v>
      </c>
      <c r="F33" s="163"/>
    </row>
    <row r="34" spans="1:6" ht="15" customHeight="1" x14ac:dyDescent="0.2">
      <c r="A34" s="163" t="s">
        <v>63</v>
      </c>
      <c r="B34" s="163" t="s">
        <v>30</v>
      </c>
      <c r="C34" s="163" t="s">
        <v>62</v>
      </c>
      <c r="D34" s="163" t="s">
        <v>856</v>
      </c>
      <c r="E34" s="163" t="s">
        <v>843</v>
      </c>
      <c r="F34" s="163"/>
    </row>
    <row r="35" spans="1:6" ht="15" customHeight="1" x14ac:dyDescent="0.2">
      <c r="A35" s="163" t="s">
        <v>68</v>
      </c>
      <c r="B35" s="163" t="s">
        <v>30</v>
      </c>
      <c r="C35" s="163" t="s">
        <v>67</v>
      </c>
      <c r="D35" s="163" t="s">
        <v>425</v>
      </c>
      <c r="E35" s="163" t="s">
        <v>843</v>
      </c>
      <c r="F35" s="163"/>
    </row>
    <row r="36" spans="1:6" ht="15" customHeight="1" x14ac:dyDescent="0.2">
      <c r="A36" s="163" t="s">
        <v>72</v>
      </c>
      <c r="B36" s="163" t="s">
        <v>30</v>
      </c>
      <c r="C36" s="163" t="s">
        <v>71</v>
      </c>
      <c r="D36" s="163" t="s">
        <v>425</v>
      </c>
      <c r="E36" s="163" t="s">
        <v>843</v>
      </c>
      <c r="F36" s="163"/>
    </row>
    <row r="37" spans="1:6" ht="15" customHeight="1" x14ac:dyDescent="0.2">
      <c r="A37" s="163" t="s">
        <v>76</v>
      </c>
      <c r="B37" s="163" t="s">
        <v>30</v>
      </c>
      <c r="C37" s="163" t="s">
        <v>75</v>
      </c>
      <c r="D37" s="163" t="s">
        <v>425</v>
      </c>
      <c r="E37" s="163" t="s">
        <v>843</v>
      </c>
      <c r="F37" s="163"/>
    </row>
    <row r="38" spans="1:6" ht="15" customHeight="1" x14ac:dyDescent="0.2">
      <c r="A38" s="163" t="s">
        <v>83</v>
      </c>
      <c r="B38" s="163" t="s">
        <v>30</v>
      </c>
      <c r="C38" s="163" t="s">
        <v>82</v>
      </c>
      <c r="D38" s="163" t="s">
        <v>417</v>
      </c>
      <c r="E38" s="163" t="s">
        <v>845</v>
      </c>
      <c r="F38" s="163"/>
    </row>
    <row r="39" spans="1:6" ht="15" customHeight="1" x14ac:dyDescent="0.2">
      <c r="A39" s="163" t="s">
        <v>85</v>
      </c>
      <c r="B39" s="163" t="s">
        <v>30</v>
      </c>
      <c r="C39" s="163" t="s">
        <v>84</v>
      </c>
      <c r="D39" s="163" t="s">
        <v>417</v>
      </c>
      <c r="E39" s="163" t="s">
        <v>845</v>
      </c>
      <c r="F39" s="163"/>
    </row>
    <row r="40" spans="1:6" ht="15" customHeight="1" x14ac:dyDescent="0.2">
      <c r="A40" s="163" t="s">
        <v>87</v>
      </c>
      <c r="B40" s="163" t="s">
        <v>30</v>
      </c>
      <c r="C40" s="163" t="s">
        <v>86</v>
      </c>
      <c r="D40" s="163" t="s">
        <v>417</v>
      </c>
      <c r="E40" s="163" t="s">
        <v>845</v>
      </c>
      <c r="F40" s="163"/>
    </row>
    <row r="41" spans="1:6" ht="15" customHeight="1" x14ac:dyDescent="0.2">
      <c r="A41" s="163" t="s">
        <v>89</v>
      </c>
      <c r="B41" s="163" t="s">
        <v>30</v>
      </c>
      <c r="C41" s="163" t="s">
        <v>88</v>
      </c>
      <c r="D41" s="163" t="s">
        <v>417</v>
      </c>
      <c r="E41" s="163" t="s">
        <v>845</v>
      </c>
      <c r="F41" s="163"/>
    </row>
    <row r="42" spans="1:6" ht="15" customHeight="1" x14ac:dyDescent="0.2">
      <c r="A42" s="163" t="s">
        <v>91</v>
      </c>
      <c r="B42" s="163" t="s">
        <v>30</v>
      </c>
      <c r="C42" s="163" t="s">
        <v>90</v>
      </c>
      <c r="D42" s="163" t="s">
        <v>417</v>
      </c>
      <c r="E42" s="163" t="s">
        <v>845</v>
      </c>
      <c r="F42" s="163"/>
    </row>
    <row r="43" spans="1:6" ht="15" customHeight="1" x14ac:dyDescent="0.2">
      <c r="A43" s="163" t="s">
        <v>93</v>
      </c>
      <c r="B43" s="163" t="s">
        <v>30</v>
      </c>
      <c r="C43" s="163" t="s">
        <v>92</v>
      </c>
      <c r="D43" s="163" t="s">
        <v>417</v>
      </c>
      <c r="E43" s="163" t="s">
        <v>845</v>
      </c>
      <c r="F43" s="163"/>
    </row>
    <row r="44" spans="1:6" ht="15" customHeight="1" x14ac:dyDescent="0.2">
      <c r="A44" s="163" t="s">
        <v>95</v>
      </c>
      <c r="B44" s="163" t="s">
        <v>30</v>
      </c>
      <c r="C44" s="163" t="s">
        <v>94</v>
      </c>
      <c r="D44" s="163" t="s">
        <v>417</v>
      </c>
      <c r="E44" s="163" t="s">
        <v>845</v>
      </c>
      <c r="F44" s="163"/>
    </row>
    <row r="45" spans="1:6" ht="15" customHeight="1" x14ac:dyDescent="0.2">
      <c r="A45" s="163" t="s">
        <v>97</v>
      </c>
      <c r="B45" s="163" t="s">
        <v>30</v>
      </c>
      <c r="C45" s="163" t="s">
        <v>96</v>
      </c>
      <c r="D45" s="163" t="s">
        <v>417</v>
      </c>
      <c r="E45" s="163" t="s">
        <v>845</v>
      </c>
      <c r="F45" s="163"/>
    </row>
    <row r="46" spans="1:6" ht="15" customHeight="1" x14ac:dyDescent="0.2">
      <c r="A46" s="163" t="s">
        <v>100</v>
      </c>
      <c r="B46" s="163" t="s">
        <v>30</v>
      </c>
      <c r="C46" s="163" t="s">
        <v>99</v>
      </c>
      <c r="D46" s="163" t="s">
        <v>514</v>
      </c>
      <c r="E46" s="163" t="s">
        <v>845</v>
      </c>
      <c r="F46" s="163"/>
    </row>
    <row r="47" spans="1:6" ht="15" customHeight="1" x14ac:dyDescent="0.2">
      <c r="A47" s="163" t="s">
        <v>105</v>
      </c>
      <c r="B47" s="163" t="s">
        <v>30</v>
      </c>
      <c r="C47" s="163" t="s">
        <v>104</v>
      </c>
      <c r="D47" s="163" t="s">
        <v>514</v>
      </c>
      <c r="E47" s="163" t="s">
        <v>845</v>
      </c>
      <c r="F47" s="163"/>
    </row>
    <row r="48" spans="1:6" ht="15" customHeight="1" x14ac:dyDescent="0.2">
      <c r="A48" s="163" t="s">
        <v>117</v>
      </c>
      <c r="B48" s="163" t="s">
        <v>30</v>
      </c>
      <c r="C48" s="163" t="s">
        <v>116</v>
      </c>
      <c r="D48" s="163" t="s">
        <v>514</v>
      </c>
      <c r="E48" s="163" t="s">
        <v>845</v>
      </c>
      <c r="F48" s="163"/>
    </row>
    <row r="49" spans="1:6" ht="15" customHeight="1" x14ac:dyDescent="0.2">
      <c r="A49" s="163" t="s">
        <v>122</v>
      </c>
      <c r="B49" s="163" t="s">
        <v>30</v>
      </c>
      <c r="C49" s="163" t="s">
        <v>121</v>
      </c>
      <c r="D49" s="163" t="s">
        <v>421</v>
      </c>
      <c r="E49" s="163" t="s">
        <v>845</v>
      </c>
      <c r="F49" s="163"/>
    </row>
    <row r="50" spans="1:6" ht="15" customHeight="1" x14ac:dyDescent="0.2">
      <c r="A50" s="163" t="s">
        <v>124</v>
      </c>
      <c r="B50" s="163" t="s">
        <v>30</v>
      </c>
      <c r="C50" s="163" t="s">
        <v>123</v>
      </c>
      <c r="D50" s="163" t="s">
        <v>421</v>
      </c>
      <c r="E50" s="163" t="s">
        <v>845</v>
      </c>
      <c r="F50" s="163"/>
    </row>
    <row r="51" spans="1:6" ht="15" customHeight="1" x14ac:dyDescent="0.2">
      <c r="A51" s="163" t="s">
        <v>132</v>
      </c>
      <c r="B51" s="163" t="s">
        <v>30</v>
      </c>
      <c r="C51" s="163" t="s">
        <v>131</v>
      </c>
      <c r="D51" s="163" t="s">
        <v>421</v>
      </c>
      <c r="E51" s="163" t="s">
        <v>845</v>
      </c>
      <c r="F51" s="163"/>
    </row>
    <row r="52" spans="1:6" ht="15" customHeight="1" x14ac:dyDescent="0.2">
      <c r="A52" s="163" t="s">
        <v>135</v>
      </c>
      <c r="B52" s="163" t="s">
        <v>30</v>
      </c>
      <c r="C52" s="163" t="s">
        <v>134</v>
      </c>
      <c r="D52" s="163" t="s">
        <v>407</v>
      </c>
      <c r="E52" s="163" t="s">
        <v>845</v>
      </c>
      <c r="F52" s="163"/>
    </row>
    <row r="53" spans="1:6" ht="15" customHeight="1" x14ac:dyDescent="0.2">
      <c r="A53" s="163" t="s">
        <v>138</v>
      </c>
      <c r="B53" s="163" t="s">
        <v>30</v>
      </c>
      <c r="C53" s="163" t="s">
        <v>137</v>
      </c>
      <c r="D53" s="163" t="s">
        <v>407</v>
      </c>
      <c r="E53" s="163" t="s">
        <v>845</v>
      </c>
      <c r="F53" s="163"/>
    </row>
    <row r="54" spans="1:6" ht="15" customHeight="1" x14ac:dyDescent="0.2">
      <c r="A54" s="163" t="s">
        <v>141</v>
      </c>
      <c r="B54" s="163" t="s">
        <v>30</v>
      </c>
      <c r="C54" s="163" t="s">
        <v>140</v>
      </c>
      <c r="D54" s="163" t="s">
        <v>407</v>
      </c>
      <c r="E54" s="163" t="s">
        <v>845</v>
      </c>
      <c r="F54" s="163"/>
    </row>
    <row r="55" spans="1:6" ht="15" customHeight="1" x14ac:dyDescent="0.2">
      <c r="A55" s="163" t="s">
        <v>144</v>
      </c>
      <c r="B55" s="163" t="s">
        <v>30</v>
      </c>
      <c r="C55" s="163" t="s">
        <v>143</v>
      </c>
      <c r="D55" s="163" t="s">
        <v>407</v>
      </c>
      <c r="E55" s="163" t="s">
        <v>845</v>
      </c>
      <c r="F55" s="163"/>
    </row>
    <row r="56" spans="1:6" ht="15" customHeight="1" x14ac:dyDescent="0.2">
      <c r="A56" s="163" t="s">
        <v>149</v>
      </c>
      <c r="B56" s="163" t="s">
        <v>30</v>
      </c>
      <c r="C56" s="163" t="s">
        <v>148</v>
      </c>
      <c r="D56" s="163" t="s">
        <v>407</v>
      </c>
      <c r="E56" s="163" t="s">
        <v>845</v>
      </c>
      <c r="F56" s="163"/>
    </row>
    <row r="57" spans="1:6" ht="15" customHeight="1" x14ac:dyDescent="0.2">
      <c r="A57" s="163" t="s">
        <v>156</v>
      </c>
      <c r="B57" s="163" t="s">
        <v>30</v>
      </c>
      <c r="C57" s="163" t="s">
        <v>155</v>
      </c>
      <c r="D57" s="163" t="s">
        <v>434</v>
      </c>
      <c r="E57" s="163" t="s">
        <v>847</v>
      </c>
      <c r="F57" s="163"/>
    </row>
    <row r="58" spans="1:6" ht="15" customHeight="1" x14ac:dyDescent="0.2">
      <c r="A58" s="163" t="s">
        <v>161</v>
      </c>
      <c r="B58" s="163" t="s">
        <v>30</v>
      </c>
      <c r="C58" s="163" t="s">
        <v>160</v>
      </c>
      <c r="D58" s="163" t="s">
        <v>434</v>
      </c>
      <c r="E58" s="163" t="s">
        <v>847</v>
      </c>
      <c r="F58" s="163"/>
    </row>
    <row r="59" spans="1:6" ht="15" customHeight="1" x14ac:dyDescent="0.2">
      <c r="A59" s="163" t="s">
        <v>167</v>
      </c>
      <c r="B59" s="163" t="s">
        <v>30</v>
      </c>
      <c r="C59" s="163" t="s">
        <v>166</v>
      </c>
      <c r="D59" s="163" t="s">
        <v>434</v>
      </c>
      <c r="E59" s="163" t="s">
        <v>847</v>
      </c>
      <c r="F59" s="163"/>
    </row>
    <row r="60" spans="1:6" ht="15" customHeight="1" x14ac:dyDescent="0.2">
      <c r="A60" s="163" t="s">
        <v>170</v>
      </c>
      <c r="B60" s="163" t="s">
        <v>30</v>
      </c>
      <c r="C60" s="163" t="s">
        <v>169</v>
      </c>
      <c r="D60" s="163" t="s">
        <v>434</v>
      </c>
      <c r="E60" s="163" t="s">
        <v>847</v>
      </c>
      <c r="F60" s="163"/>
    </row>
    <row r="61" spans="1:6" ht="15" customHeight="1" x14ac:dyDescent="0.2">
      <c r="A61" s="163" t="s">
        <v>174</v>
      </c>
      <c r="B61" s="163" t="s">
        <v>30</v>
      </c>
      <c r="C61" s="163" t="s">
        <v>173</v>
      </c>
      <c r="D61" s="163" t="s">
        <v>859</v>
      </c>
      <c r="E61" s="163" t="s">
        <v>847</v>
      </c>
      <c r="F61" s="163"/>
    </row>
    <row r="62" spans="1:6" ht="15" customHeight="1" x14ac:dyDescent="0.2">
      <c r="A62" s="163" t="s">
        <v>178</v>
      </c>
      <c r="B62" s="163" t="s">
        <v>30</v>
      </c>
      <c r="C62" s="163" t="s">
        <v>177</v>
      </c>
      <c r="D62" s="163" t="s">
        <v>859</v>
      </c>
      <c r="E62" s="163" t="s">
        <v>847</v>
      </c>
      <c r="F62" s="163"/>
    </row>
    <row r="63" spans="1:6" ht="15" customHeight="1" x14ac:dyDescent="0.2">
      <c r="A63" s="163" t="s">
        <v>181</v>
      </c>
      <c r="B63" s="163" t="s">
        <v>30</v>
      </c>
      <c r="C63" s="163" t="s">
        <v>180</v>
      </c>
      <c r="D63" s="163" t="s">
        <v>859</v>
      </c>
      <c r="E63" s="163" t="s">
        <v>847</v>
      </c>
      <c r="F63" s="163"/>
    </row>
    <row r="64" spans="1:6" ht="15" customHeight="1" x14ac:dyDescent="0.2">
      <c r="A64" s="163" t="s">
        <v>188</v>
      </c>
      <c r="B64" s="163" t="s">
        <v>30</v>
      </c>
      <c r="C64" s="163" t="s">
        <v>187</v>
      </c>
      <c r="D64" s="163" t="s">
        <v>428</v>
      </c>
      <c r="E64" s="163" t="s">
        <v>847</v>
      </c>
      <c r="F64" s="163"/>
    </row>
    <row r="65" spans="1:6" ht="15" customHeight="1" x14ac:dyDescent="0.2">
      <c r="A65" s="163" t="s">
        <v>190</v>
      </c>
      <c r="B65" s="163" t="s">
        <v>30</v>
      </c>
      <c r="C65" s="163" t="s">
        <v>189</v>
      </c>
      <c r="D65" s="163" t="s">
        <v>428</v>
      </c>
      <c r="E65" s="163" t="s">
        <v>847</v>
      </c>
      <c r="F65" s="163"/>
    </row>
    <row r="66" spans="1:6" ht="15" customHeight="1" x14ac:dyDescent="0.2">
      <c r="A66" s="163" t="s">
        <v>192</v>
      </c>
      <c r="B66" s="163" t="s">
        <v>30</v>
      </c>
      <c r="C66" s="163" t="s">
        <v>191</v>
      </c>
      <c r="D66" s="163" t="s">
        <v>428</v>
      </c>
      <c r="E66" s="163" t="s">
        <v>847</v>
      </c>
      <c r="F66" s="163"/>
    </row>
    <row r="67" spans="1:6" ht="15" customHeight="1" x14ac:dyDescent="0.2">
      <c r="A67" s="163" t="s">
        <v>194</v>
      </c>
      <c r="B67" s="163" t="s">
        <v>30</v>
      </c>
      <c r="C67" s="163" t="s">
        <v>193</v>
      </c>
      <c r="D67" s="163" t="s">
        <v>428</v>
      </c>
      <c r="E67" s="163" t="s">
        <v>847</v>
      </c>
      <c r="F67" s="163"/>
    </row>
    <row r="68" spans="1:6" ht="15" customHeight="1" x14ac:dyDescent="0.2">
      <c r="A68" s="163" t="s">
        <v>196</v>
      </c>
      <c r="B68" s="163" t="s">
        <v>30</v>
      </c>
      <c r="C68" s="163" t="s">
        <v>195</v>
      </c>
      <c r="D68" s="163" t="s">
        <v>428</v>
      </c>
      <c r="E68" s="163" t="s">
        <v>847</v>
      </c>
      <c r="F68" s="163"/>
    </row>
    <row r="69" spans="1:6" ht="15" customHeight="1" x14ac:dyDescent="0.2">
      <c r="A69" s="163" t="s">
        <v>200</v>
      </c>
      <c r="B69" s="163" t="s">
        <v>30</v>
      </c>
      <c r="C69" s="163" t="s">
        <v>199</v>
      </c>
      <c r="D69" s="163" t="s">
        <v>454</v>
      </c>
      <c r="E69" s="163" t="s">
        <v>849</v>
      </c>
      <c r="F69" s="163"/>
    </row>
    <row r="70" spans="1:6" ht="15" customHeight="1" x14ac:dyDescent="0.2">
      <c r="A70" s="163" t="s">
        <v>207</v>
      </c>
      <c r="B70" s="163" t="s">
        <v>30</v>
      </c>
      <c r="C70" s="163" t="s">
        <v>206</v>
      </c>
      <c r="D70" s="163" t="s">
        <v>454</v>
      </c>
      <c r="E70" s="163" t="s">
        <v>849</v>
      </c>
      <c r="F70" s="163"/>
    </row>
    <row r="71" spans="1:6" ht="15" customHeight="1" x14ac:dyDescent="0.2">
      <c r="A71" s="163" t="s">
        <v>212</v>
      </c>
      <c r="B71" s="163" t="s">
        <v>30</v>
      </c>
      <c r="C71" s="163" t="s">
        <v>211</v>
      </c>
      <c r="D71" s="163" t="s">
        <v>454</v>
      </c>
      <c r="E71" s="163" t="s">
        <v>849</v>
      </c>
      <c r="F71" s="163"/>
    </row>
    <row r="72" spans="1:6" ht="15" customHeight="1" x14ac:dyDescent="0.2">
      <c r="A72" s="163" t="s">
        <v>217</v>
      </c>
      <c r="B72" s="163" t="s">
        <v>30</v>
      </c>
      <c r="C72" s="163" t="s">
        <v>216</v>
      </c>
      <c r="D72" s="163" t="s">
        <v>454</v>
      </c>
      <c r="E72" s="163" t="s">
        <v>849</v>
      </c>
      <c r="F72" s="163"/>
    </row>
    <row r="73" spans="1:6" ht="15" customHeight="1" x14ac:dyDescent="0.2">
      <c r="A73" s="163" t="s">
        <v>225</v>
      </c>
      <c r="B73" s="163" t="s">
        <v>30</v>
      </c>
      <c r="C73" s="163" t="s">
        <v>224</v>
      </c>
      <c r="D73" s="163" t="s">
        <v>454</v>
      </c>
      <c r="E73" s="163" t="s">
        <v>849</v>
      </c>
      <c r="F73" s="163"/>
    </row>
    <row r="74" spans="1:6" ht="15" customHeight="1" x14ac:dyDescent="0.2">
      <c r="A74" s="163" t="s">
        <v>233</v>
      </c>
      <c r="B74" s="163" t="s">
        <v>30</v>
      </c>
      <c r="C74" s="163" t="s">
        <v>232</v>
      </c>
      <c r="D74" s="163" t="s">
        <v>454</v>
      </c>
      <c r="E74" s="163" t="s">
        <v>849</v>
      </c>
      <c r="F74" s="163"/>
    </row>
    <row r="75" spans="1:6" ht="15" customHeight="1" x14ac:dyDescent="0.2">
      <c r="A75" s="163" t="s">
        <v>237</v>
      </c>
      <c r="B75" s="163" t="s">
        <v>30</v>
      </c>
      <c r="C75" s="163" t="s">
        <v>236</v>
      </c>
      <c r="D75" s="163" t="s">
        <v>454</v>
      </c>
      <c r="E75" s="163" t="s">
        <v>849</v>
      </c>
      <c r="F75" s="163"/>
    </row>
    <row r="76" spans="1:6" ht="15" customHeight="1" x14ac:dyDescent="0.2">
      <c r="A76" s="163" t="s">
        <v>240</v>
      </c>
      <c r="B76" s="163" t="s">
        <v>30</v>
      </c>
      <c r="C76" s="163" t="s">
        <v>239</v>
      </c>
      <c r="D76" s="163" t="s">
        <v>462</v>
      </c>
      <c r="E76" s="163" t="s">
        <v>849</v>
      </c>
      <c r="F76" s="163"/>
    </row>
    <row r="77" spans="1:6" ht="15" customHeight="1" x14ac:dyDescent="0.2">
      <c r="A77" s="163" t="s">
        <v>245</v>
      </c>
      <c r="B77" s="163" t="s">
        <v>30</v>
      </c>
      <c r="C77" s="163" t="s">
        <v>244</v>
      </c>
      <c r="D77" s="163" t="s">
        <v>462</v>
      </c>
      <c r="E77" s="163" t="s">
        <v>849</v>
      </c>
      <c r="F77" s="163"/>
    </row>
    <row r="78" spans="1:6" ht="15" customHeight="1" x14ac:dyDescent="0.2">
      <c r="A78" s="163" t="s">
        <v>248</v>
      </c>
      <c r="B78" s="163" t="s">
        <v>30</v>
      </c>
      <c r="C78" s="163" t="s">
        <v>247</v>
      </c>
      <c r="D78" s="163" t="s">
        <v>462</v>
      </c>
      <c r="E78" s="163" t="s">
        <v>849</v>
      </c>
      <c r="F78" s="163"/>
    </row>
    <row r="79" spans="1:6" ht="15" customHeight="1" x14ac:dyDescent="0.2">
      <c r="A79" s="163" t="s">
        <v>252</v>
      </c>
      <c r="B79" s="163" t="s">
        <v>30</v>
      </c>
      <c r="C79" s="163" t="s">
        <v>251</v>
      </c>
      <c r="D79" s="163" t="s">
        <v>862</v>
      </c>
      <c r="E79" s="163" t="s">
        <v>851</v>
      </c>
      <c r="F79" s="163"/>
    </row>
    <row r="80" spans="1:6" ht="15" customHeight="1" x14ac:dyDescent="0.2">
      <c r="A80" s="163" t="s">
        <v>254</v>
      </c>
      <c r="B80" s="163" t="s">
        <v>30</v>
      </c>
      <c r="C80" s="163" t="s">
        <v>253</v>
      </c>
      <c r="D80" s="163" t="s">
        <v>862</v>
      </c>
      <c r="E80" s="163" t="s">
        <v>851</v>
      </c>
      <c r="F80" s="163"/>
    </row>
    <row r="81" spans="1:6" ht="15" customHeight="1" x14ac:dyDescent="0.2">
      <c r="A81" s="163" t="s">
        <v>256</v>
      </c>
      <c r="B81" s="163" t="s">
        <v>30</v>
      </c>
      <c r="C81" s="163" t="s">
        <v>255</v>
      </c>
      <c r="D81" s="163" t="s">
        <v>862</v>
      </c>
      <c r="E81" s="163" t="s">
        <v>851</v>
      </c>
      <c r="F81" s="163"/>
    </row>
    <row r="82" spans="1:6" ht="15" customHeight="1" x14ac:dyDescent="0.2">
      <c r="A82" s="163" t="s">
        <v>258</v>
      </c>
      <c r="B82" s="163" t="s">
        <v>30</v>
      </c>
      <c r="C82" s="163" t="s">
        <v>257</v>
      </c>
      <c r="D82" s="163" t="s">
        <v>862</v>
      </c>
      <c r="E82" s="163" t="s">
        <v>851</v>
      </c>
      <c r="F82" s="163"/>
    </row>
    <row r="83" spans="1:6" ht="15" customHeight="1" x14ac:dyDescent="0.2">
      <c r="A83" s="163" t="s">
        <v>260</v>
      </c>
      <c r="B83" s="163" t="s">
        <v>30</v>
      </c>
      <c r="C83" s="163" t="s">
        <v>259</v>
      </c>
      <c r="D83" s="163" t="s">
        <v>862</v>
      </c>
      <c r="E83" s="163" t="s">
        <v>851</v>
      </c>
      <c r="F83" s="163"/>
    </row>
    <row r="84" spans="1:6" ht="15" customHeight="1" x14ac:dyDescent="0.2">
      <c r="A84" s="163" t="s">
        <v>262</v>
      </c>
      <c r="B84" s="163" t="s">
        <v>30</v>
      </c>
      <c r="C84" s="163" t="s">
        <v>261</v>
      </c>
      <c r="D84" s="163" t="s">
        <v>862</v>
      </c>
      <c r="E84" s="163" t="s">
        <v>851</v>
      </c>
      <c r="F84" s="163"/>
    </row>
    <row r="85" spans="1:6" ht="15" customHeight="1" x14ac:dyDescent="0.2">
      <c r="A85" s="163" t="s">
        <v>264</v>
      </c>
      <c r="B85" s="163" t="s">
        <v>30</v>
      </c>
      <c r="C85" s="163" t="s">
        <v>263</v>
      </c>
      <c r="D85" s="163" t="s">
        <v>862</v>
      </c>
      <c r="E85" s="163" t="s">
        <v>851</v>
      </c>
      <c r="F85" s="163"/>
    </row>
    <row r="86" spans="1:6" ht="15" customHeight="1" x14ac:dyDescent="0.2">
      <c r="A86" s="163" t="s">
        <v>266</v>
      </c>
      <c r="B86" s="163" t="s">
        <v>30</v>
      </c>
      <c r="C86" s="163" t="s">
        <v>265</v>
      </c>
      <c r="D86" s="163" t="s">
        <v>862</v>
      </c>
      <c r="E86" s="163" t="s">
        <v>851</v>
      </c>
      <c r="F86" s="163"/>
    </row>
    <row r="87" spans="1:6" ht="15" customHeight="1" x14ac:dyDescent="0.2">
      <c r="A87" s="163" t="s">
        <v>268</v>
      </c>
      <c r="B87" s="163" t="s">
        <v>30</v>
      </c>
      <c r="C87" s="163" t="s">
        <v>267</v>
      </c>
      <c r="D87" s="163" t="s">
        <v>862</v>
      </c>
      <c r="E87" s="163" t="s">
        <v>851</v>
      </c>
      <c r="F87" s="163"/>
    </row>
    <row r="88" spans="1:6" ht="15" customHeight="1" x14ac:dyDescent="0.2">
      <c r="A88" s="163" t="s">
        <v>271</v>
      </c>
      <c r="B88" s="163" t="s">
        <v>30</v>
      </c>
      <c r="C88" s="163" t="s">
        <v>270</v>
      </c>
      <c r="D88" s="163" t="s">
        <v>483</v>
      </c>
      <c r="E88" s="163" t="s">
        <v>851</v>
      </c>
      <c r="F88" s="163"/>
    </row>
    <row r="89" spans="1:6" ht="15" customHeight="1" x14ac:dyDescent="0.2">
      <c r="A89" s="163" t="s">
        <v>276</v>
      </c>
      <c r="B89" s="163" t="s">
        <v>30</v>
      </c>
      <c r="C89" s="163" t="s">
        <v>275</v>
      </c>
      <c r="D89" s="163" t="s">
        <v>483</v>
      </c>
      <c r="E89" s="163" t="s">
        <v>851</v>
      </c>
      <c r="F89" s="163"/>
    </row>
    <row r="90" spans="1:6" ht="15" customHeight="1" x14ac:dyDescent="0.2">
      <c r="A90" s="163" t="s">
        <v>279</v>
      </c>
      <c r="B90" s="163" t="s">
        <v>30</v>
      </c>
      <c r="C90" s="163" t="s">
        <v>278</v>
      </c>
      <c r="D90" s="163" t="s">
        <v>483</v>
      </c>
      <c r="E90" s="163" t="s">
        <v>851</v>
      </c>
      <c r="F90" s="163"/>
    </row>
    <row r="91" spans="1:6" ht="15" customHeight="1" x14ac:dyDescent="0.2">
      <c r="A91" s="163" t="s">
        <v>284</v>
      </c>
      <c r="B91" s="163" t="s">
        <v>30</v>
      </c>
      <c r="C91" s="163" t="s">
        <v>283</v>
      </c>
      <c r="D91" s="163" t="s">
        <v>483</v>
      </c>
      <c r="E91" s="163" t="s">
        <v>851</v>
      </c>
      <c r="F91" s="163"/>
    </row>
    <row r="92" spans="1:6" ht="15" customHeight="1" x14ac:dyDescent="0.2">
      <c r="A92" s="163" t="s">
        <v>288</v>
      </c>
      <c r="B92" s="163" t="s">
        <v>30</v>
      </c>
      <c r="C92" s="163" t="s">
        <v>287</v>
      </c>
      <c r="D92" s="163" t="s">
        <v>483</v>
      </c>
      <c r="E92" s="163" t="s">
        <v>851</v>
      </c>
      <c r="F92" s="163"/>
    </row>
    <row r="93" spans="1:6" ht="15" customHeight="1" x14ac:dyDescent="0.2">
      <c r="A93" s="163" t="s">
        <v>291</v>
      </c>
      <c r="B93" s="163" t="s">
        <v>30</v>
      </c>
      <c r="C93" s="163" t="s">
        <v>290</v>
      </c>
      <c r="D93" s="163" t="s">
        <v>483</v>
      </c>
      <c r="E93" s="163" t="s">
        <v>851</v>
      </c>
      <c r="F93" s="163"/>
    </row>
    <row r="94" spans="1:6" ht="15" customHeight="1" x14ac:dyDescent="0.2">
      <c r="A94" s="163" t="s">
        <v>295</v>
      </c>
      <c r="B94" s="163" t="s">
        <v>30</v>
      </c>
      <c r="C94" s="163" t="s">
        <v>294</v>
      </c>
      <c r="D94" s="163" t="s">
        <v>483</v>
      </c>
      <c r="E94" s="163" t="s">
        <v>851</v>
      </c>
      <c r="F94" s="163"/>
    </row>
    <row r="95" spans="1:6" ht="15" customHeight="1" x14ac:dyDescent="0.2">
      <c r="A95" s="163" t="s">
        <v>302</v>
      </c>
      <c r="B95" s="163" t="s">
        <v>30</v>
      </c>
      <c r="C95" s="163" t="s">
        <v>301</v>
      </c>
      <c r="D95" s="163" t="s">
        <v>265</v>
      </c>
      <c r="E95" s="163" t="s">
        <v>851</v>
      </c>
      <c r="F95" s="163"/>
    </row>
    <row r="96" spans="1:6" ht="15" customHeight="1" x14ac:dyDescent="0.2">
      <c r="A96" s="163" t="s">
        <v>304</v>
      </c>
      <c r="B96" s="163" t="s">
        <v>30</v>
      </c>
      <c r="C96" s="163" t="s">
        <v>303</v>
      </c>
      <c r="D96" s="163" t="s">
        <v>265</v>
      </c>
      <c r="E96" s="163" t="s">
        <v>851</v>
      </c>
      <c r="F96" s="163"/>
    </row>
    <row r="97" spans="1:6" ht="15" customHeight="1" x14ac:dyDescent="0.2">
      <c r="A97" s="163" t="s">
        <v>306</v>
      </c>
      <c r="B97" s="163" t="s">
        <v>30</v>
      </c>
      <c r="C97" s="163" t="s">
        <v>305</v>
      </c>
      <c r="D97" s="163" t="s">
        <v>265</v>
      </c>
      <c r="E97" s="163" t="s">
        <v>851</v>
      </c>
      <c r="F97" s="163"/>
    </row>
    <row r="98" spans="1:6" ht="15" customHeight="1" x14ac:dyDescent="0.2">
      <c r="A98" s="163" t="s">
        <v>308</v>
      </c>
      <c r="B98" s="163" t="s">
        <v>30</v>
      </c>
      <c r="C98" s="163" t="s">
        <v>307</v>
      </c>
      <c r="D98" s="163" t="s">
        <v>265</v>
      </c>
      <c r="E98" s="163" t="s">
        <v>851</v>
      </c>
      <c r="F98" s="163"/>
    </row>
    <row r="99" spans="1:6" ht="15" customHeight="1" x14ac:dyDescent="0.2">
      <c r="A99" s="163" t="s">
        <v>310</v>
      </c>
      <c r="B99" s="163" t="s">
        <v>30</v>
      </c>
      <c r="C99" s="163" t="s">
        <v>309</v>
      </c>
      <c r="D99" s="163" t="s">
        <v>265</v>
      </c>
      <c r="E99" s="163" t="s">
        <v>851</v>
      </c>
      <c r="F99" s="163"/>
    </row>
    <row r="100" spans="1:6" ht="15" customHeight="1" x14ac:dyDescent="0.2">
      <c r="A100" s="163" t="s">
        <v>312</v>
      </c>
      <c r="B100" s="163" t="s">
        <v>30</v>
      </c>
      <c r="C100" s="163" t="s">
        <v>311</v>
      </c>
      <c r="D100" s="163" t="s">
        <v>265</v>
      </c>
      <c r="E100" s="163" t="s">
        <v>851</v>
      </c>
      <c r="F100" s="163"/>
    </row>
    <row r="101" spans="1:6" ht="15" customHeight="1" x14ac:dyDescent="0.2">
      <c r="A101" s="163" t="s">
        <v>314</v>
      </c>
      <c r="B101" s="163" t="s">
        <v>30</v>
      </c>
      <c r="C101" s="163" t="s">
        <v>313</v>
      </c>
      <c r="D101" s="163" t="s">
        <v>265</v>
      </c>
      <c r="E101" s="163" t="s">
        <v>851</v>
      </c>
      <c r="F101" s="163"/>
    </row>
    <row r="102" spans="1:6" ht="15" customHeight="1" x14ac:dyDescent="0.2">
      <c r="A102" s="163" t="s">
        <v>316</v>
      </c>
      <c r="B102" s="163" t="s">
        <v>30</v>
      </c>
      <c r="C102" s="163" t="s">
        <v>315</v>
      </c>
      <c r="D102" s="163" t="s">
        <v>265</v>
      </c>
      <c r="E102" s="163" t="s">
        <v>851</v>
      </c>
      <c r="F102" s="163"/>
    </row>
    <row r="103" spans="1:6" ht="15" customHeight="1" x14ac:dyDescent="0.2">
      <c r="A103" s="163" t="s">
        <v>318</v>
      </c>
      <c r="B103" s="163" t="s">
        <v>30</v>
      </c>
      <c r="C103" s="163" t="s">
        <v>317</v>
      </c>
      <c r="D103" s="163" t="s">
        <v>265</v>
      </c>
      <c r="E103" s="163" t="s">
        <v>851</v>
      </c>
      <c r="F103" s="163"/>
    </row>
    <row r="104" spans="1:6" ht="15" customHeight="1" x14ac:dyDescent="0.2">
      <c r="A104" s="163" t="s">
        <v>320</v>
      </c>
      <c r="B104" s="163" t="s">
        <v>30</v>
      </c>
      <c r="C104" s="163" t="s">
        <v>319</v>
      </c>
      <c r="D104" s="163" t="s">
        <v>265</v>
      </c>
      <c r="E104" s="163" t="s">
        <v>851</v>
      </c>
      <c r="F104" s="163"/>
    </row>
    <row r="105" spans="1:6" ht="15" customHeight="1" x14ac:dyDescent="0.2">
      <c r="A105" s="163" t="s">
        <v>322</v>
      </c>
      <c r="B105" s="163" t="s">
        <v>30</v>
      </c>
      <c r="C105" s="163" t="s">
        <v>321</v>
      </c>
      <c r="D105" s="163" t="s">
        <v>265</v>
      </c>
      <c r="E105" s="163" t="s">
        <v>851</v>
      </c>
      <c r="F105" s="163"/>
    </row>
    <row r="106" spans="1:6" ht="15" customHeight="1" x14ac:dyDescent="0.2">
      <c r="A106" s="163" t="s">
        <v>325</v>
      </c>
      <c r="B106" s="163" t="s">
        <v>30</v>
      </c>
      <c r="C106" s="163" t="s">
        <v>324</v>
      </c>
      <c r="D106" s="163" t="s">
        <v>494</v>
      </c>
      <c r="E106" s="163" t="s">
        <v>851</v>
      </c>
      <c r="F106" s="163"/>
    </row>
    <row r="107" spans="1:6" ht="15" customHeight="1" x14ac:dyDescent="0.2">
      <c r="A107" s="163" t="s">
        <v>327</v>
      </c>
      <c r="B107" s="163" t="s">
        <v>30</v>
      </c>
      <c r="C107" s="163" t="s">
        <v>326</v>
      </c>
      <c r="D107" s="163" t="s">
        <v>494</v>
      </c>
      <c r="E107" s="163" t="s">
        <v>851</v>
      </c>
      <c r="F107" s="163"/>
    </row>
    <row r="108" spans="1:6" ht="15" customHeight="1" x14ac:dyDescent="0.2">
      <c r="A108" s="163" t="s">
        <v>329</v>
      </c>
      <c r="B108" s="163" t="s">
        <v>30</v>
      </c>
      <c r="C108" s="163" t="s">
        <v>328</v>
      </c>
      <c r="D108" s="163" t="s">
        <v>494</v>
      </c>
      <c r="E108" s="163" t="s">
        <v>851</v>
      </c>
      <c r="F108" s="163"/>
    </row>
    <row r="109" spans="1:6" ht="15" customHeight="1" x14ac:dyDescent="0.2">
      <c r="A109" s="163" t="s">
        <v>331</v>
      </c>
      <c r="B109" s="163" t="s">
        <v>30</v>
      </c>
      <c r="C109" s="163" t="s">
        <v>330</v>
      </c>
      <c r="D109" s="163" t="s">
        <v>494</v>
      </c>
      <c r="E109" s="163" t="s">
        <v>851</v>
      </c>
      <c r="F109" s="163"/>
    </row>
    <row r="110" spans="1:6" ht="15" customHeight="1" x14ac:dyDescent="0.2">
      <c r="A110" s="163" t="s">
        <v>335</v>
      </c>
      <c r="B110" s="163" t="s">
        <v>30</v>
      </c>
      <c r="C110" s="163" t="s">
        <v>334</v>
      </c>
      <c r="D110" s="163" t="s">
        <v>465</v>
      </c>
      <c r="E110" s="163" t="s">
        <v>853</v>
      </c>
      <c r="F110" s="163"/>
    </row>
    <row r="111" spans="1:6" ht="15" customHeight="1" x14ac:dyDescent="0.2">
      <c r="A111" s="163" t="s">
        <v>338</v>
      </c>
      <c r="B111" s="163" t="s">
        <v>30</v>
      </c>
      <c r="C111" s="163" t="s">
        <v>337</v>
      </c>
      <c r="D111" s="163" t="s">
        <v>465</v>
      </c>
      <c r="E111" s="163" t="s">
        <v>853</v>
      </c>
      <c r="F111" s="163"/>
    </row>
    <row r="112" spans="1:6" ht="15" customHeight="1" x14ac:dyDescent="0.2">
      <c r="A112" s="163" t="s">
        <v>343</v>
      </c>
      <c r="B112" s="163" t="s">
        <v>30</v>
      </c>
      <c r="C112" s="163" t="s">
        <v>342</v>
      </c>
      <c r="D112" s="163" t="s">
        <v>465</v>
      </c>
      <c r="E112" s="163" t="s">
        <v>853</v>
      </c>
      <c r="F112" s="163"/>
    </row>
    <row r="113" spans="1:7" ht="15" customHeight="1" x14ac:dyDescent="0.2">
      <c r="A113" s="163" t="s">
        <v>346</v>
      </c>
      <c r="B113" s="163" t="s">
        <v>30</v>
      </c>
      <c r="C113" s="163" t="s">
        <v>345</v>
      </c>
      <c r="D113" s="163" t="s">
        <v>465</v>
      </c>
      <c r="E113" s="163" t="s">
        <v>853</v>
      </c>
      <c r="F113" s="163"/>
    </row>
    <row r="114" spans="1:7" ht="15" customHeight="1" x14ac:dyDescent="0.2">
      <c r="A114" s="163" t="s">
        <v>353</v>
      </c>
      <c r="B114" s="163" t="s">
        <v>30</v>
      </c>
      <c r="C114" s="163" t="s">
        <v>352</v>
      </c>
      <c r="D114" s="163" t="s">
        <v>865</v>
      </c>
      <c r="E114" s="163" t="s">
        <v>853</v>
      </c>
      <c r="F114" s="163"/>
    </row>
    <row r="115" spans="1:7" ht="15" customHeight="1" x14ac:dyDescent="0.2">
      <c r="A115" s="163" t="s">
        <v>357</v>
      </c>
      <c r="B115" s="163" t="s">
        <v>30</v>
      </c>
      <c r="C115" s="163" t="s">
        <v>356</v>
      </c>
      <c r="D115" s="163" t="s">
        <v>865</v>
      </c>
      <c r="E115" s="163" t="s">
        <v>853</v>
      </c>
      <c r="F115" s="163"/>
    </row>
    <row r="116" spans="1:7" ht="15" customHeight="1" x14ac:dyDescent="0.2">
      <c r="A116" s="163" t="s">
        <v>361</v>
      </c>
      <c r="B116" s="163" t="s">
        <v>30</v>
      </c>
      <c r="C116" s="163" t="s">
        <v>360</v>
      </c>
      <c r="D116" s="163" t="s">
        <v>865</v>
      </c>
      <c r="E116" s="163" t="s">
        <v>853</v>
      </c>
      <c r="F116" s="163"/>
    </row>
    <row r="117" spans="1:7" ht="15" customHeight="1" x14ac:dyDescent="0.2">
      <c r="A117" s="163" t="s">
        <v>364</v>
      </c>
      <c r="B117" s="163" t="s">
        <v>30</v>
      </c>
      <c r="C117" s="163" t="s">
        <v>363</v>
      </c>
      <c r="D117" s="163" t="s">
        <v>865</v>
      </c>
      <c r="E117" s="163" t="s">
        <v>853</v>
      </c>
      <c r="F117" s="163"/>
    </row>
    <row r="118" spans="1:7" ht="15" customHeight="1" x14ac:dyDescent="0.2">
      <c r="A118" s="163" t="s">
        <v>368</v>
      </c>
      <c r="B118" s="163" t="s">
        <v>30</v>
      </c>
      <c r="C118" s="163" t="s">
        <v>367</v>
      </c>
      <c r="D118" s="163" t="s">
        <v>865</v>
      </c>
      <c r="E118" s="163" t="s">
        <v>853</v>
      </c>
      <c r="F118" s="163"/>
    </row>
    <row r="119" spans="1:7" ht="15" customHeight="1" x14ac:dyDescent="0.2">
      <c r="A119" s="163" t="s">
        <v>372</v>
      </c>
      <c r="B119" s="163" t="s">
        <v>30</v>
      </c>
      <c r="C119" s="163" t="s">
        <v>371</v>
      </c>
      <c r="D119" s="163" t="s">
        <v>865</v>
      </c>
      <c r="E119" s="163" t="s">
        <v>853</v>
      </c>
      <c r="F119" s="163"/>
    </row>
    <row r="120" spans="1:7" ht="15" customHeight="1" x14ac:dyDescent="0.2">
      <c r="A120" s="163" t="s">
        <v>377</v>
      </c>
      <c r="B120" s="163" t="s">
        <v>30</v>
      </c>
      <c r="C120" s="163" t="s">
        <v>376</v>
      </c>
      <c r="D120" s="163" t="s">
        <v>469</v>
      </c>
      <c r="E120" s="163" t="s">
        <v>853</v>
      </c>
      <c r="F120" s="163"/>
    </row>
    <row r="121" spans="1:7" ht="15" customHeight="1" x14ac:dyDescent="0.2">
      <c r="A121" s="163" t="s">
        <v>381</v>
      </c>
      <c r="B121" s="163" t="s">
        <v>30</v>
      </c>
      <c r="C121" s="163" t="s">
        <v>380</v>
      </c>
      <c r="D121" s="163" t="s">
        <v>469</v>
      </c>
      <c r="E121" s="163" t="s">
        <v>853</v>
      </c>
      <c r="F121" s="163"/>
    </row>
    <row r="122" spans="1:7" ht="15" customHeight="1" x14ac:dyDescent="0.2">
      <c r="A122" s="163" t="s">
        <v>384</v>
      </c>
      <c r="B122" s="163" t="s">
        <v>30</v>
      </c>
      <c r="C122" s="163" t="s">
        <v>383</v>
      </c>
      <c r="D122" s="163" t="s">
        <v>469</v>
      </c>
      <c r="E122" s="163" t="s">
        <v>853</v>
      </c>
      <c r="F122" s="163"/>
    </row>
    <row r="123" spans="1:7" ht="15" customHeight="1" x14ac:dyDescent="0.2">
      <c r="A123" s="163" t="s">
        <v>387</v>
      </c>
      <c r="B123" s="163" t="s">
        <v>30</v>
      </c>
      <c r="C123" s="163" t="s">
        <v>386</v>
      </c>
      <c r="D123" s="163" t="s">
        <v>469</v>
      </c>
      <c r="E123" s="163" t="s">
        <v>853</v>
      </c>
      <c r="F123" s="163"/>
    </row>
    <row r="124" spans="1:7" ht="15" customHeight="1" x14ac:dyDescent="0.2">
      <c r="A124" s="163" t="s">
        <v>391</v>
      </c>
      <c r="B124" s="163" t="s">
        <v>30</v>
      </c>
      <c r="C124" s="163" t="s">
        <v>390</v>
      </c>
      <c r="D124" s="163" t="s">
        <v>469</v>
      </c>
      <c r="E124" s="163" t="s">
        <v>853</v>
      </c>
      <c r="F124" s="163"/>
    </row>
    <row r="125" spans="1:7" ht="15" customHeight="1" x14ac:dyDescent="0.2">
      <c r="A125" s="163" t="s">
        <v>394</v>
      </c>
      <c r="B125" s="163" t="s">
        <v>30</v>
      </c>
      <c r="C125" s="163" t="s">
        <v>393</v>
      </c>
      <c r="D125" s="163" t="s">
        <v>469</v>
      </c>
      <c r="E125" s="163" t="s">
        <v>853</v>
      </c>
      <c r="F125" s="163"/>
    </row>
    <row r="126" spans="1:7" ht="15" customHeight="1" x14ac:dyDescent="0.2">
      <c r="A126" s="163" t="s">
        <v>397</v>
      </c>
      <c r="B126" s="163" t="s">
        <v>30</v>
      </c>
      <c r="C126" s="163" t="s">
        <v>396</v>
      </c>
      <c r="D126" s="163" t="s">
        <v>469</v>
      </c>
      <c r="E126" s="163" t="s">
        <v>853</v>
      </c>
      <c r="F126" s="163"/>
    </row>
    <row r="127" spans="1:7" ht="15" customHeight="1" x14ac:dyDescent="0.2">
      <c r="A127" s="163" t="s">
        <v>866</v>
      </c>
      <c r="B127" s="163" t="s">
        <v>867</v>
      </c>
      <c r="C127" s="163" t="s">
        <v>405</v>
      </c>
      <c r="D127" s="163"/>
      <c r="E127" s="163"/>
      <c r="F127" s="163"/>
      <c r="G127" s="161" t="s">
        <v>868</v>
      </c>
    </row>
    <row r="128" spans="1:7" ht="15" customHeight="1" x14ac:dyDescent="0.2">
      <c r="A128" s="163" t="s">
        <v>869</v>
      </c>
      <c r="B128" s="163" t="s">
        <v>867</v>
      </c>
      <c r="C128" s="163" t="s">
        <v>432</v>
      </c>
      <c r="D128" s="163"/>
      <c r="E128" s="163"/>
      <c r="F128" s="163"/>
      <c r="G128" s="161" t="s">
        <v>870</v>
      </c>
    </row>
    <row r="129" spans="1:7" ht="15" customHeight="1" x14ac:dyDescent="0.2">
      <c r="A129" s="163" t="s">
        <v>871</v>
      </c>
      <c r="B129" s="163" t="s">
        <v>867</v>
      </c>
      <c r="C129" s="163" t="s">
        <v>872</v>
      </c>
      <c r="D129" s="163"/>
      <c r="E129" s="163"/>
      <c r="F129" s="163"/>
      <c r="G129" s="161" t="s">
        <v>873</v>
      </c>
    </row>
    <row r="130" spans="1:7" ht="15" customHeight="1" x14ac:dyDescent="0.2">
      <c r="A130" s="163" t="s">
        <v>874</v>
      </c>
      <c r="B130" s="163" t="s">
        <v>867</v>
      </c>
      <c r="C130" s="163" t="s">
        <v>481</v>
      </c>
      <c r="D130" s="163"/>
      <c r="E130" s="163"/>
      <c r="F130" s="163"/>
      <c r="G130" s="161" t="s">
        <v>875</v>
      </c>
    </row>
    <row r="131" spans="1:7" ht="15" customHeight="1" x14ac:dyDescent="0.2">
      <c r="A131" s="163" t="s">
        <v>876</v>
      </c>
      <c r="B131" s="163" t="s">
        <v>867</v>
      </c>
      <c r="C131" s="163" t="s">
        <v>503</v>
      </c>
      <c r="D131" s="163"/>
      <c r="E131" s="163"/>
      <c r="F131" s="163"/>
      <c r="G131" s="161" t="s">
        <v>877</v>
      </c>
    </row>
    <row r="132" spans="1:7" ht="15" customHeight="1" x14ac:dyDescent="0.2">
      <c r="A132" s="163" t="s">
        <v>878</v>
      </c>
      <c r="B132" s="163" t="s">
        <v>867</v>
      </c>
      <c r="C132" s="163" t="s">
        <v>512</v>
      </c>
      <c r="D132" s="163"/>
      <c r="E132" s="163"/>
      <c r="F132" s="163"/>
      <c r="G132" s="161" t="s">
        <v>879</v>
      </c>
    </row>
    <row r="133" spans="1:7" ht="15" customHeight="1" x14ac:dyDescent="0.2">
      <c r="A133" s="163" t="s">
        <v>880</v>
      </c>
      <c r="B133" s="163" t="s">
        <v>402</v>
      </c>
      <c r="C133" s="163" t="s">
        <v>881</v>
      </c>
      <c r="D133" s="163"/>
      <c r="E133" s="163"/>
      <c r="F133" s="163" t="s">
        <v>405</v>
      </c>
      <c r="G133" s="161" t="s">
        <v>882</v>
      </c>
    </row>
    <row r="134" spans="1:7" ht="15" customHeight="1" x14ac:dyDescent="0.2">
      <c r="A134" s="163" t="s">
        <v>883</v>
      </c>
      <c r="B134" s="163" t="s">
        <v>402</v>
      </c>
      <c r="C134" s="163" t="s">
        <v>884</v>
      </c>
      <c r="D134" s="163"/>
      <c r="E134" s="163"/>
      <c r="F134" s="163" t="s">
        <v>405</v>
      </c>
      <c r="G134" s="161" t="s">
        <v>885</v>
      </c>
    </row>
    <row r="135" spans="1:7" ht="15" customHeight="1" x14ac:dyDescent="0.2">
      <c r="A135" s="163" t="s">
        <v>886</v>
      </c>
      <c r="B135" s="163" t="s">
        <v>402</v>
      </c>
      <c r="C135" s="163" t="s">
        <v>887</v>
      </c>
      <c r="D135" s="163"/>
      <c r="E135" s="163"/>
      <c r="F135" s="163" t="s">
        <v>405</v>
      </c>
      <c r="G135" s="161" t="s">
        <v>888</v>
      </c>
    </row>
    <row r="136" spans="1:7" ht="69.75" customHeight="1" x14ac:dyDescent="0.2">
      <c r="A136" s="163" t="s">
        <v>889</v>
      </c>
      <c r="B136" s="163" t="s">
        <v>402</v>
      </c>
      <c r="C136" s="163" t="s">
        <v>890</v>
      </c>
      <c r="D136" s="163"/>
      <c r="E136" s="163"/>
      <c r="F136" s="163" t="s">
        <v>432</v>
      </c>
      <c r="G136" s="161" t="s">
        <v>891</v>
      </c>
    </row>
    <row r="137" spans="1:7" ht="111.75" customHeight="1" x14ac:dyDescent="0.2">
      <c r="A137" s="163" t="s">
        <v>892</v>
      </c>
      <c r="B137" s="163" t="s">
        <v>402</v>
      </c>
      <c r="C137" s="163" t="s">
        <v>893</v>
      </c>
      <c r="D137" s="163"/>
      <c r="E137" s="163"/>
      <c r="F137" s="163" t="s">
        <v>432</v>
      </c>
      <c r="G137" s="161" t="s">
        <v>894</v>
      </c>
    </row>
    <row r="138" spans="1:7" ht="84" customHeight="1" x14ac:dyDescent="0.2">
      <c r="A138" s="163" t="s">
        <v>895</v>
      </c>
      <c r="B138" s="163" t="s">
        <v>402</v>
      </c>
      <c r="C138" s="163" t="s">
        <v>896</v>
      </c>
      <c r="D138" s="163"/>
      <c r="E138" s="163"/>
      <c r="F138" s="163" t="s">
        <v>432</v>
      </c>
      <c r="G138" s="161" t="s">
        <v>897</v>
      </c>
    </row>
    <row r="139" spans="1:7" ht="84" customHeight="1" x14ac:dyDescent="0.2">
      <c r="A139" s="163" t="s">
        <v>898</v>
      </c>
      <c r="B139" s="163" t="s">
        <v>402</v>
      </c>
      <c r="C139" s="163" t="s">
        <v>899</v>
      </c>
      <c r="D139" s="163"/>
      <c r="E139" s="163"/>
      <c r="F139" s="163" t="s">
        <v>872</v>
      </c>
      <c r="G139" s="161" t="s">
        <v>900</v>
      </c>
    </row>
    <row r="140" spans="1:7" ht="69.75" customHeight="1" x14ac:dyDescent="0.2">
      <c r="A140" s="163" t="s">
        <v>901</v>
      </c>
      <c r="B140" s="163" t="s">
        <v>402</v>
      </c>
      <c r="C140" s="163" t="s">
        <v>902</v>
      </c>
      <c r="D140" s="163"/>
      <c r="E140" s="163"/>
      <c r="F140" s="163" t="s">
        <v>872</v>
      </c>
      <c r="G140" s="161" t="s">
        <v>903</v>
      </c>
    </row>
    <row r="141" spans="1:7" ht="97.5" customHeight="1" x14ac:dyDescent="0.2">
      <c r="A141" s="163" t="s">
        <v>904</v>
      </c>
      <c r="B141" s="163" t="s">
        <v>402</v>
      </c>
      <c r="C141" s="163" t="s">
        <v>905</v>
      </c>
      <c r="D141" s="163"/>
      <c r="E141" s="163"/>
      <c r="F141" s="163" t="s">
        <v>872</v>
      </c>
      <c r="G141" s="161" t="s">
        <v>906</v>
      </c>
    </row>
    <row r="142" spans="1:7" ht="42" customHeight="1" x14ac:dyDescent="0.2">
      <c r="A142" s="163" t="s">
        <v>907</v>
      </c>
      <c r="B142" s="163" t="s">
        <v>402</v>
      </c>
      <c r="C142" s="163" t="s">
        <v>908</v>
      </c>
      <c r="D142" s="163"/>
      <c r="E142" s="163"/>
      <c r="F142" s="163" t="s">
        <v>481</v>
      </c>
      <c r="G142" s="161" t="s">
        <v>909</v>
      </c>
    </row>
    <row r="143" spans="1:7" ht="42" customHeight="1" x14ac:dyDescent="0.2">
      <c r="A143" s="163" t="s">
        <v>910</v>
      </c>
      <c r="B143" s="163" t="s">
        <v>402</v>
      </c>
      <c r="C143" s="163" t="s">
        <v>911</v>
      </c>
      <c r="D143" s="163"/>
      <c r="E143" s="163"/>
      <c r="F143" s="163" t="s">
        <v>481</v>
      </c>
      <c r="G143" s="161" t="s">
        <v>912</v>
      </c>
    </row>
    <row r="144" spans="1:7" ht="42" customHeight="1" x14ac:dyDescent="0.2">
      <c r="A144" s="163" t="s">
        <v>913</v>
      </c>
      <c r="B144" s="163" t="s">
        <v>402</v>
      </c>
      <c r="C144" s="163" t="s">
        <v>914</v>
      </c>
      <c r="D144" s="163"/>
      <c r="E144" s="163"/>
      <c r="F144" s="163" t="s">
        <v>481</v>
      </c>
      <c r="G144" s="161" t="s">
        <v>915</v>
      </c>
    </row>
    <row r="145" spans="1:7" ht="42" customHeight="1" x14ac:dyDescent="0.2">
      <c r="A145" s="163" t="s">
        <v>916</v>
      </c>
      <c r="B145" s="163" t="s">
        <v>402</v>
      </c>
      <c r="C145" s="163" t="s">
        <v>917</v>
      </c>
      <c r="D145" s="163"/>
      <c r="E145" s="163"/>
      <c r="F145" s="163" t="s">
        <v>481</v>
      </c>
      <c r="G145" s="161" t="s">
        <v>918</v>
      </c>
    </row>
    <row r="146" spans="1:7" ht="42" customHeight="1" x14ac:dyDescent="0.2">
      <c r="A146" s="163" t="s">
        <v>919</v>
      </c>
      <c r="B146" s="163" t="s">
        <v>402</v>
      </c>
      <c r="C146" s="163" t="s">
        <v>920</v>
      </c>
      <c r="D146" s="163"/>
      <c r="E146" s="163"/>
      <c r="F146" s="163" t="s">
        <v>481</v>
      </c>
      <c r="G146" s="161" t="s">
        <v>921</v>
      </c>
    </row>
    <row r="147" spans="1:7" ht="42" customHeight="1" x14ac:dyDescent="0.2">
      <c r="A147" s="163" t="s">
        <v>922</v>
      </c>
      <c r="B147" s="163" t="s">
        <v>402</v>
      </c>
      <c r="C147" s="163" t="s">
        <v>923</v>
      </c>
      <c r="D147" s="163"/>
      <c r="E147" s="163"/>
      <c r="F147" s="163" t="s">
        <v>481</v>
      </c>
      <c r="G147" s="161" t="s">
        <v>924</v>
      </c>
    </row>
    <row r="148" spans="1:7" ht="69.75" customHeight="1" x14ac:dyDescent="0.2">
      <c r="A148" s="163" t="s">
        <v>925</v>
      </c>
      <c r="B148" s="163" t="s">
        <v>402</v>
      </c>
      <c r="C148" s="163" t="s">
        <v>926</v>
      </c>
      <c r="D148" s="163"/>
      <c r="E148" s="163"/>
      <c r="F148" s="163" t="s">
        <v>503</v>
      </c>
      <c r="G148" s="161" t="s">
        <v>927</v>
      </c>
    </row>
    <row r="149" spans="1:7" ht="27.75" customHeight="1" x14ac:dyDescent="0.2">
      <c r="A149" s="163" t="s">
        <v>928</v>
      </c>
      <c r="B149" s="163" t="s">
        <v>402</v>
      </c>
      <c r="C149" s="163" t="s">
        <v>929</v>
      </c>
      <c r="D149" s="163"/>
      <c r="E149" s="163"/>
      <c r="F149" s="163" t="s">
        <v>503</v>
      </c>
      <c r="G149" s="161" t="s">
        <v>930</v>
      </c>
    </row>
    <row r="150" spans="1:7" ht="27.75" customHeight="1" x14ac:dyDescent="0.2">
      <c r="A150" s="163" t="s">
        <v>931</v>
      </c>
      <c r="B150" s="163" t="s">
        <v>402</v>
      </c>
      <c r="C150" s="163" t="s">
        <v>932</v>
      </c>
      <c r="D150" s="163"/>
      <c r="E150" s="163"/>
      <c r="F150" s="163" t="s">
        <v>512</v>
      </c>
      <c r="G150" s="161" t="s">
        <v>933</v>
      </c>
    </row>
    <row r="151" spans="1:7" ht="27.75" customHeight="1" x14ac:dyDescent="0.2">
      <c r="A151" s="163" t="s">
        <v>934</v>
      </c>
      <c r="B151" s="163" t="s">
        <v>402</v>
      </c>
      <c r="C151" s="163" t="s">
        <v>935</v>
      </c>
      <c r="D151" s="163"/>
      <c r="E151" s="163"/>
      <c r="F151" s="163" t="s">
        <v>512</v>
      </c>
      <c r="G151" s="161" t="s">
        <v>936</v>
      </c>
    </row>
    <row r="152" spans="1:7" ht="27.75" customHeight="1" x14ac:dyDescent="0.2">
      <c r="A152" s="163" t="s">
        <v>937</v>
      </c>
      <c r="B152" s="163" t="s">
        <v>402</v>
      </c>
      <c r="C152" s="163" t="s">
        <v>938</v>
      </c>
      <c r="D152" s="163"/>
      <c r="E152" s="163"/>
      <c r="F152" s="163" t="s">
        <v>512</v>
      </c>
      <c r="G152" s="161" t="s">
        <v>939</v>
      </c>
    </row>
    <row r="153" spans="1:7" ht="27.75" customHeight="1" x14ac:dyDescent="0.2">
      <c r="A153" s="163"/>
      <c r="B153" s="163"/>
      <c r="C153" s="163"/>
      <c r="D153" s="163"/>
      <c r="E153" s="163"/>
      <c r="F153" s="163"/>
      <c r="G153" s="161"/>
    </row>
    <row r="154" spans="1:7" ht="42" customHeight="1" x14ac:dyDescent="0.2">
      <c r="A154" s="164" t="s">
        <v>940</v>
      </c>
      <c r="B154" s="163"/>
      <c r="C154" s="163"/>
      <c r="D154" s="163"/>
      <c r="E154" s="163"/>
      <c r="F154" s="163"/>
      <c r="G154" s="161"/>
    </row>
    <row r="155" spans="1:7" ht="27.75" customHeight="1" x14ac:dyDescent="0.2">
      <c r="A155" s="163"/>
      <c r="B155" s="163"/>
      <c r="C155" s="163"/>
      <c r="D155" s="163"/>
      <c r="E155" s="163"/>
      <c r="F155" s="163"/>
      <c r="G155" s="161"/>
    </row>
    <row r="156" spans="1:7" ht="27.75" customHeight="1" x14ac:dyDescent="0.2">
      <c r="A156" s="163"/>
      <c r="B156" s="163"/>
      <c r="C156" s="163"/>
      <c r="D156" s="163"/>
      <c r="E156" s="163"/>
      <c r="F156" s="163"/>
      <c r="G156" s="161"/>
    </row>
    <row r="157" spans="1:7" ht="27.75" customHeight="1" x14ac:dyDescent="0.2">
      <c r="A157" s="163"/>
      <c r="B157" s="163"/>
      <c r="C157" s="163"/>
      <c r="D157" s="163"/>
      <c r="E157" s="163"/>
      <c r="F157" s="163"/>
      <c r="G157" s="161"/>
    </row>
    <row r="158" spans="1:7" ht="27.75" customHeight="1" x14ac:dyDescent="0.2">
      <c r="A158" s="163"/>
      <c r="B158" s="163"/>
      <c r="C158" s="163"/>
      <c r="D158" s="163"/>
      <c r="E158" s="163"/>
      <c r="F158" s="163"/>
      <c r="G158" s="161"/>
    </row>
    <row r="159" spans="1:7" ht="55.5" customHeight="1" x14ac:dyDescent="0.2">
      <c r="A159" s="163"/>
      <c r="B159" s="163"/>
      <c r="C159" s="163"/>
      <c r="D159" s="163"/>
      <c r="E159" s="163"/>
      <c r="F159" s="163"/>
      <c r="G159" s="161"/>
    </row>
    <row r="160" spans="1:7" ht="27.75" customHeight="1" x14ac:dyDescent="0.2">
      <c r="A160" s="163"/>
      <c r="B160" s="163"/>
      <c r="C160" s="163"/>
      <c r="D160" s="163"/>
      <c r="E160" s="163"/>
      <c r="F160" s="163"/>
      <c r="G160" s="161"/>
    </row>
    <row r="161" spans="1:7" ht="42" customHeight="1" x14ac:dyDescent="0.2">
      <c r="A161" s="163"/>
      <c r="B161" s="163"/>
      <c r="C161" s="163"/>
      <c r="D161" s="163"/>
      <c r="E161" s="163"/>
      <c r="F161" s="163"/>
      <c r="G161" s="161"/>
    </row>
    <row r="163" spans="1:7" ht="15" customHeight="1" x14ac:dyDescent="0.2">
      <c r="A163" s="164"/>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93" t="s">
        <v>941</v>
      </c>
      <c r="B1" s="93" t="s">
        <v>942</v>
      </c>
      <c r="C1" s="93" t="s">
        <v>943</v>
      </c>
      <c r="D1" s="93" t="s">
        <v>944</v>
      </c>
      <c r="E1" s="93" t="s">
        <v>945</v>
      </c>
      <c r="F1" s="93" t="s">
        <v>946</v>
      </c>
    </row>
    <row r="2" spans="1:6" ht="15" customHeight="1" x14ac:dyDescent="0.2">
      <c r="A2" s="163" t="s">
        <v>854</v>
      </c>
      <c r="B2" s="99" t="str">
        <f>IF(A2="","",IFERROR(INDEX('Dashboard Items'!$C$2:$C$495,MATCH(A2,'Dashboard Items'!$A$2:$A$495,0)),"ID not found"))</f>
        <v>Administrative Leadership &amp; Governance</v>
      </c>
      <c r="C2" s="99" t="str">
        <f>IF(A2="","",IFERROR(INDEX('Dashboard Items'!$E$2:$E$495,MATCH(A2,'Dashboard Items'!$A$2:$A$495,0)),"ID not found"))</f>
        <v>Leadership and Governance</v>
      </c>
      <c r="D2" s="163" t="s">
        <v>880</v>
      </c>
      <c r="E2" s="99" t="str">
        <f>IF(D2="","",IFERROR(INDEX('Dashboard Items'!$C$2:$C$495,MATCH(D2,'Dashboard Items'!$A$2:$A$495,0)),"ID not found"))</f>
        <v>1.1 Financial Sustainability and Innovation</v>
      </c>
      <c r="F2" s="99" t="str">
        <f>IF(D2="","",IFERROR(INDEX('Dashboard Items'!$F$2:$F$495,MATCH(D2,'Dashboard Items'!$A$2:$A$495,0)),"ID not found"))</f>
        <v>Organizational Stewardship</v>
      </c>
    </row>
    <row r="3" spans="1:6" ht="15" customHeight="1" x14ac:dyDescent="0.2">
      <c r="A3" s="163" t="s">
        <v>854</v>
      </c>
      <c r="B3" s="99" t="str">
        <f>IF(A3="","",IFERROR(INDEX('Dashboard Items'!$C$2:$C$495,MATCH(A3,'Dashboard Items'!$A$2:$A$495,0)),"ID not found"))</f>
        <v>Administrative Leadership &amp; Governance</v>
      </c>
      <c r="C3" s="99" t="str">
        <f>IF(A3="","",IFERROR(INDEX('Dashboard Items'!$E$2:$E$495,MATCH(A3,'Dashboard Items'!$A$2:$A$495,0)),"ID not found"))</f>
        <v>Leadership and Governance</v>
      </c>
      <c r="D3" s="163" t="s">
        <v>883</v>
      </c>
      <c r="E3" s="99" t="str">
        <f>IF(D3="","",IFERROR(INDEX('Dashboard Items'!$C$2:$C$495,MATCH(D3,'Dashboard Items'!$A$2:$A$495,0)),"ID not found"))</f>
        <v>1.2 Community Partnerships and Inclusion</v>
      </c>
      <c r="F3" s="99" t="str">
        <f>IF(D3="","",IFERROR(INDEX('Dashboard Items'!$F$2:$F$495,MATCH(D3,'Dashboard Items'!$A$2:$A$495,0)),"ID not found"))</f>
        <v>Organizational Stewardship</v>
      </c>
    </row>
    <row r="4" spans="1:6" ht="15" customHeight="1" x14ac:dyDescent="0.2">
      <c r="A4" s="163" t="s">
        <v>854</v>
      </c>
      <c r="B4" s="99" t="str">
        <f>IF(A4="","",IFERROR(INDEX('Dashboard Items'!$C$2:$C$495,MATCH(A4,'Dashboard Items'!$A$2:$A$495,0)),"ID not found"))</f>
        <v>Administrative Leadership &amp; Governance</v>
      </c>
      <c r="C4" s="99" t="str">
        <f>IF(A4="","",IFERROR(INDEX('Dashboard Items'!$E$2:$E$495,MATCH(A4,'Dashboard Items'!$A$2:$A$495,0)),"ID not found"))</f>
        <v>Leadership and Governance</v>
      </c>
      <c r="D4" s="163" t="s">
        <v>934</v>
      </c>
      <c r="E4" s="99" t="str">
        <f>IF(D4="","",IFERROR(INDEX('Dashboard Items'!$C$2:$C$495,MATCH(D4,'Dashboard Items'!$A$2:$A$495,0)),"ID not found"))</f>
        <v>6.2 Comprehensive Career Progression Strategy</v>
      </c>
      <c r="F4" s="99" t="str">
        <f>IF(D4="","",IFERROR(INDEX('Dashboard Items'!$F$2:$F$495,MATCH(D4,'Dashboard Items'!$A$2:$A$495,0)),"ID not found"))</f>
        <v>Strategic Workforce Development</v>
      </c>
    </row>
    <row r="5" spans="1:6" ht="15" customHeight="1" x14ac:dyDescent="0.2">
      <c r="A5" s="163" t="s">
        <v>854</v>
      </c>
      <c r="B5" s="99" t="str">
        <f>IF(A5="","",IFERROR(INDEX('Dashboard Items'!$C$2:$C$495,MATCH(A5,'Dashboard Items'!$A$2:$A$495,0)),"ID not found"))</f>
        <v>Administrative Leadership &amp; Governance</v>
      </c>
      <c r="C5" s="99" t="str">
        <f>IF(A5="","",IFERROR(INDEX('Dashboard Items'!$E$2:$E$495,MATCH(A5,'Dashboard Items'!$A$2:$A$495,0)),"ID not found"))</f>
        <v>Leadership and Governance</v>
      </c>
      <c r="D5" s="163" t="s">
        <v>937</v>
      </c>
      <c r="E5" s="99" t="str">
        <f>IF(D5="","",IFERROR(INDEX('Dashboard Items'!$C$2:$C$495,MATCH(D5,'Dashboard Items'!$A$2:$A$495,0)),"ID not found"))</f>
        <v>6.3 Workforce Preparedness and Optimization</v>
      </c>
      <c r="F5" s="99" t="str">
        <f>IF(D5="","",IFERROR(INDEX('Dashboard Items'!$F$2:$F$495,MATCH(D5,'Dashboard Items'!$A$2:$A$495,0)),"ID not found"))</f>
        <v>Strategic Workforce Development</v>
      </c>
    </row>
    <row r="6" spans="1:6" ht="15" customHeight="1" x14ac:dyDescent="0.2">
      <c r="A6" s="163" t="s">
        <v>566</v>
      </c>
      <c r="B6" s="99" t="str">
        <f>IF(A6="","",IFERROR(INDEX('Dashboard Items'!$C$2:$C$495,MATCH(A6,'Dashboard Items'!$A$2:$A$495,0)),"ID not found"))</f>
        <v>City Clerk &amp; Records Management</v>
      </c>
      <c r="C6" s="99" t="str">
        <f>IF(A6="","",IFERROR(INDEX('Dashboard Items'!$E$2:$E$495,MATCH(A6,'Dashboard Items'!$A$2:$A$495,0)),"ID not found"))</f>
        <v>Leadership and Governance</v>
      </c>
      <c r="D6" s="163" t="s">
        <v>892</v>
      </c>
      <c r="E6" s="99" t="str">
        <f>IF(D6="","",IFERROR(INDEX('Dashboard Items'!$C$2:$C$495,MATCH(D6,'Dashboard Items'!$A$2:$A$495,0)),"ID not found"))</f>
        <v>2.2 Economic Growth and Entrepreneurship</v>
      </c>
      <c r="F6" s="99" t="str">
        <f>IF(D6="","",IFERROR(INDEX('Dashboard Items'!$F$2:$F$495,MATCH(D6,'Dashboard Items'!$A$2:$A$495,0)),"ID not found"))</f>
        <v>Innovative Housing and Economic Development</v>
      </c>
    </row>
    <row r="7" spans="1:6" ht="15" customHeight="1" x14ac:dyDescent="0.2">
      <c r="A7" s="163" t="s">
        <v>566</v>
      </c>
      <c r="B7" s="99" t="str">
        <f>IF(A7="","",IFERROR(INDEX('Dashboard Items'!$C$2:$C$495,MATCH(A7,'Dashboard Items'!$A$2:$A$495,0)),"ID not found"))</f>
        <v>City Clerk &amp; Records Management</v>
      </c>
      <c r="C7" s="99" t="str">
        <f>IF(A7="","",IFERROR(INDEX('Dashboard Items'!$E$2:$E$495,MATCH(A7,'Dashboard Items'!$A$2:$A$495,0)),"ID not found"))</f>
        <v>Leadership and Governance</v>
      </c>
      <c r="D7" s="163" t="s">
        <v>925</v>
      </c>
      <c r="E7" s="99" t="str">
        <f>IF(D7="","",IFERROR(INDEX('Dashboard Items'!$C$2:$C$495,MATCH(D7,'Dashboard Items'!$A$2:$A$495,0)),"ID not found"))</f>
        <v>5.1 Civic and Engaged Communication</v>
      </c>
      <c r="F7" s="99" t="str">
        <f>IF(D7="","",IFERROR(INDEX('Dashboard Items'!$F$2:$F$495,MATCH(D7,'Dashboard Items'!$A$2:$A$495,0)),"ID not found"))</f>
        <v>Engaged and Informed Community</v>
      </c>
    </row>
    <row r="8" spans="1:6" ht="15" customHeight="1" x14ac:dyDescent="0.2">
      <c r="A8" s="163" t="s">
        <v>566</v>
      </c>
      <c r="B8" s="99" t="str">
        <f>IF(A8="","",IFERROR(INDEX('Dashboard Items'!$C$2:$C$495,MATCH(A8,'Dashboard Items'!$A$2:$A$495,0)),"ID not found"))</f>
        <v>City Clerk &amp; Records Management</v>
      </c>
      <c r="C8" s="99" t="str">
        <f>IF(A8="","",IFERROR(INDEX('Dashboard Items'!$E$2:$E$495,MATCH(A8,'Dashboard Items'!$A$2:$A$495,0)),"ID not found"))</f>
        <v>Leadership and Governance</v>
      </c>
      <c r="D8" s="163" t="s">
        <v>928</v>
      </c>
      <c r="E8" s="99" t="str">
        <f>IF(D8="","",IFERROR(INDEX('Dashboard Items'!$C$2:$C$495,MATCH(D8,'Dashboard Items'!$A$2:$A$495,0)),"ID not found"))</f>
        <v>5.2 Open and Accessible Information Communication</v>
      </c>
      <c r="F8" s="99" t="str">
        <f>IF(D8="","",IFERROR(INDEX('Dashboard Items'!$F$2:$F$495,MATCH(D8,'Dashboard Items'!$A$2:$A$495,0)),"ID not found"))</f>
        <v>Engaged and Informed Community</v>
      </c>
    </row>
    <row r="9" spans="1:6" ht="15" customHeight="1" x14ac:dyDescent="0.2">
      <c r="A9" s="163" t="s">
        <v>661</v>
      </c>
      <c r="B9" s="99" t="str">
        <f>IF(A9="","",IFERROR(INDEX('Dashboard Items'!$C$2:$C$495,MATCH(A9,'Dashboard Items'!$A$2:$A$495,0)),"ID not found"))</f>
        <v>Public Information &amp; Community Engagement</v>
      </c>
      <c r="C9" s="99" t="str">
        <f>IF(A9="","",IFERROR(INDEX('Dashboard Items'!$E$2:$E$495,MATCH(A9,'Dashboard Items'!$A$2:$A$495,0)),"ID not found"))</f>
        <v>Leadership and Governance</v>
      </c>
      <c r="D9" s="163" t="s">
        <v>883</v>
      </c>
      <c r="E9" s="99" t="str">
        <f>IF(D9="","",IFERROR(INDEX('Dashboard Items'!$C$2:$C$495,MATCH(D9,'Dashboard Items'!$A$2:$A$495,0)),"ID not found"))</f>
        <v>1.2 Community Partnerships and Inclusion</v>
      </c>
      <c r="F9" s="99" t="str">
        <f>IF(D9="","",IFERROR(INDEX('Dashboard Items'!$F$2:$F$495,MATCH(D9,'Dashboard Items'!$A$2:$A$495,0)),"ID not found"))</f>
        <v>Organizational Stewardship</v>
      </c>
    </row>
    <row r="10" spans="1:6" ht="15" customHeight="1" x14ac:dyDescent="0.2">
      <c r="A10" s="163" t="s">
        <v>661</v>
      </c>
      <c r="B10" s="99" t="str">
        <f>IF(A10="","",IFERROR(INDEX('Dashboard Items'!$C$2:$C$495,MATCH(A10,'Dashboard Items'!$A$2:$A$495,0)),"ID not found"))</f>
        <v>Public Information &amp; Community Engagement</v>
      </c>
      <c r="C10" s="99" t="str">
        <f>IF(A10="","",IFERROR(INDEX('Dashboard Items'!$E$2:$E$495,MATCH(A10,'Dashboard Items'!$A$2:$A$495,0)),"ID not found"))</f>
        <v>Leadership and Governance</v>
      </c>
      <c r="D10" s="163" t="s">
        <v>925</v>
      </c>
      <c r="E10" s="99" t="str">
        <f>IF(D10="","",IFERROR(INDEX('Dashboard Items'!$C$2:$C$495,MATCH(D10,'Dashboard Items'!$A$2:$A$495,0)),"ID not found"))</f>
        <v>5.1 Civic and Engaged Communication</v>
      </c>
      <c r="F10" s="99" t="str">
        <f>IF(D10="","",IFERROR(INDEX('Dashboard Items'!$F$2:$F$495,MATCH(D10,'Dashboard Items'!$A$2:$A$495,0)),"ID not found"))</f>
        <v>Engaged and Informed Community</v>
      </c>
    </row>
    <row r="11" spans="1:6" ht="15" customHeight="1" x14ac:dyDescent="0.2">
      <c r="A11" s="163" t="s">
        <v>661</v>
      </c>
      <c r="B11" s="99" t="str">
        <f>IF(A11="","",IFERROR(INDEX('Dashboard Items'!$C$2:$C$495,MATCH(A11,'Dashboard Items'!$A$2:$A$495,0)),"ID not found"))</f>
        <v>Public Information &amp; Community Engagement</v>
      </c>
      <c r="C11" s="99" t="str">
        <f>IF(A11="","",IFERROR(INDEX('Dashboard Items'!$E$2:$E$495,MATCH(A11,'Dashboard Items'!$A$2:$A$495,0)),"ID not found"))</f>
        <v>Leadership and Governance</v>
      </c>
      <c r="D11" s="163" t="s">
        <v>928</v>
      </c>
      <c r="E11" s="99" t="str">
        <f>IF(D11="","",IFERROR(INDEX('Dashboard Items'!$C$2:$C$495,MATCH(D11,'Dashboard Items'!$A$2:$A$495,0)),"ID not found"))</f>
        <v>5.2 Open and Accessible Information Communication</v>
      </c>
      <c r="F11" s="99" t="str">
        <f>IF(D11="","",IFERROR(INDEX('Dashboard Items'!$F$2:$F$495,MATCH(D11,'Dashboard Items'!$A$2:$A$495,0)),"ID not found"))</f>
        <v>Engaged and Informed Community</v>
      </c>
    </row>
    <row r="12" spans="1:6" ht="15" customHeight="1" x14ac:dyDescent="0.2">
      <c r="A12" s="163" t="s">
        <v>857</v>
      </c>
      <c r="B12" s="99" t="str">
        <f>IF(A12="","",IFERROR(INDEX('Dashboard Items'!$C$2:$C$495,MATCH(A12,'Dashboard Items'!$A$2:$A$495,0)),"ID not found"))</f>
        <v>Financial Management &amp; Accountability</v>
      </c>
      <c r="C12" s="99" t="str">
        <f>IF(A12="","",IFERROR(INDEX('Dashboard Items'!$E$2:$E$495,MATCH(A12,'Dashboard Items'!$A$2:$A$495,0)),"ID not found"))</f>
        <v>Financial and Internal Services</v>
      </c>
      <c r="D12" s="163" t="s">
        <v>880</v>
      </c>
      <c r="E12" s="99" t="str">
        <f>IF(D12="","",IFERROR(INDEX('Dashboard Items'!$C$2:$C$495,MATCH(D12,'Dashboard Items'!$A$2:$A$495,0)),"ID not found"))</f>
        <v>1.1 Financial Sustainability and Innovation</v>
      </c>
      <c r="F12" s="99" t="str">
        <f>IF(D12="","",IFERROR(INDEX('Dashboard Items'!$F$2:$F$495,MATCH(D12,'Dashboard Items'!$A$2:$A$495,0)),"ID not found"))</f>
        <v>Organizational Stewardship</v>
      </c>
    </row>
    <row r="13" spans="1:6" ht="15" customHeight="1" x14ac:dyDescent="0.2">
      <c r="A13" s="163" t="s">
        <v>857</v>
      </c>
      <c r="B13" s="99" t="str">
        <f>IF(A13="","",IFERROR(INDEX('Dashboard Items'!$C$2:$C$495,MATCH(A13,'Dashboard Items'!$A$2:$A$495,0)),"ID not found"))</f>
        <v>Financial Management &amp; Accountability</v>
      </c>
      <c r="C13" s="99" t="str">
        <f>IF(A13="","",IFERROR(INDEX('Dashboard Items'!$E$2:$E$495,MATCH(A13,'Dashboard Items'!$A$2:$A$495,0)),"ID not found"))</f>
        <v>Financial and Internal Services</v>
      </c>
      <c r="D13" s="163" t="s">
        <v>928</v>
      </c>
      <c r="E13" s="99" t="str">
        <f>IF(D13="","",IFERROR(INDEX('Dashboard Items'!$C$2:$C$495,MATCH(D13,'Dashboard Items'!$A$2:$A$495,0)),"ID not found"))</f>
        <v>5.2 Open and Accessible Information Communication</v>
      </c>
      <c r="F13" s="99" t="str">
        <f>IF(D13="","",IFERROR(INDEX('Dashboard Items'!$F$2:$F$495,MATCH(D13,'Dashboard Items'!$A$2:$A$495,0)),"ID not found"))</f>
        <v>Engaged and Informed Community</v>
      </c>
    </row>
    <row r="14" spans="1:6" ht="15" customHeight="1" x14ac:dyDescent="0.2">
      <c r="A14" s="163" t="s">
        <v>857</v>
      </c>
      <c r="B14" s="99" t="str">
        <f>IF(A14="","",IFERROR(INDEX('Dashboard Items'!$C$2:$C$495,MATCH(A14,'Dashboard Items'!$A$2:$A$495,0)),"ID not found"))</f>
        <v>Financial Management &amp; Accountability</v>
      </c>
      <c r="C14" s="99" t="str">
        <f>IF(A14="","",IFERROR(INDEX('Dashboard Items'!$E$2:$E$495,MATCH(A14,'Dashboard Items'!$A$2:$A$495,0)),"ID not found"))</f>
        <v>Financial and Internal Services</v>
      </c>
      <c r="D14" s="163" t="s">
        <v>937</v>
      </c>
      <c r="E14" s="99" t="str">
        <f>IF(D14="","",IFERROR(INDEX('Dashboard Items'!$C$2:$C$495,MATCH(D14,'Dashboard Items'!$A$2:$A$495,0)),"ID not found"))</f>
        <v>6.3 Workforce Preparedness and Optimization</v>
      </c>
      <c r="F14" s="99" t="str">
        <f>IF(D14="","",IFERROR(INDEX('Dashboard Items'!$F$2:$F$495,MATCH(D14,'Dashboard Items'!$A$2:$A$495,0)),"ID not found"))</f>
        <v>Strategic Workforce Development</v>
      </c>
    </row>
    <row r="15" spans="1:6" ht="15" customHeight="1" x14ac:dyDescent="0.2">
      <c r="A15" s="163" t="s">
        <v>586</v>
      </c>
      <c r="B15" s="99" t="str">
        <f>IF(A15="","",IFERROR(INDEX('Dashboard Items'!$C$2:$C$495,MATCH(A15,'Dashboard Items'!$A$2:$A$495,0)),"ID not found"))</f>
        <v>Human Resources &amp; Workforce Development</v>
      </c>
      <c r="C15" s="99" t="str">
        <f>IF(A15="","",IFERROR(INDEX('Dashboard Items'!$E$2:$E$495,MATCH(A15,'Dashboard Items'!$A$2:$A$495,0)),"ID not found"))</f>
        <v>Financial and Internal Services</v>
      </c>
      <c r="D15" s="163" t="s">
        <v>931</v>
      </c>
      <c r="E15" s="99" t="str">
        <f>IF(D15="","",IFERROR(INDEX('Dashboard Items'!$C$2:$C$495,MATCH(D15,'Dashboard Items'!$A$2:$A$495,0)),"ID not found"))</f>
        <v>6.1 Employee Growth and Retention</v>
      </c>
      <c r="F15" s="99" t="str">
        <f>IF(D15="","",IFERROR(INDEX('Dashboard Items'!$F$2:$F$495,MATCH(D15,'Dashboard Items'!$A$2:$A$495,0)),"ID not found"))</f>
        <v>Strategic Workforce Development</v>
      </c>
    </row>
    <row r="16" spans="1:6" ht="15" customHeight="1" x14ac:dyDescent="0.2">
      <c r="A16" s="163" t="s">
        <v>586</v>
      </c>
      <c r="B16" s="99" t="str">
        <f>IF(A16="","",IFERROR(INDEX('Dashboard Items'!$C$2:$C$495,MATCH(A16,'Dashboard Items'!$A$2:$A$495,0)),"ID not found"))</f>
        <v>Human Resources &amp; Workforce Development</v>
      </c>
      <c r="C16" s="99" t="str">
        <f>IF(A16="","",IFERROR(INDEX('Dashboard Items'!$E$2:$E$495,MATCH(A16,'Dashboard Items'!$A$2:$A$495,0)),"ID not found"))</f>
        <v>Financial and Internal Services</v>
      </c>
      <c r="D16" s="163" t="s">
        <v>934</v>
      </c>
      <c r="E16" s="99" t="str">
        <f>IF(D16="","",IFERROR(INDEX('Dashboard Items'!$C$2:$C$495,MATCH(D16,'Dashboard Items'!$A$2:$A$495,0)),"ID not found"))</f>
        <v>6.2 Comprehensive Career Progression Strategy</v>
      </c>
      <c r="F16" s="99" t="str">
        <f>IF(D16="","",IFERROR(INDEX('Dashboard Items'!$F$2:$F$495,MATCH(D16,'Dashboard Items'!$A$2:$A$495,0)),"ID not found"))</f>
        <v>Strategic Workforce Development</v>
      </c>
    </row>
    <row r="17" spans="1:6" ht="15" customHeight="1" x14ac:dyDescent="0.2">
      <c r="A17" s="163" t="s">
        <v>586</v>
      </c>
      <c r="B17" s="99" t="str">
        <f>IF(A17="","",IFERROR(INDEX('Dashboard Items'!$C$2:$C$495,MATCH(A17,'Dashboard Items'!$A$2:$A$495,0)),"ID not found"))</f>
        <v>Human Resources &amp; Workforce Development</v>
      </c>
      <c r="C17" s="99" t="str">
        <f>IF(A17="","",IFERROR(INDEX('Dashboard Items'!$E$2:$E$495,MATCH(A17,'Dashboard Items'!$A$2:$A$495,0)),"ID not found"))</f>
        <v>Financial and Internal Services</v>
      </c>
      <c r="D17" s="163" t="s">
        <v>937</v>
      </c>
      <c r="E17" s="99" t="str">
        <f>IF(D17="","",IFERROR(INDEX('Dashboard Items'!$C$2:$C$495,MATCH(D17,'Dashboard Items'!$A$2:$A$495,0)),"ID not found"))</f>
        <v>6.3 Workforce Preparedness and Optimization</v>
      </c>
      <c r="F17" s="99" t="str">
        <f>IF(D17="","",IFERROR(INDEX('Dashboard Items'!$F$2:$F$495,MATCH(D17,'Dashboard Items'!$A$2:$A$495,0)),"ID not found"))</f>
        <v>Strategic Workforce Development</v>
      </c>
    </row>
    <row r="18" spans="1:6" ht="15" customHeight="1" x14ac:dyDescent="0.2">
      <c r="A18" s="163" t="s">
        <v>858</v>
      </c>
      <c r="B18" s="99" t="str">
        <f>IF(A18="","",IFERROR(INDEX('Dashboard Items'!$C$2:$C$495,MATCH(A18,'Dashboard Items'!$A$2:$A$495,0)),"ID not found"))</f>
        <v>Legal Services</v>
      </c>
      <c r="C18" s="99" t="str">
        <f>IF(A18="","",IFERROR(INDEX('Dashboard Items'!$E$2:$E$495,MATCH(A18,'Dashboard Items'!$A$2:$A$495,0)),"ID not found"))</f>
        <v>Financial and Internal Services</v>
      </c>
      <c r="D18" s="163" t="s">
        <v>880</v>
      </c>
      <c r="E18" s="99" t="str">
        <f>IF(D18="","",IFERROR(INDEX('Dashboard Items'!$C$2:$C$495,MATCH(D18,'Dashboard Items'!$A$2:$A$495,0)),"ID not found"))</f>
        <v>1.1 Financial Sustainability and Innovation</v>
      </c>
      <c r="F18" s="99" t="str">
        <f>IF(D18="","",IFERROR(INDEX('Dashboard Items'!$F$2:$F$495,MATCH(D18,'Dashboard Items'!$A$2:$A$495,0)),"ID not found"))</f>
        <v>Organizational Stewardship</v>
      </c>
    </row>
    <row r="19" spans="1:6" ht="15" customHeight="1" x14ac:dyDescent="0.2">
      <c r="A19" s="163" t="s">
        <v>858</v>
      </c>
      <c r="B19" s="99" t="str">
        <f>IF(A19="","",IFERROR(INDEX('Dashboard Items'!$C$2:$C$495,MATCH(A19,'Dashboard Items'!$A$2:$A$495,0)),"ID not found"))</f>
        <v>Legal Services</v>
      </c>
      <c r="C19" s="99" t="str">
        <f>IF(A19="","",IFERROR(INDEX('Dashboard Items'!$E$2:$E$495,MATCH(A19,'Dashboard Items'!$A$2:$A$495,0)),"ID not found"))</f>
        <v>Financial and Internal Services</v>
      </c>
      <c r="D19" s="163" t="s">
        <v>898</v>
      </c>
      <c r="E19" s="99" t="str">
        <f>IF(D19="","",IFERROR(INDEX('Dashboard Items'!$C$2:$C$495,MATCH(D19,'Dashboard Items'!$A$2:$A$495,0)),"ID not found"))</f>
        <v>3.1 Public Safety and Emergency Services</v>
      </c>
      <c r="F19" s="99" t="str">
        <f>IF(D19="","",IFERROR(INDEX('Dashboard Items'!$F$2:$F$495,MATCH(D19,'Dashboard Items'!$A$2:$A$495,0)),"ID not found"))</f>
        <v>Safety &amp; Quality of Life</v>
      </c>
    </row>
    <row r="20" spans="1:6" ht="15" customHeight="1" x14ac:dyDescent="0.2">
      <c r="A20" s="163" t="s">
        <v>858</v>
      </c>
      <c r="B20" s="99" t="str">
        <f>IF(A20="","",IFERROR(INDEX('Dashboard Items'!$C$2:$C$495,MATCH(A20,'Dashboard Items'!$A$2:$A$495,0)),"ID not found"))</f>
        <v>Legal Services</v>
      </c>
      <c r="C20" s="99" t="str">
        <f>IF(A20="","",IFERROR(INDEX('Dashboard Items'!$E$2:$E$495,MATCH(A20,'Dashboard Items'!$A$2:$A$495,0)),"ID not found"))</f>
        <v>Financial and Internal Services</v>
      </c>
      <c r="D20" s="163" t="s">
        <v>937</v>
      </c>
      <c r="E20" s="99" t="str">
        <f>IF(D20="","",IFERROR(INDEX('Dashboard Items'!$C$2:$C$495,MATCH(D20,'Dashboard Items'!$A$2:$A$495,0)),"ID not found"))</f>
        <v>6.3 Workforce Preparedness and Optimization</v>
      </c>
      <c r="F20" s="99" t="str">
        <f>IF(D20="","",IFERROR(INDEX('Dashboard Items'!$F$2:$F$495,MATCH(D20,'Dashboard Items'!$A$2:$A$495,0)),"ID not found"))</f>
        <v>Strategic Workforce Development</v>
      </c>
    </row>
    <row r="21" spans="1:6" ht="15" customHeight="1" x14ac:dyDescent="0.2">
      <c r="A21" s="163" t="s">
        <v>609</v>
      </c>
      <c r="B21" s="99" t="str">
        <f>IF(A21="","",IFERROR(INDEX('Dashboard Items'!$C$2:$C$495,MATCH(A21,'Dashboard Items'!$A$2:$A$495,0)),"ID not found"))</f>
        <v>Information Technology Services</v>
      </c>
      <c r="C21" s="99" t="str">
        <f>IF(A21="","",IFERROR(INDEX('Dashboard Items'!$E$2:$E$495,MATCH(A21,'Dashboard Items'!$A$2:$A$495,0)),"ID not found"))</f>
        <v>Financial and Internal Services</v>
      </c>
      <c r="D21" s="163" t="s">
        <v>880</v>
      </c>
      <c r="E21" s="99" t="str">
        <f>IF(D21="","",IFERROR(INDEX('Dashboard Items'!$C$2:$C$495,MATCH(D21,'Dashboard Items'!$A$2:$A$495,0)),"ID not found"))</f>
        <v>1.1 Financial Sustainability and Innovation</v>
      </c>
      <c r="F21" s="99" t="str">
        <f>IF(D21="","",IFERROR(INDEX('Dashboard Items'!$F$2:$F$495,MATCH(D21,'Dashboard Items'!$A$2:$A$495,0)),"ID not found"))</f>
        <v>Organizational Stewardship</v>
      </c>
    </row>
    <row r="22" spans="1:6" ht="15" customHeight="1" x14ac:dyDescent="0.2">
      <c r="A22" s="163" t="s">
        <v>609</v>
      </c>
      <c r="B22" s="99" t="str">
        <f>IF(A22="","",IFERROR(INDEX('Dashboard Items'!$C$2:$C$495,MATCH(A22,'Dashboard Items'!$A$2:$A$495,0)),"ID not found"))</f>
        <v>Information Technology Services</v>
      </c>
      <c r="C22" s="99" t="str">
        <f>IF(A22="","",IFERROR(INDEX('Dashboard Items'!$E$2:$E$495,MATCH(A22,'Dashboard Items'!$A$2:$A$495,0)),"ID not found"))</f>
        <v>Financial and Internal Services</v>
      </c>
      <c r="D22" s="163" t="s">
        <v>919</v>
      </c>
      <c r="E22" s="99" t="str">
        <f>IF(D22="","",IFERROR(INDEX('Dashboard Items'!$C$2:$C$495,MATCH(D22,'Dashboard Items'!$A$2:$A$495,0)),"ID not found"))</f>
        <v>4.5 Reliable and Secure IT Infrastrucutre</v>
      </c>
      <c r="F22" s="99" t="str">
        <f>IF(D22="","",IFERROR(INDEX('Dashboard Items'!$F$2:$F$495,MATCH(D22,'Dashboard Items'!$A$2:$A$495,0)),"ID not found"))</f>
        <v>Reliable Infrastructure and Community Connectivity</v>
      </c>
    </row>
    <row r="23" spans="1:6" ht="15" customHeight="1" x14ac:dyDescent="0.2">
      <c r="A23" s="163" t="s">
        <v>609</v>
      </c>
      <c r="B23" s="99" t="str">
        <f>IF(A23="","",IFERROR(INDEX('Dashboard Items'!$C$2:$C$495,MATCH(A23,'Dashboard Items'!$A$2:$A$495,0)),"ID not found"))</f>
        <v>Information Technology Services</v>
      </c>
      <c r="C23" s="99" t="str">
        <f>IF(A23="","",IFERROR(INDEX('Dashboard Items'!$E$2:$E$495,MATCH(A23,'Dashboard Items'!$A$2:$A$495,0)),"ID not found"))</f>
        <v>Financial and Internal Services</v>
      </c>
      <c r="D23" s="163" t="s">
        <v>937</v>
      </c>
      <c r="E23" s="99" t="str">
        <f>IF(D23="","",IFERROR(INDEX('Dashboard Items'!$C$2:$C$495,MATCH(D23,'Dashboard Items'!$A$2:$A$495,0)),"ID not found"))</f>
        <v>6.3 Workforce Preparedness and Optimization</v>
      </c>
      <c r="F23" s="99" t="str">
        <f>IF(D23="","",IFERROR(INDEX('Dashboard Items'!$F$2:$F$495,MATCH(D23,'Dashboard Items'!$A$2:$A$495,0)),"ID not found"))</f>
        <v>Strategic Workforce Development</v>
      </c>
    </row>
    <row r="24" spans="1:6" ht="15" customHeight="1" x14ac:dyDescent="0.2">
      <c r="A24" s="163" t="s">
        <v>681</v>
      </c>
      <c r="B24" s="99" t="str">
        <f>IF(A24="","",IFERROR(INDEX('Dashboard Items'!$C$2:$C$495,MATCH(A24,'Dashboard Items'!$A$2:$A$495,0)),"ID not found"))</f>
        <v>Community Development &amp; Planning</v>
      </c>
      <c r="C24" s="99" t="str">
        <f>IF(A24="","",IFERROR(INDEX('Dashboard Items'!$E$2:$E$495,MATCH(A24,'Dashboard Items'!$A$2:$A$495,0)),"ID not found"))</f>
        <v>Community Growth and Economic Vitality</v>
      </c>
      <c r="D24" s="163" t="s">
        <v>889</v>
      </c>
      <c r="E24" s="99" t="str">
        <f>IF(D24="","",IFERROR(INDEX('Dashboard Items'!$C$2:$C$495,MATCH(D24,'Dashboard Items'!$A$2:$A$495,0)),"ID not found"))</f>
        <v>2.1 Affordable, Multigenerational Housing</v>
      </c>
      <c r="F24" s="99" t="str">
        <f>IF(D24="","",IFERROR(INDEX('Dashboard Items'!$F$2:$F$495,MATCH(D24,'Dashboard Items'!$A$2:$A$495,0)),"ID not found"))</f>
        <v>Innovative Housing and Economic Development</v>
      </c>
    </row>
    <row r="25" spans="1:6" ht="15" customHeight="1" x14ac:dyDescent="0.2">
      <c r="A25" s="163" t="s">
        <v>681</v>
      </c>
      <c r="B25" s="99" t="str">
        <f>IF(A25="","",IFERROR(INDEX('Dashboard Items'!$C$2:$C$495,MATCH(A25,'Dashboard Items'!$A$2:$A$495,0)),"ID not found"))</f>
        <v>Community Development &amp; Planning</v>
      </c>
      <c r="C25" s="99" t="str">
        <f>IF(A25="","",IFERROR(INDEX('Dashboard Items'!$E$2:$E$495,MATCH(A25,'Dashboard Items'!$A$2:$A$495,0)),"ID not found"))</f>
        <v>Community Growth and Economic Vitality</v>
      </c>
      <c r="D25" s="163" t="s">
        <v>892</v>
      </c>
      <c r="E25" s="99" t="str">
        <f>IF(D25="","",IFERROR(INDEX('Dashboard Items'!$C$2:$C$495,MATCH(D25,'Dashboard Items'!$A$2:$A$495,0)),"ID not found"))</f>
        <v>2.2 Economic Growth and Entrepreneurship</v>
      </c>
      <c r="F25" s="99" t="str">
        <f>IF(D25="","",IFERROR(INDEX('Dashboard Items'!$F$2:$F$495,MATCH(D25,'Dashboard Items'!$A$2:$A$495,0)),"ID not found"))</f>
        <v>Innovative Housing and Economic Development</v>
      </c>
    </row>
    <row r="26" spans="1:6" ht="15" customHeight="1" x14ac:dyDescent="0.2">
      <c r="A26" s="163" t="s">
        <v>681</v>
      </c>
      <c r="B26" s="99" t="str">
        <f>IF(A26="","",IFERROR(INDEX('Dashboard Items'!$C$2:$C$495,MATCH(A26,'Dashboard Items'!$A$2:$A$495,0)),"ID not found"))</f>
        <v>Community Development &amp; Planning</v>
      </c>
      <c r="C26" s="99" t="str">
        <f>IF(A26="","",IFERROR(INDEX('Dashboard Items'!$E$2:$E$495,MATCH(A26,'Dashboard Items'!$A$2:$A$495,0)),"ID not found"))</f>
        <v>Community Growth and Economic Vitality</v>
      </c>
      <c r="D26" s="163" t="s">
        <v>895</v>
      </c>
      <c r="E26" s="99" t="str">
        <f>IF(D26="","",IFERROR(INDEX('Dashboard Items'!$C$2:$C$495,MATCH(D26,'Dashboard Items'!$A$2:$A$495,0)),"ID not found"))</f>
        <v>2.3 Community Character and Investments</v>
      </c>
      <c r="F26" s="99" t="str">
        <f>IF(D26="","",IFERROR(INDEX('Dashboard Items'!$F$2:$F$495,MATCH(D26,'Dashboard Items'!$A$2:$A$495,0)),"ID not found"))</f>
        <v>Innovative Housing and Economic Development</v>
      </c>
    </row>
    <row r="27" spans="1:6" ht="15" customHeight="1" x14ac:dyDescent="0.2">
      <c r="A27" s="163" t="s">
        <v>681</v>
      </c>
      <c r="B27" s="99" t="str">
        <f>IF(A27="","",IFERROR(INDEX('Dashboard Items'!$C$2:$C$495,MATCH(A27,'Dashboard Items'!$A$2:$A$495,0)),"ID not found"))</f>
        <v>Community Development &amp; Planning</v>
      </c>
      <c r="C27" s="99" t="str">
        <f>IF(A27="","",IFERROR(INDEX('Dashboard Items'!$E$2:$E$495,MATCH(A27,'Dashboard Items'!$A$2:$A$495,0)),"ID not found"))</f>
        <v>Community Growth and Economic Vitality</v>
      </c>
      <c r="D27" s="163" t="s">
        <v>931</v>
      </c>
      <c r="E27" s="99" t="str">
        <f>IF(D27="","",IFERROR(INDEX('Dashboard Items'!$C$2:$C$495,MATCH(D27,'Dashboard Items'!$A$2:$A$495,0)),"ID not found"))</f>
        <v>6.1 Employee Growth and Retention</v>
      </c>
      <c r="F27" s="99" t="str">
        <f>IF(D27="","",IFERROR(INDEX('Dashboard Items'!$F$2:$F$495,MATCH(D27,'Dashboard Items'!$A$2:$A$495,0)),"ID not found"))</f>
        <v>Strategic Workforce Development</v>
      </c>
    </row>
    <row r="28" spans="1:6" ht="15" customHeight="1" x14ac:dyDescent="0.2">
      <c r="A28" s="163" t="s">
        <v>674</v>
      </c>
      <c r="B28" s="99" t="str">
        <f>IF(A28="","",IFERROR(INDEX('Dashboard Items'!$C$2:$C$495,MATCH(A28,'Dashboard Items'!$A$2:$A$495,0)),"ID not found"))</f>
        <v>Economic Prosperity &amp; Business Support</v>
      </c>
      <c r="C28" s="99" t="str">
        <f>IF(A28="","",IFERROR(INDEX('Dashboard Items'!$E$2:$E$495,MATCH(A28,'Dashboard Items'!$A$2:$A$495,0)),"ID not found"))</f>
        <v>Community Growth and Economic Vitality</v>
      </c>
      <c r="D28" s="163" t="s">
        <v>880</v>
      </c>
      <c r="E28" s="99" t="str">
        <f>IF(D28="","",IFERROR(INDEX('Dashboard Items'!$C$2:$C$495,MATCH(D28,'Dashboard Items'!$A$2:$A$495,0)),"ID not found"))</f>
        <v>1.1 Financial Sustainability and Innovation</v>
      </c>
      <c r="F28" s="99" t="str">
        <f>IF(D28="","",IFERROR(INDEX('Dashboard Items'!$F$2:$F$495,MATCH(D28,'Dashboard Items'!$A$2:$A$495,0)),"ID not found"))</f>
        <v>Organizational Stewardship</v>
      </c>
    </row>
    <row r="29" spans="1:6" ht="15" customHeight="1" x14ac:dyDescent="0.2">
      <c r="A29" s="163" t="s">
        <v>674</v>
      </c>
      <c r="B29" s="99" t="str">
        <f>IF(A29="","",IFERROR(INDEX('Dashboard Items'!$C$2:$C$495,MATCH(A29,'Dashboard Items'!$A$2:$A$495,0)),"ID not found"))</f>
        <v>Economic Prosperity &amp; Business Support</v>
      </c>
      <c r="C29" s="99" t="str">
        <f>IF(A29="","",IFERROR(INDEX('Dashboard Items'!$E$2:$E$495,MATCH(A29,'Dashboard Items'!$A$2:$A$495,0)),"ID not found"))</f>
        <v>Community Growth and Economic Vitality</v>
      </c>
      <c r="D29" s="163" t="s">
        <v>892</v>
      </c>
      <c r="E29" s="99" t="str">
        <f>IF(D29="","",IFERROR(INDEX('Dashboard Items'!$C$2:$C$495,MATCH(D29,'Dashboard Items'!$A$2:$A$495,0)),"ID not found"))</f>
        <v>2.2 Economic Growth and Entrepreneurship</v>
      </c>
      <c r="F29" s="99" t="str">
        <f>IF(D29="","",IFERROR(INDEX('Dashboard Items'!$F$2:$F$495,MATCH(D29,'Dashboard Items'!$A$2:$A$495,0)),"ID not found"))</f>
        <v>Innovative Housing and Economic Development</v>
      </c>
    </row>
    <row r="30" spans="1:6" ht="15" customHeight="1" x14ac:dyDescent="0.2">
      <c r="A30" s="163" t="s">
        <v>674</v>
      </c>
      <c r="B30" s="99" t="str">
        <f>IF(A30="","",IFERROR(INDEX('Dashboard Items'!$C$2:$C$495,MATCH(A30,'Dashboard Items'!$A$2:$A$495,0)),"ID not found"))</f>
        <v>Economic Prosperity &amp; Business Support</v>
      </c>
      <c r="C30" s="99" t="str">
        <f>IF(A30="","",IFERROR(INDEX('Dashboard Items'!$E$2:$E$495,MATCH(A30,'Dashboard Items'!$A$2:$A$495,0)),"ID not found"))</f>
        <v>Community Growth and Economic Vitality</v>
      </c>
      <c r="D30" s="163" t="s">
        <v>895</v>
      </c>
      <c r="E30" s="99" t="str">
        <f>IF(D30="","",IFERROR(INDEX('Dashboard Items'!$C$2:$C$495,MATCH(D30,'Dashboard Items'!$A$2:$A$495,0)),"ID not found"))</f>
        <v>2.3 Community Character and Investments</v>
      </c>
      <c r="F30" s="99" t="str">
        <f>IF(D30="","",IFERROR(INDEX('Dashboard Items'!$F$2:$F$495,MATCH(D30,'Dashboard Items'!$A$2:$A$495,0)),"ID not found"))</f>
        <v>Innovative Housing and Economic Development</v>
      </c>
    </row>
    <row r="31" spans="1:6" ht="15" customHeight="1" x14ac:dyDescent="0.2">
      <c r="A31" s="163" t="s">
        <v>860</v>
      </c>
      <c r="B31" s="99" t="str">
        <f>IF(A31="","",IFERROR(INDEX('Dashboard Items'!$C$2:$C$495,MATCH(A31,'Dashboard Items'!$A$2:$A$495,0)),"ID not found"))</f>
        <v>Sustainability &amp; Environmental Stewardship</v>
      </c>
      <c r="C31" s="99" t="str">
        <f>IF(A31="","",IFERROR(INDEX('Dashboard Items'!$E$2:$E$495,MATCH(A31,'Dashboard Items'!$A$2:$A$495,0)),"ID not found"))</f>
        <v>Community Growth and Economic Vitality</v>
      </c>
      <c r="D31" s="163" t="s">
        <v>886</v>
      </c>
      <c r="E31" s="99" t="str">
        <f>IF(D31="","",IFERROR(INDEX('Dashboard Items'!$C$2:$C$495,MATCH(D31,'Dashboard Items'!$A$2:$A$495,0)),"ID not found"))</f>
        <v>1.3 Environmental Stewardship</v>
      </c>
      <c r="F31" s="99" t="str">
        <f>IF(D31="","",IFERROR(INDEX('Dashboard Items'!$F$2:$F$495,MATCH(D31,'Dashboard Items'!$A$2:$A$495,0)),"ID not found"))</f>
        <v>Organizational Stewardship</v>
      </c>
    </row>
    <row r="32" spans="1:6" ht="15" customHeight="1" x14ac:dyDescent="0.2">
      <c r="A32" s="163" t="s">
        <v>558</v>
      </c>
      <c r="B32" s="99" t="str">
        <f>IF(A32="","",IFERROR(INDEX('Dashboard Items'!$C$2:$C$495,MATCH(A32,'Dashboard Items'!$A$2:$A$495,0)),"ID not found"))</f>
        <v>Public Safety Services</v>
      </c>
      <c r="C32" s="99" t="str">
        <f>IF(A32="","",IFERROR(INDEX('Dashboard Items'!$E$2:$E$495,MATCH(A32,'Dashboard Items'!$A$2:$A$495,0)),"ID not found"))</f>
        <v>Public Safety</v>
      </c>
      <c r="D32" s="163" t="s">
        <v>898</v>
      </c>
      <c r="E32" s="99" t="str">
        <f>IF(D32="","",IFERROR(INDEX('Dashboard Items'!$C$2:$C$495,MATCH(D32,'Dashboard Items'!$A$2:$A$495,0)),"ID not found"))</f>
        <v>3.1 Public Safety and Emergency Services</v>
      </c>
      <c r="F32" s="99" t="str">
        <f>IF(D32="","",IFERROR(INDEX('Dashboard Items'!$F$2:$F$495,MATCH(D32,'Dashboard Items'!$A$2:$A$495,0)),"ID not found"))</f>
        <v>Safety &amp; Quality of Life</v>
      </c>
    </row>
    <row r="33" spans="1:6" ht="15" customHeight="1" x14ac:dyDescent="0.2">
      <c r="A33" s="163" t="s">
        <v>575</v>
      </c>
      <c r="B33" s="99" t="str">
        <f>IF(A33="","",IFERROR(INDEX('Dashboard Items'!$C$2:$C$495,MATCH(A33,'Dashboard Items'!$A$2:$A$495,0)),"ID not found"))</f>
        <v>Municipal Court</v>
      </c>
      <c r="C33" s="99" t="str">
        <f>IF(A33="","",IFERROR(INDEX('Dashboard Items'!$E$2:$E$495,MATCH(A33,'Dashboard Items'!$A$2:$A$495,0)),"ID not found"))</f>
        <v>Public Safety</v>
      </c>
      <c r="D33" s="163" t="s">
        <v>898</v>
      </c>
      <c r="E33" s="99" t="str">
        <f>IF(D33="","",IFERROR(INDEX('Dashboard Items'!$C$2:$C$495,MATCH(D33,'Dashboard Items'!$A$2:$A$495,0)),"ID not found"))</f>
        <v>3.1 Public Safety and Emergency Services</v>
      </c>
      <c r="F33" s="99" t="str">
        <f>IF(D33="","",IFERROR(INDEX('Dashboard Items'!$F$2:$F$495,MATCH(D33,'Dashboard Items'!$A$2:$A$495,0)),"ID not found"))</f>
        <v>Safety &amp; Quality of Life</v>
      </c>
    </row>
    <row r="34" spans="1:6" ht="15" customHeight="1" x14ac:dyDescent="0.2">
      <c r="A34" s="163" t="s">
        <v>861</v>
      </c>
      <c r="B34" s="99" t="str">
        <f>IF(A34="","",IFERROR(INDEX('Dashboard Items'!$C$2:$C$495,MATCH(A34,'Dashboard Items'!$A$2:$A$495,0)),"ID not found"))</f>
        <v>Public Works &amp; Municipal Services</v>
      </c>
      <c r="C34" s="99" t="str">
        <f>IF(A34="","",IFERROR(INDEX('Dashboard Items'!$E$2:$E$495,MATCH(A34,'Dashboard Items'!$A$2:$A$495,0)),"ID not found"))</f>
        <v>Infrastructure</v>
      </c>
      <c r="D34" s="163" t="s">
        <v>886</v>
      </c>
      <c r="E34" s="99" t="str">
        <f>IF(D34="","",IFERROR(INDEX('Dashboard Items'!$C$2:$C$495,MATCH(D34,'Dashboard Items'!$A$2:$A$495,0)),"ID not found"))</f>
        <v>1.3 Environmental Stewardship</v>
      </c>
      <c r="F34" s="99" t="str">
        <f>IF(D34="","",IFERROR(INDEX('Dashboard Items'!$F$2:$F$495,MATCH(D34,'Dashboard Items'!$A$2:$A$495,0)),"ID not found"))</f>
        <v>Organizational Stewardship</v>
      </c>
    </row>
    <row r="35" spans="1:6" ht="15" customHeight="1" x14ac:dyDescent="0.2">
      <c r="A35" s="163" t="s">
        <v>861</v>
      </c>
      <c r="B35" s="99" t="str">
        <f>IF(A35="","",IFERROR(INDEX('Dashboard Items'!$C$2:$C$495,MATCH(A35,'Dashboard Items'!$A$2:$A$495,0)),"ID not found"))</f>
        <v>Public Works &amp; Municipal Services</v>
      </c>
      <c r="C35" s="99" t="str">
        <f>IF(A35="","",IFERROR(INDEX('Dashboard Items'!$E$2:$E$495,MATCH(A35,'Dashboard Items'!$A$2:$A$495,0)),"ID not found"))</f>
        <v>Infrastructure</v>
      </c>
      <c r="D35" s="163" t="s">
        <v>910</v>
      </c>
      <c r="E35" s="99" t="str">
        <f>IF(D35="","",IFERROR(INDEX('Dashboard Items'!$C$2:$C$495,MATCH(D35,'Dashboard Items'!$A$2:$A$495,0)),"ID not found"))</f>
        <v>4.2 Transportation Infrastructure Investment</v>
      </c>
      <c r="F35" s="99" t="str">
        <f>IF(D35="","",IFERROR(INDEX('Dashboard Items'!$F$2:$F$495,MATCH(D35,'Dashboard Items'!$A$2:$A$495,0)),"ID not found"))</f>
        <v>Reliable Infrastructure and Community Connectivity</v>
      </c>
    </row>
    <row r="36" spans="1:6" ht="15" customHeight="1" x14ac:dyDescent="0.2">
      <c r="A36" s="163" t="s">
        <v>861</v>
      </c>
      <c r="B36" s="99" t="str">
        <f>IF(A36="","",IFERROR(INDEX('Dashboard Items'!$C$2:$C$495,MATCH(A36,'Dashboard Items'!$A$2:$A$495,0)),"ID not found"))</f>
        <v>Public Works &amp; Municipal Services</v>
      </c>
      <c r="C36" s="99" t="str">
        <f>IF(A36="","",IFERROR(INDEX('Dashboard Items'!$E$2:$E$495,MATCH(A36,'Dashboard Items'!$A$2:$A$495,0)),"ID not found"))</f>
        <v>Infrastructure</v>
      </c>
      <c r="D36" s="163" t="s">
        <v>913</v>
      </c>
      <c r="E36" s="99" t="str">
        <f>IF(D36="","",IFERROR(INDEX('Dashboard Items'!$C$2:$C$495,MATCH(D36,'Dashboard Items'!$A$2:$A$495,0)),"ID not found"))</f>
        <v>4.3 Water and Wastewater Systems</v>
      </c>
      <c r="F36" s="99" t="str">
        <f>IF(D36="","",IFERROR(INDEX('Dashboard Items'!$F$2:$F$495,MATCH(D36,'Dashboard Items'!$A$2:$A$495,0)),"ID not found"))</f>
        <v>Reliable Infrastructure and Community Connectivity</v>
      </c>
    </row>
    <row r="37" spans="1:6" ht="15" customHeight="1" x14ac:dyDescent="0.2">
      <c r="A37" s="163" t="s">
        <v>861</v>
      </c>
      <c r="B37" s="99" t="str">
        <f>IF(A37="","",IFERROR(INDEX('Dashboard Items'!$C$2:$C$495,MATCH(A37,'Dashboard Items'!$A$2:$A$495,0)),"ID not found"))</f>
        <v>Public Works &amp; Municipal Services</v>
      </c>
      <c r="C37" s="99" t="str">
        <f>IF(A37="","",IFERROR(INDEX('Dashboard Items'!$E$2:$E$495,MATCH(A37,'Dashboard Items'!$A$2:$A$495,0)),"ID not found"))</f>
        <v>Infrastructure</v>
      </c>
      <c r="D37" s="163" t="s">
        <v>922</v>
      </c>
      <c r="E37" s="99" t="str">
        <f>IF(D37="","",IFERROR(INDEX('Dashboard Items'!$C$2:$C$495,MATCH(D37,'Dashboard Items'!$A$2:$A$495,0)),"ID not found"))</f>
        <v>4.6 City surface Transit and Right of Way</v>
      </c>
      <c r="F37" s="99" t="str">
        <f>IF(D37="","",IFERROR(INDEX('Dashboard Items'!$F$2:$F$495,MATCH(D37,'Dashboard Items'!$A$2:$A$495,0)),"ID not found"))</f>
        <v>Reliable Infrastructure and Community Connectivity</v>
      </c>
    </row>
    <row r="38" spans="1:6" ht="15" customHeight="1" x14ac:dyDescent="0.2">
      <c r="A38" s="163" t="s">
        <v>691</v>
      </c>
      <c r="B38" s="99" t="str">
        <f>IF(A38="","",IFERROR(INDEX('Dashboard Items'!$C$2:$C$495,MATCH(A38,'Dashboard Items'!$A$2:$A$495,0)),"ID not found"))</f>
        <v>Transit Services</v>
      </c>
      <c r="C38" s="99" t="str">
        <f>IF(A38="","",IFERROR(INDEX('Dashboard Items'!$E$2:$E$495,MATCH(A38,'Dashboard Items'!$A$2:$A$495,0)),"ID not found"))</f>
        <v>Infrastructure</v>
      </c>
      <c r="D38" s="163" t="s">
        <v>907</v>
      </c>
      <c r="E38" s="99" t="str">
        <f>IF(D38="","",IFERROR(INDEX('Dashboard Items'!$C$2:$C$495,MATCH(D38,'Dashboard Items'!$A$2:$A$495,0)),"ID not found"))</f>
        <v>4.1 Safe, Accessible Mobility</v>
      </c>
      <c r="F38" s="99" t="str">
        <f>IF(D38="","",IFERROR(INDEX('Dashboard Items'!$F$2:$F$495,MATCH(D38,'Dashboard Items'!$A$2:$A$495,0)),"ID not found"))</f>
        <v>Reliable Infrastructure and Community Connectivity</v>
      </c>
    </row>
    <row r="39" spans="1:6" ht="15" customHeight="1" x14ac:dyDescent="0.2">
      <c r="A39" s="163" t="s">
        <v>691</v>
      </c>
      <c r="B39" s="99" t="str">
        <f>IF(A39="","",IFERROR(INDEX('Dashboard Items'!$C$2:$C$495,MATCH(A39,'Dashboard Items'!$A$2:$A$495,0)),"ID not found"))</f>
        <v>Transit Services</v>
      </c>
      <c r="C39" s="99" t="str">
        <f>IF(A39="","",IFERROR(INDEX('Dashboard Items'!$E$2:$E$495,MATCH(A39,'Dashboard Items'!$A$2:$A$495,0)),"ID not found"))</f>
        <v>Infrastructure</v>
      </c>
      <c r="D39" s="163" t="s">
        <v>922</v>
      </c>
      <c r="E39" s="99" t="str">
        <f>IF(D39="","",IFERROR(INDEX('Dashboard Items'!$C$2:$C$495,MATCH(D39,'Dashboard Items'!$A$2:$A$495,0)),"ID not found"))</f>
        <v>4.6 City surface Transit and Right of Way</v>
      </c>
      <c r="F39" s="99" t="str">
        <f>IF(D39="","",IFERROR(INDEX('Dashboard Items'!$F$2:$F$495,MATCH(D39,'Dashboard Items'!$A$2:$A$495,0)),"ID not found"))</f>
        <v>Reliable Infrastructure and Community Connectivity</v>
      </c>
    </row>
    <row r="40" spans="1:6" ht="15" customHeight="1" x14ac:dyDescent="0.2">
      <c r="A40" s="163" t="s">
        <v>863</v>
      </c>
      <c r="B40" s="99" t="str">
        <f>IF(A40="","",IFERROR(INDEX('Dashboard Items'!$C$2:$C$495,MATCH(A40,'Dashboard Items'!$A$2:$A$495,0)),"ID not found"))</f>
        <v>Asset Management</v>
      </c>
      <c r="C40" s="99" t="str">
        <f>IF(A40="","",IFERROR(INDEX('Dashboard Items'!$E$2:$E$495,MATCH(A40,'Dashboard Items'!$A$2:$A$495,0)),"ID not found"))</f>
        <v>Infrastructure</v>
      </c>
      <c r="D40" s="163" t="s">
        <v>913</v>
      </c>
      <c r="E40" s="99" t="str">
        <f>IF(D40="","",IFERROR(INDEX('Dashboard Items'!$C$2:$C$495,MATCH(D40,'Dashboard Items'!$A$2:$A$495,0)),"ID not found"))</f>
        <v>4.3 Water and Wastewater Systems</v>
      </c>
      <c r="F40" s="99" t="str">
        <f>IF(D40="","",IFERROR(INDEX('Dashboard Items'!$F$2:$F$495,MATCH(D40,'Dashboard Items'!$A$2:$A$495,0)),"ID not found"))</f>
        <v>Reliable Infrastructure and Community Connectivity</v>
      </c>
    </row>
    <row r="41" spans="1:6" ht="15" customHeight="1" x14ac:dyDescent="0.2">
      <c r="A41" s="163" t="s">
        <v>863</v>
      </c>
      <c r="B41" s="99" t="str">
        <f>IF(A41="","",IFERROR(INDEX('Dashboard Items'!$C$2:$C$495,MATCH(A41,'Dashboard Items'!$A$2:$A$495,0)),"ID not found"))</f>
        <v>Asset Management</v>
      </c>
      <c r="C41" s="99" t="str">
        <f>IF(A41="","",IFERROR(INDEX('Dashboard Items'!$E$2:$E$495,MATCH(A41,'Dashboard Items'!$A$2:$A$495,0)),"ID not found"))</f>
        <v>Infrastructure</v>
      </c>
      <c r="D41" s="163" t="s">
        <v>919</v>
      </c>
      <c r="E41" s="99" t="str">
        <f>IF(D41="","",IFERROR(INDEX('Dashboard Items'!$C$2:$C$495,MATCH(D41,'Dashboard Items'!$A$2:$A$495,0)),"ID not found"))</f>
        <v>4.5 Reliable and Secure IT Infrastrucutre</v>
      </c>
      <c r="F41" s="99" t="str">
        <f>IF(D41="","",IFERROR(INDEX('Dashboard Items'!$F$2:$F$495,MATCH(D41,'Dashboard Items'!$A$2:$A$495,0)),"ID not found"))</f>
        <v>Reliable Infrastructure and Community Connectivity</v>
      </c>
    </row>
    <row r="42" spans="1:6" ht="15" customHeight="1" x14ac:dyDescent="0.2">
      <c r="A42" s="163" t="s">
        <v>864</v>
      </c>
      <c r="B42" s="99" t="str">
        <f>IF(A42="","",IFERROR(INDEX('Dashboard Items'!$C$2:$C$495,MATCH(A42,'Dashboard Items'!$A$2:$A$495,0)),"ID not found"))</f>
        <v>Airport Operations</v>
      </c>
      <c r="C42" s="99" t="str">
        <f>IF(A42="","",IFERROR(INDEX('Dashboard Items'!$E$2:$E$495,MATCH(A42,'Dashboard Items'!$A$2:$A$495,0)),"ID not found"))</f>
        <v>Infrastructure</v>
      </c>
      <c r="D42" s="163" t="s">
        <v>916</v>
      </c>
      <c r="E42" s="99" t="str">
        <f>IF(D42="","",IFERROR(INDEX('Dashboard Items'!$C$2:$C$495,MATCH(D42,'Dashboard Items'!$A$2:$A$495,0)),"ID not found"))</f>
        <v>4.4 Airport and Aviation Hubs</v>
      </c>
      <c r="F42" s="99" t="str">
        <f>IF(D42="","",IFERROR(INDEX('Dashboard Items'!$F$2:$F$495,MATCH(D42,'Dashboard Items'!$A$2:$A$495,0)),"ID not found"))</f>
        <v>Reliable Infrastructure and Community Connectivity</v>
      </c>
    </row>
    <row r="43" spans="1:6" ht="15" customHeight="1" x14ac:dyDescent="0.2">
      <c r="A43" s="163" t="s">
        <v>623</v>
      </c>
      <c r="B43" s="99" t="str">
        <f>IF(A43="","",IFERROR(INDEX('Dashboard Items'!$C$2:$C$495,MATCH(A43,'Dashboard Items'!$A$2:$A$495,0)),"ID not found"))</f>
        <v>Library &amp; Learning Services</v>
      </c>
      <c r="C43" s="99" t="str">
        <f>IF(A43="","",IFERROR(INDEX('Dashboard Items'!$E$2:$E$495,MATCH(A43,'Dashboard Items'!$A$2:$A$495,0)),"ID not found"))</f>
        <v>Parks, Recreation and Cultural Services</v>
      </c>
      <c r="D43" s="163" t="s">
        <v>901</v>
      </c>
      <c r="E43" s="99" t="str">
        <f>IF(D43="","",IFERROR(INDEX('Dashboard Items'!$C$2:$C$495,MATCH(D43,'Dashboard Items'!$A$2:$A$495,0)),"ID not found"))</f>
        <v>3.2 Arts, Culture, and Recreation</v>
      </c>
      <c r="F43" s="99" t="str">
        <f>IF(D43="","",IFERROR(INDEX('Dashboard Items'!$F$2:$F$495,MATCH(D43,'Dashboard Items'!$A$2:$A$495,0)),"ID not found"))</f>
        <v>Safety &amp; Quality of Life</v>
      </c>
    </row>
    <row r="44" spans="1:6" ht="15" customHeight="1" x14ac:dyDescent="0.2">
      <c r="A44" s="163" t="s">
        <v>623</v>
      </c>
      <c r="B44" s="99" t="str">
        <f>IF(A44="","",IFERROR(INDEX('Dashboard Items'!$C$2:$C$495,MATCH(A44,'Dashboard Items'!$A$2:$A$495,0)),"ID not found"))</f>
        <v>Library &amp; Learning Services</v>
      </c>
      <c r="C44" s="99" t="str">
        <f>IF(A44="","",IFERROR(INDEX('Dashboard Items'!$E$2:$E$495,MATCH(A44,'Dashboard Items'!$A$2:$A$495,0)),"ID not found"))</f>
        <v>Parks, Recreation and Cultural Services</v>
      </c>
      <c r="D44" s="163" t="s">
        <v>928</v>
      </c>
      <c r="E44" s="99" t="str">
        <f>IF(D44="","",IFERROR(INDEX('Dashboard Items'!$C$2:$C$495,MATCH(D44,'Dashboard Items'!$A$2:$A$495,0)),"ID not found"))</f>
        <v>5.2 Open and Accessible Information Communication</v>
      </c>
      <c r="F44" s="99" t="str">
        <f>IF(D44="","",IFERROR(INDEX('Dashboard Items'!$F$2:$F$495,MATCH(D44,'Dashboard Items'!$A$2:$A$495,0)),"ID not found"))</f>
        <v>Engaged and Informed Community</v>
      </c>
    </row>
    <row r="45" spans="1:6" ht="15" customHeight="1" x14ac:dyDescent="0.2">
      <c r="A45" s="163" t="s">
        <v>740</v>
      </c>
      <c r="B45" s="99" t="str">
        <f>IF(A45="","",IFERROR(INDEX('Dashboard Items'!$C$2:$C$495,MATCH(A45,'Dashboard Items'!$A$2:$A$495,0)),"ID not found"))</f>
        <v>Parks &amp; Open Space Management</v>
      </c>
      <c r="C45" s="99" t="str">
        <f>IF(A45="","",IFERROR(INDEX('Dashboard Items'!$E$2:$E$495,MATCH(A45,'Dashboard Items'!$A$2:$A$495,0)),"ID not found"))</f>
        <v>Parks, Recreation and Cultural Services</v>
      </c>
      <c r="D45" s="163" t="s">
        <v>904</v>
      </c>
      <c r="E45" s="99" t="str">
        <f>IF(D45="","",IFERROR(INDEX('Dashboard Items'!$C$2:$C$495,MATCH(D45,'Dashboard Items'!$A$2:$A$495,0)),"ID not found"))</f>
        <v>3.3 Parks, Trails and Natural Lands</v>
      </c>
      <c r="F45" s="99" t="str">
        <f>IF(D45="","",IFERROR(INDEX('Dashboard Items'!$F$2:$F$495,MATCH(D45,'Dashboard Items'!$A$2:$A$495,0)),"ID not found"))</f>
        <v>Safety &amp; Quality of Life</v>
      </c>
    </row>
    <row r="46" spans="1:6" ht="15" customHeight="1" x14ac:dyDescent="0.2">
      <c r="A46" s="163" t="s">
        <v>667</v>
      </c>
      <c r="B46" s="99" t="str">
        <f>IF(A46="","",IFERROR(INDEX('Dashboard Items'!$C$2:$C$495,MATCH(A46,'Dashboard Items'!$A$2:$A$495,0)),"ID not found"))</f>
        <v>Recreation &amp; Community Programs</v>
      </c>
      <c r="C46" s="99" t="str">
        <f>IF(A46="","",IFERROR(INDEX('Dashboard Items'!$E$2:$E$495,MATCH(A46,'Dashboard Items'!$A$2:$A$495,0)),"ID not found"))</f>
        <v>Parks, Recreation and Cultural Services</v>
      </c>
      <c r="D46" s="163" t="s">
        <v>901</v>
      </c>
      <c r="E46" s="99" t="str">
        <f>IF(D46="","",IFERROR(INDEX('Dashboard Items'!$C$2:$C$495,MATCH(D46,'Dashboard Items'!$A$2:$A$495,0)),"ID not found"))</f>
        <v>3.2 Arts, Culture, and Recreation</v>
      </c>
      <c r="F46" s="99" t="str">
        <f>IF(D46="","",IFERROR(INDEX('Dashboard Items'!$F$2:$F$495,MATCH(D46,'Dashboard Items'!$A$2:$A$495,0)),"ID not found"))</f>
        <v>Safety &amp; Quality of Life</v>
      </c>
    </row>
    <row r="47" spans="1:6" ht="15" customHeight="1" x14ac:dyDescent="0.2">
      <c r="A47" s="163"/>
      <c r="B47" s="99" t="str">
        <f>IF(A47="","",IFERROR(INDEX('Dashboard Items'!$C$2:$C$495,MATCH(A47,'Dashboard Items'!$A$2:$A$495,0)),"ID not found"))</f>
        <v/>
      </c>
      <c r="C47" s="99" t="str">
        <f>IF(A47="","",IFERROR(INDEX('Dashboard Items'!$E$2:$E$495,MATCH(A47,'Dashboard Items'!$A$2:$A$495,0)),"ID not found"))</f>
        <v/>
      </c>
      <c r="D47" s="163"/>
      <c r="E47" s="99" t="str">
        <f>IF(D47="","",IFERROR(INDEX('Dashboard Items'!$C$2:$C$495,MATCH(D47,'Dashboard Items'!$A$2:$A$495,0)),"ID not found"))</f>
        <v/>
      </c>
      <c r="F47" s="99" t="str">
        <f>IF(D47="","",IFERROR(INDEX('Dashboard Items'!$F$2:$F$495,MATCH(D47,'Dashboard Items'!$A$2:$A$495,0)),"ID not found"))</f>
        <v/>
      </c>
    </row>
    <row r="48" spans="1:6" ht="15" customHeight="1" x14ac:dyDescent="0.2">
      <c r="A48" s="163"/>
      <c r="B48" s="99" t="str">
        <f>IF(A48="","",IFERROR(INDEX('Dashboard Items'!$C$2:$C$495,MATCH(A48,'Dashboard Items'!$A$2:$A$495,0)),"ID not found"))</f>
        <v/>
      </c>
      <c r="C48" s="99" t="str">
        <f>IF(A48="","",IFERROR(INDEX('Dashboard Items'!$E$2:$E$495,MATCH(A48,'Dashboard Items'!$A$2:$A$495,0)),"ID not found"))</f>
        <v/>
      </c>
      <c r="D48" s="163"/>
      <c r="E48" s="99" t="str">
        <f>IF(D48="","",IFERROR(INDEX('Dashboard Items'!$C$2:$C$495,MATCH(D48,'Dashboard Items'!$A$2:$A$495,0)),"ID not found"))</f>
        <v/>
      </c>
      <c r="F48" s="99" t="str">
        <f>IF(D48="","",IFERROR(INDEX('Dashboard Items'!$F$2:$F$495,MATCH(D48,'Dashboard Items'!$A$2:$A$495,0)),"ID not found"))</f>
        <v/>
      </c>
    </row>
    <row r="49" spans="1:6" ht="15" customHeight="1" x14ac:dyDescent="0.2">
      <c r="A49" s="163"/>
      <c r="B49" s="99" t="str">
        <f>IF(A49="","",IFERROR(INDEX('Dashboard Items'!$C$2:$C$495,MATCH(A49,'Dashboard Items'!$A$2:$A$495,0)),"ID not found"))</f>
        <v/>
      </c>
      <c r="C49" s="99" t="str">
        <f>IF(A49="","",IFERROR(INDEX('Dashboard Items'!$E$2:$E$495,MATCH(A49,'Dashboard Items'!$A$2:$A$495,0)),"ID not found"))</f>
        <v/>
      </c>
      <c r="D49" s="163"/>
      <c r="E49" s="99" t="str">
        <f>IF(D49="","",IFERROR(INDEX('Dashboard Items'!$C$2:$C$495,MATCH(D49,'Dashboard Items'!$A$2:$A$495,0)),"ID not found"))</f>
        <v/>
      </c>
      <c r="F49" s="99" t="str">
        <f>IF(D49="","",IFERROR(INDEX('Dashboard Items'!$F$2:$F$495,MATCH(D49,'Dashboard Items'!$A$2:$A$495,0)),"ID not found"))</f>
        <v/>
      </c>
    </row>
    <row r="50" spans="1:6" ht="15" customHeight="1" x14ac:dyDescent="0.2">
      <c r="A50" s="163"/>
      <c r="B50" s="99" t="str">
        <f>IF(A50="","",IFERROR(INDEX('Dashboard Items'!$C$2:$C$495,MATCH(A50,'Dashboard Items'!$A$2:$A$495,0)),"ID not found"))</f>
        <v/>
      </c>
      <c r="C50" s="99" t="str">
        <f>IF(A50="","",IFERROR(INDEX('Dashboard Items'!$E$2:$E$495,MATCH(A50,'Dashboard Items'!$A$2:$A$495,0)),"ID not found"))</f>
        <v/>
      </c>
      <c r="D50" s="163"/>
      <c r="E50" s="99" t="str">
        <f>IF(D50="","",IFERROR(INDEX('Dashboard Items'!$C$2:$C$495,MATCH(D50,'Dashboard Items'!$A$2:$A$495,0)),"ID not found"))</f>
        <v/>
      </c>
      <c r="F50" s="99" t="str">
        <f>IF(D50="","",IFERROR(INDEX('Dashboard Items'!$F$2:$F$495,MATCH(D50,'Dashboard Items'!$A$2:$A$495,0)),"ID not found"))</f>
        <v/>
      </c>
    </row>
    <row r="51" spans="1:6" ht="15" customHeight="1" x14ac:dyDescent="0.2">
      <c r="A51" s="163"/>
      <c r="B51" s="99" t="str">
        <f>IF(A51="","",IFERROR(INDEX('Dashboard Items'!$C$2:$C$495,MATCH(A51,'Dashboard Items'!$A$2:$A$495,0)),"ID not found"))</f>
        <v/>
      </c>
      <c r="C51" s="99" t="str">
        <f>IF(A51="","",IFERROR(INDEX('Dashboard Items'!$E$2:$E$495,MATCH(A51,'Dashboard Items'!$A$2:$A$495,0)),"ID not found"))</f>
        <v/>
      </c>
      <c r="D51" s="163"/>
      <c r="E51" s="99" t="str">
        <f>IF(D51="","",IFERROR(INDEX('Dashboard Items'!$C$2:$C$495,MATCH(D51,'Dashboard Items'!$A$2:$A$495,0)),"ID not found"))</f>
        <v/>
      </c>
      <c r="F51" s="99" t="str">
        <f>IF(D51="","",IFERROR(INDEX('Dashboard Items'!$F$2:$F$495,MATCH(D51,'Dashboard Items'!$A$2:$A$495,0)),"ID not found"))</f>
        <v/>
      </c>
    </row>
    <row r="52" spans="1:6" ht="15" customHeight="1" x14ac:dyDescent="0.2">
      <c r="A52" s="163"/>
      <c r="B52" s="99" t="str">
        <f>IF(A52="","",IFERROR(INDEX('Dashboard Items'!$C$2:$C$495,MATCH(A52,'Dashboard Items'!$A$2:$A$495,0)),"ID not found"))</f>
        <v/>
      </c>
      <c r="C52" s="99" t="str">
        <f>IF(A52="","",IFERROR(INDEX('Dashboard Items'!$E$2:$E$495,MATCH(A52,'Dashboard Items'!$A$2:$A$495,0)),"ID not found"))</f>
        <v/>
      </c>
      <c r="D52" s="163"/>
      <c r="E52" s="99" t="str">
        <f>IF(D52="","",IFERROR(INDEX('Dashboard Items'!$C$2:$C$495,MATCH(D52,'Dashboard Items'!$A$2:$A$495,0)),"ID not found"))</f>
        <v/>
      </c>
      <c r="F52" s="99" t="str">
        <f>IF(D52="","",IFERROR(INDEX('Dashboard Items'!$F$2:$F$495,MATCH(D52,'Dashboard Items'!$A$2:$A$495,0)),"ID not found"))</f>
        <v/>
      </c>
    </row>
    <row r="53" spans="1:6" ht="15" customHeight="1" x14ac:dyDescent="0.2">
      <c r="A53" s="163"/>
      <c r="B53" s="99" t="str">
        <f>IF(A53="","",IFERROR(INDEX('Dashboard Items'!$C$2:$C$495,MATCH(A53,'Dashboard Items'!$A$2:$A$495,0)),"ID not found"))</f>
        <v/>
      </c>
      <c r="C53" s="99" t="str">
        <f>IF(A53="","",IFERROR(INDEX('Dashboard Items'!$E$2:$E$495,MATCH(A53,'Dashboard Items'!$A$2:$A$495,0)),"ID not found"))</f>
        <v/>
      </c>
      <c r="D53" s="163"/>
      <c r="E53" s="99" t="str">
        <f>IF(D53="","",IFERROR(INDEX('Dashboard Items'!$C$2:$C$495,MATCH(D53,'Dashboard Items'!$A$2:$A$495,0)),"ID not found"))</f>
        <v/>
      </c>
      <c r="F53" s="99" t="str">
        <f>IF(D53="","",IFERROR(INDEX('Dashboard Items'!$F$2:$F$495,MATCH(D53,'Dashboard Items'!$A$2:$A$495,0)),"ID not found"))</f>
        <v/>
      </c>
    </row>
    <row r="54" spans="1:6" ht="15" customHeight="1" x14ac:dyDescent="0.2">
      <c r="A54" s="163"/>
      <c r="B54" s="99" t="str">
        <f>IF(A54="","",IFERROR(INDEX('Dashboard Items'!$C$2:$C$495,MATCH(A54,'Dashboard Items'!$A$2:$A$495,0)),"ID not found"))</f>
        <v/>
      </c>
      <c r="C54" s="99" t="str">
        <f>IF(A54="","",IFERROR(INDEX('Dashboard Items'!$E$2:$E$495,MATCH(A54,'Dashboard Items'!$A$2:$A$495,0)),"ID not found"))</f>
        <v/>
      </c>
      <c r="D54" s="163"/>
      <c r="E54" s="99" t="str">
        <f>IF(D54="","",IFERROR(INDEX('Dashboard Items'!$C$2:$C$495,MATCH(D54,'Dashboard Items'!$A$2:$A$495,0)),"ID not found"))</f>
        <v/>
      </c>
      <c r="F54" s="99" t="str">
        <f>IF(D54="","",IFERROR(INDEX('Dashboard Items'!$F$2:$F$495,MATCH(D54,'Dashboard Items'!$A$2:$A$495,0)),"ID not found"))</f>
        <v/>
      </c>
    </row>
    <row r="55" spans="1:6" ht="15" customHeight="1" x14ac:dyDescent="0.2">
      <c r="A55" s="163"/>
      <c r="B55" s="99" t="str">
        <f>IF(A55="","",IFERROR(INDEX('Dashboard Items'!$C$2:$C$495,MATCH(A55,'Dashboard Items'!$A$2:$A$495,0)),"ID not found"))</f>
        <v/>
      </c>
      <c r="C55" s="99" t="str">
        <f>IF(A55="","",IFERROR(INDEX('Dashboard Items'!$E$2:$E$495,MATCH(A55,'Dashboard Items'!$A$2:$A$495,0)),"ID not found"))</f>
        <v/>
      </c>
      <c r="D55" s="163"/>
      <c r="E55" s="99" t="str">
        <f>IF(D55="","",IFERROR(INDEX('Dashboard Items'!$C$2:$C$495,MATCH(D55,'Dashboard Items'!$A$2:$A$495,0)),"ID not found"))</f>
        <v/>
      </c>
      <c r="F55" s="99" t="str">
        <f>IF(D55="","",IFERROR(INDEX('Dashboard Items'!$F$2:$F$495,MATCH(D55,'Dashboard Items'!$A$2:$A$495,0)),"ID not found"))</f>
        <v/>
      </c>
    </row>
    <row r="56" spans="1:6" ht="15" customHeight="1" x14ac:dyDescent="0.2">
      <c r="A56" s="163"/>
      <c r="B56" s="99" t="str">
        <f>IF(A56="","",IFERROR(INDEX('Dashboard Items'!$C$2:$C$495,MATCH(A56,'Dashboard Items'!$A$2:$A$495,0)),"ID not found"))</f>
        <v/>
      </c>
      <c r="C56" s="99" t="str">
        <f>IF(A56="","",IFERROR(INDEX('Dashboard Items'!$E$2:$E$495,MATCH(A56,'Dashboard Items'!$A$2:$A$495,0)),"ID not found"))</f>
        <v/>
      </c>
      <c r="D56" s="163"/>
      <c r="E56" s="99" t="str">
        <f>IF(D56="","",IFERROR(INDEX('Dashboard Items'!$C$2:$C$495,MATCH(D56,'Dashboard Items'!$A$2:$A$495,0)),"ID not found"))</f>
        <v/>
      </c>
      <c r="F56" s="99" t="str">
        <f>IF(D56="","",IFERROR(INDEX('Dashboard Items'!$F$2:$F$495,MATCH(D56,'Dashboard Items'!$A$2:$A$495,0)),"ID not found"))</f>
        <v/>
      </c>
    </row>
    <row r="57" spans="1:6" ht="15" customHeight="1" x14ac:dyDescent="0.2">
      <c r="A57" s="163"/>
      <c r="B57" s="99" t="str">
        <f>IF(A57="","",IFERROR(INDEX('Dashboard Items'!$C$2:$C$495,MATCH(A57,'Dashboard Items'!$A$2:$A$495,0)),"ID not found"))</f>
        <v/>
      </c>
      <c r="C57" s="99" t="str">
        <f>IF(A57="","",IFERROR(INDEX('Dashboard Items'!$E$2:$E$495,MATCH(A57,'Dashboard Items'!$A$2:$A$495,0)),"ID not found"))</f>
        <v/>
      </c>
      <c r="D57" s="163"/>
      <c r="E57" s="99" t="str">
        <f>IF(D57="","",IFERROR(INDEX('Dashboard Items'!$C$2:$C$495,MATCH(D57,'Dashboard Items'!$A$2:$A$495,0)),"ID not found"))</f>
        <v/>
      </c>
      <c r="F57" s="99" t="str">
        <f>IF(D57="","",IFERROR(INDEX('Dashboard Items'!$F$2:$F$495,MATCH(D57,'Dashboard Items'!$A$2:$A$495,0)),"ID not found"))</f>
        <v/>
      </c>
    </row>
    <row r="58" spans="1:6" ht="15" customHeight="1" x14ac:dyDescent="0.2">
      <c r="A58" s="163"/>
      <c r="B58" s="99" t="str">
        <f>IF(A58="","",IFERROR(INDEX('Dashboard Items'!$C$2:$C$495,MATCH(A58,'Dashboard Items'!$A$2:$A$495,0)),"ID not found"))</f>
        <v/>
      </c>
      <c r="C58" s="99" t="str">
        <f>IF(A58="","",IFERROR(INDEX('Dashboard Items'!$E$2:$E$495,MATCH(A58,'Dashboard Items'!$A$2:$A$495,0)),"ID not found"))</f>
        <v/>
      </c>
      <c r="D58" s="163"/>
      <c r="E58" s="99" t="str">
        <f>IF(D58="","",IFERROR(INDEX('Dashboard Items'!$C$2:$C$495,MATCH(D58,'Dashboard Items'!$A$2:$A$495,0)),"ID not found"))</f>
        <v/>
      </c>
      <c r="F58" s="99" t="str">
        <f>IF(D58="","",IFERROR(INDEX('Dashboard Items'!$F$2:$F$495,MATCH(D58,'Dashboard Items'!$A$2:$A$495,0)),"ID not found"))</f>
        <v/>
      </c>
    </row>
    <row r="59" spans="1:6" ht="15" customHeight="1" x14ac:dyDescent="0.2">
      <c r="B59" s="99" t="str">
        <f>IF(A59="","",IFERROR(INDEX('Dashboard Items'!$C$2:$C$495,MATCH(A59,'Dashboard Items'!$A$2:$A$495,0)),"ID not found"))</f>
        <v/>
      </c>
      <c r="C59" s="99" t="str">
        <f>IF(A59="","",IFERROR(INDEX('Dashboard Items'!$E$2:$E$495,MATCH(A59,'Dashboard Items'!$A$2:$A$495,0)),"ID not found"))</f>
        <v/>
      </c>
      <c r="E59" s="99" t="str">
        <f>IF(D59="","",IFERROR(INDEX('Dashboard Items'!$C$2:$C$495,MATCH(D59,'Dashboard Items'!$A$2:$A$495,0)),"ID not found"))</f>
        <v/>
      </c>
      <c r="F59" s="99" t="str">
        <f>IF(D59="","",IFERROR(INDEX('Dashboard Items'!$F$2:$F$495,MATCH(D59,'Dashboard Items'!$A$2:$A$495,0)),"ID not found"))</f>
        <v/>
      </c>
    </row>
    <row r="60" spans="1:6" ht="15" customHeight="1" x14ac:dyDescent="0.2">
      <c r="B60" s="99" t="str">
        <f>IF(A60="","",IFERROR(INDEX('Dashboard Items'!$C$2:$C$495,MATCH(A60,'Dashboard Items'!$A$2:$A$495,0)),"ID not found"))</f>
        <v/>
      </c>
      <c r="C60" s="99" t="str">
        <f>IF(A60="","",IFERROR(INDEX('Dashboard Items'!$E$2:$E$495,MATCH(A60,'Dashboard Items'!$A$2:$A$495,0)),"ID not found"))</f>
        <v/>
      </c>
      <c r="E60" s="99" t="str">
        <f>IF(D60="","",IFERROR(INDEX('Dashboard Items'!$C$2:$C$495,MATCH(D60,'Dashboard Items'!$A$2:$A$495,0)),"ID not found"))</f>
        <v/>
      </c>
      <c r="F60" s="99" t="str">
        <f>IF(D60="","",IFERROR(INDEX('Dashboard Items'!$F$2:$F$495,MATCH(D60,'Dashboard Items'!$A$2:$A$495,0)),"ID not found"))</f>
        <v/>
      </c>
    </row>
    <row r="61" spans="1:6" ht="15" customHeight="1" x14ac:dyDescent="0.2">
      <c r="B61" s="99" t="str">
        <f>IF(A61="","",IFERROR(INDEX('Dashboard Items'!$C$2:$C$495,MATCH(A61,'Dashboard Items'!$A$2:$A$495,0)),"ID not found"))</f>
        <v/>
      </c>
      <c r="C61" s="99" t="str">
        <f>IF(A61="","",IFERROR(INDEX('Dashboard Items'!$E$2:$E$495,MATCH(A61,'Dashboard Items'!$A$2:$A$495,0)),"ID not found"))</f>
        <v/>
      </c>
      <c r="E61" s="99" t="str">
        <f>IF(D61="","",IFERROR(INDEX('Dashboard Items'!$C$2:$C$495,MATCH(D61,'Dashboard Items'!$A$2:$A$495,0)),"ID not found"))</f>
        <v/>
      </c>
      <c r="F61" s="99" t="str">
        <f>IF(D61="","",IFERROR(INDEX('Dashboard Items'!$F$2:$F$495,MATCH(D61,'Dashboard Items'!$A$2:$A$495,0)),"ID not found"))</f>
        <v/>
      </c>
    </row>
    <row r="62" spans="1:6" ht="15" customHeight="1" x14ac:dyDescent="0.2">
      <c r="B62" s="99" t="str">
        <f>IF(A62="","",IFERROR(INDEX('Dashboard Items'!$C$2:$C$495,MATCH(A62,'Dashboard Items'!$A$2:$A$495,0)),"ID not found"))</f>
        <v/>
      </c>
      <c r="C62" s="99" t="str">
        <f>IF(A62="","",IFERROR(INDEX('Dashboard Items'!$E$2:$E$495,MATCH(A62,'Dashboard Items'!$A$2:$A$495,0)),"ID not found"))</f>
        <v/>
      </c>
      <c r="E62" s="99" t="str">
        <f>IF(D62="","",IFERROR(INDEX('Dashboard Items'!$C$2:$C$495,MATCH(D62,'Dashboard Items'!$A$2:$A$495,0)),"ID not found"))</f>
        <v/>
      </c>
      <c r="F62" s="99" t="str">
        <f>IF(D62="","",IFERROR(INDEX('Dashboard Items'!$F$2:$F$495,MATCH(D62,'Dashboard Items'!$A$2:$A$495,0)),"ID not found"))</f>
        <v/>
      </c>
    </row>
    <row r="63" spans="1:6" ht="15" customHeight="1" x14ac:dyDescent="0.2">
      <c r="B63" s="99" t="str">
        <f>IF(A63="","",IFERROR(INDEX('Dashboard Items'!$C$2:$C$495,MATCH(A63,'Dashboard Items'!$A$2:$A$495,0)),"ID not found"))</f>
        <v/>
      </c>
      <c r="C63" s="99" t="str">
        <f>IF(A63="","",IFERROR(INDEX('Dashboard Items'!$E$2:$E$495,MATCH(A63,'Dashboard Items'!$A$2:$A$495,0)),"ID not found"))</f>
        <v/>
      </c>
      <c r="E63" s="99" t="str">
        <f>IF(D63="","",IFERROR(INDEX('Dashboard Items'!$C$2:$C$495,MATCH(D63,'Dashboard Items'!$A$2:$A$495,0)),"ID not found"))</f>
        <v/>
      </c>
      <c r="F63" s="99" t="str">
        <f>IF(D63="","",IFERROR(INDEX('Dashboard Items'!$F$2:$F$495,MATCH(D63,'Dashboard Items'!$A$2:$A$495,0)),"ID not found"))</f>
        <v/>
      </c>
    </row>
    <row r="64" spans="1:6" ht="15" customHeight="1" x14ac:dyDescent="0.2">
      <c r="B64" s="99" t="str">
        <f>IF(A64="","",IFERROR(INDEX('Dashboard Items'!$C$2:$C$495,MATCH(A64,'Dashboard Items'!$A$2:$A$495,0)),"ID not found"))</f>
        <v/>
      </c>
      <c r="C64" s="99" t="str">
        <f>IF(A64="","",IFERROR(INDEX('Dashboard Items'!$E$2:$E$495,MATCH(A64,'Dashboard Items'!$A$2:$A$495,0)),"ID not found"))</f>
        <v/>
      </c>
      <c r="E64" s="99" t="str">
        <f>IF(D64="","",IFERROR(INDEX('Dashboard Items'!$C$2:$C$495,MATCH(D64,'Dashboard Items'!$A$2:$A$495,0)),"ID not found"))</f>
        <v/>
      </c>
      <c r="F64" s="99" t="str">
        <f>IF(D64="","",IFERROR(INDEX('Dashboard Items'!$F$2:$F$495,MATCH(D64,'Dashboard Items'!$A$2:$A$495,0)),"ID not found"))</f>
        <v/>
      </c>
    </row>
    <row r="65" spans="2:6" ht="15" customHeight="1" x14ac:dyDescent="0.2">
      <c r="B65" s="99" t="str">
        <f>IF(A65="","",IFERROR(INDEX('Dashboard Items'!$C$2:$C$495,MATCH(A65,'Dashboard Items'!$A$2:$A$495,0)),"ID not found"))</f>
        <v/>
      </c>
      <c r="C65" s="99" t="str">
        <f>IF(A65="","",IFERROR(INDEX('Dashboard Items'!$E$2:$E$495,MATCH(A65,'Dashboard Items'!$A$2:$A$495,0)),"ID not found"))</f>
        <v/>
      </c>
      <c r="E65" s="99" t="str">
        <f>IF(D65="","",IFERROR(INDEX('Dashboard Items'!$C$2:$C$495,MATCH(D65,'Dashboard Items'!$A$2:$A$495,0)),"ID not found"))</f>
        <v/>
      </c>
      <c r="F65" s="99" t="str">
        <f>IF(D65="","",IFERROR(INDEX('Dashboard Items'!$F$2:$F$495,MATCH(D65,'Dashboard Items'!$A$2:$A$495,0)),"ID not found"))</f>
        <v/>
      </c>
    </row>
    <row r="66" spans="2:6" ht="15" customHeight="1" x14ac:dyDescent="0.2">
      <c r="B66" s="99" t="str">
        <f>IF(A66="","",IFERROR(INDEX('Dashboard Items'!$C$2:$C$495,MATCH(A66,'Dashboard Items'!$A$2:$A$495,0)),"ID not found"))</f>
        <v/>
      </c>
      <c r="C66" s="99" t="str">
        <f>IF(A66="","",IFERROR(INDEX('Dashboard Items'!$E$2:$E$495,MATCH(A66,'Dashboard Items'!$A$2:$A$495,0)),"ID not found"))</f>
        <v/>
      </c>
      <c r="E66" s="99" t="str">
        <f>IF(D66="","",IFERROR(INDEX('Dashboard Items'!$C$2:$C$495,MATCH(D66,'Dashboard Items'!$A$2:$A$495,0)),"ID not found"))</f>
        <v/>
      </c>
      <c r="F66" s="99" t="str">
        <f>IF(D66="","",IFERROR(INDEX('Dashboard Items'!$F$2:$F$495,MATCH(D66,'Dashboard Items'!$A$2:$A$495,0)),"ID not found"))</f>
        <v/>
      </c>
    </row>
    <row r="67" spans="2:6" ht="15" customHeight="1" x14ac:dyDescent="0.2">
      <c r="B67" s="99" t="str">
        <f>IF(A67="","",IFERROR(INDEX('Dashboard Items'!$C$2:$C$495,MATCH(A67,'Dashboard Items'!$A$2:$A$495,0)),"ID not found"))</f>
        <v/>
      </c>
      <c r="C67" s="99" t="str">
        <f>IF(A67="","",IFERROR(INDEX('Dashboard Items'!$E$2:$E$495,MATCH(A67,'Dashboard Items'!$A$2:$A$495,0)),"ID not found"))</f>
        <v/>
      </c>
      <c r="E67" s="99" t="str">
        <f>IF(D67="","",IFERROR(INDEX('Dashboard Items'!$C$2:$C$495,MATCH(D67,'Dashboard Items'!$A$2:$A$495,0)),"ID not found"))</f>
        <v/>
      </c>
      <c r="F67" s="99" t="str">
        <f>IF(D67="","",IFERROR(INDEX('Dashboard Items'!$F$2:$F$495,MATCH(D67,'Dashboard Items'!$A$2:$A$495,0)),"ID not found"))</f>
        <v/>
      </c>
    </row>
    <row r="68" spans="2:6" ht="15" customHeight="1" x14ac:dyDescent="0.2">
      <c r="B68" s="99" t="str">
        <f>IF(A68="","",IFERROR(INDEX('Dashboard Items'!$C$2:$C$495,MATCH(A68,'Dashboard Items'!$A$2:$A$495,0)),"ID not found"))</f>
        <v/>
      </c>
      <c r="C68" s="99" t="str">
        <f>IF(A68="","",IFERROR(INDEX('Dashboard Items'!$E$2:$E$495,MATCH(A68,'Dashboard Items'!$A$2:$A$495,0)),"ID not found"))</f>
        <v/>
      </c>
      <c r="E68" s="99" t="str">
        <f>IF(D68="","",IFERROR(INDEX('Dashboard Items'!$C$2:$C$495,MATCH(D68,'Dashboard Items'!$A$2:$A$495,0)),"ID not found"))</f>
        <v/>
      </c>
      <c r="F68" s="99" t="str">
        <f>IF(D68="","",IFERROR(INDEX('Dashboard Items'!$F$2:$F$495,MATCH(D68,'Dashboard Items'!$A$2:$A$495,0)),"ID not found"))</f>
        <v/>
      </c>
    </row>
    <row r="69" spans="2:6" ht="15" customHeight="1" x14ac:dyDescent="0.2">
      <c r="B69" s="99" t="str">
        <f>IF(A69="","",IFERROR(INDEX('Dashboard Items'!$C$2:$C$495,MATCH(A69,'Dashboard Items'!$A$2:$A$495,0)),"ID not found"))</f>
        <v/>
      </c>
      <c r="C69" s="99" t="str">
        <f>IF(A69="","",IFERROR(INDEX('Dashboard Items'!$E$2:$E$495,MATCH(A69,'Dashboard Items'!$A$2:$A$495,0)),"ID not found"))</f>
        <v/>
      </c>
      <c r="E69" s="99" t="str">
        <f>IF(D69="","",IFERROR(INDEX('Dashboard Items'!$C$2:$C$495,MATCH(D69,'Dashboard Items'!$A$2:$A$495,0)),"ID not found"))</f>
        <v/>
      </c>
      <c r="F69" s="99" t="str">
        <f>IF(D69="","",IFERROR(INDEX('Dashboard Items'!$F$2:$F$495,MATCH(D69,'Dashboard Items'!$A$2:$A$495,0)),"ID not found"))</f>
        <v/>
      </c>
    </row>
    <row r="70" spans="2:6" ht="15" customHeight="1" x14ac:dyDescent="0.2">
      <c r="B70" s="99" t="str">
        <f>IF(A70="","",IFERROR(INDEX('Dashboard Items'!$C$2:$C$495,MATCH(A70,'Dashboard Items'!$A$2:$A$495,0)),"ID not found"))</f>
        <v/>
      </c>
      <c r="C70" s="99" t="str">
        <f>IF(A70="","",IFERROR(INDEX('Dashboard Items'!$E$2:$E$495,MATCH(A70,'Dashboard Items'!$A$2:$A$495,0)),"ID not found"))</f>
        <v/>
      </c>
      <c r="E70" s="99" t="str">
        <f>IF(D70="","",IFERROR(INDEX('Dashboard Items'!$C$2:$C$495,MATCH(D70,'Dashboard Items'!$A$2:$A$495,0)),"ID not found"))</f>
        <v/>
      </c>
      <c r="F70" s="99" t="str">
        <f>IF(D70="","",IFERROR(INDEX('Dashboard Items'!$F$2:$F$495,MATCH(D70,'Dashboard Items'!$A$2:$A$495,0)),"ID not found"))</f>
        <v/>
      </c>
    </row>
    <row r="71" spans="2:6" ht="15" customHeight="1" x14ac:dyDescent="0.2">
      <c r="B71" s="99" t="str">
        <f>IF(A71="","",IFERROR(INDEX('Dashboard Items'!$C$2:$C$495,MATCH(A71,'Dashboard Items'!$A$2:$A$495,0)),"ID not found"))</f>
        <v/>
      </c>
      <c r="C71" s="99" t="str">
        <f>IF(A71="","",IFERROR(INDEX('Dashboard Items'!$E$2:$E$495,MATCH(A71,'Dashboard Items'!$A$2:$A$495,0)),"ID not found"))</f>
        <v/>
      </c>
      <c r="E71" s="99" t="str">
        <f>IF(D71="","",IFERROR(INDEX('Dashboard Items'!$C$2:$C$495,MATCH(D71,'Dashboard Items'!$A$2:$A$495,0)),"ID not found"))</f>
        <v/>
      </c>
      <c r="F71" s="99" t="str">
        <f>IF(D71="","",IFERROR(INDEX('Dashboard Items'!$F$2:$F$495,MATCH(D71,'Dashboard Items'!$A$2:$A$495,0)),"ID not found"))</f>
        <v/>
      </c>
    </row>
    <row r="72" spans="2:6" ht="15" customHeight="1" x14ac:dyDescent="0.2">
      <c r="B72" s="99" t="str">
        <f>IF(A72="","",IFERROR(INDEX('Dashboard Items'!$C$2:$C$495,MATCH(A72,'Dashboard Items'!$A$2:$A$495,0)),"ID not found"))</f>
        <v/>
      </c>
      <c r="C72" s="99" t="str">
        <f>IF(A72="","",IFERROR(INDEX('Dashboard Items'!$E$2:$E$495,MATCH(A72,'Dashboard Items'!$A$2:$A$495,0)),"ID not found"))</f>
        <v/>
      </c>
      <c r="E72" s="99" t="str">
        <f>IF(D72="","",IFERROR(INDEX('Dashboard Items'!$C$2:$C$495,MATCH(D72,'Dashboard Items'!$A$2:$A$495,0)),"ID not found"))</f>
        <v/>
      </c>
      <c r="F72" s="99" t="str">
        <f>IF(D72="","",IFERROR(INDEX('Dashboard Items'!$F$2:$F$495,MATCH(D72,'Dashboard Items'!$A$2:$A$495,0)),"ID not found"))</f>
        <v/>
      </c>
    </row>
    <row r="73" spans="2:6" ht="15" customHeight="1" x14ac:dyDescent="0.2">
      <c r="B73" s="99" t="str">
        <f>IF(A73="","",IFERROR(INDEX('Dashboard Items'!$C$2:$C$495,MATCH(A73,'Dashboard Items'!$A$2:$A$495,0)),"ID not found"))</f>
        <v/>
      </c>
      <c r="C73" s="99" t="str">
        <f>IF(A73="","",IFERROR(INDEX('Dashboard Items'!$E$2:$E$495,MATCH(A73,'Dashboard Items'!$A$2:$A$495,0)),"ID not found"))</f>
        <v/>
      </c>
      <c r="E73" s="99" t="str">
        <f>IF(D73="","",IFERROR(INDEX('Dashboard Items'!$C$2:$C$495,MATCH(D73,'Dashboard Items'!$A$2:$A$495,0)),"ID not found"))</f>
        <v/>
      </c>
      <c r="F73" s="99" t="str">
        <f>IF(D73="","",IFERROR(INDEX('Dashboard Items'!$F$2:$F$495,MATCH(D73,'Dashboard Items'!$A$2:$A$495,0)),"ID not found"))</f>
        <v/>
      </c>
    </row>
    <row r="74" spans="2:6" ht="15" customHeight="1" x14ac:dyDescent="0.2">
      <c r="B74" s="99" t="str">
        <f>IF(A74="","",IFERROR(INDEX('Dashboard Items'!$C$2:$C$495,MATCH(A74,'Dashboard Items'!$A$2:$A$495,0)),"ID not found"))</f>
        <v/>
      </c>
      <c r="C74" s="99" t="str">
        <f>IF(A74="","",IFERROR(INDEX('Dashboard Items'!$E$2:$E$495,MATCH(A74,'Dashboard Items'!$A$2:$A$495,0)),"ID not found"))</f>
        <v/>
      </c>
      <c r="E74" s="99" t="str">
        <f>IF(D74="","",IFERROR(INDEX('Dashboard Items'!$C$2:$C$495,MATCH(D74,'Dashboard Items'!$A$2:$A$495,0)),"ID not found"))</f>
        <v/>
      </c>
      <c r="F74" s="99" t="str">
        <f>IF(D74="","",IFERROR(INDEX('Dashboard Items'!$F$2:$F$495,MATCH(D74,'Dashboard Items'!$A$2:$A$495,0)),"ID not found"))</f>
        <v/>
      </c>
    </row>
    <row r="75" spans="2:6" ht="15" customHeight="1" x14ac:dyDescent="0.2">
      <c r="B75" s="99" t="str">
        <f>IF(A75="","",IFERROR(INDEX('Dashboard Items'!$C$2:$C$495,MATCH(A75,'Dashboard Items'!$A$2:$A$495,0)),"ID not found"))</f>
        <v/>
      </c>
      <c r="C75" s="99" t="str">
        <f>IF(A75="","",IFERROR(INDEX('Dashboard Items'!$E$2:$E$495,MATCH(A75,'Dashboard Items'!$A$2:$A$495,0)),"ID not found"))</f>
        <v/>
      </c>
      <c r="E75" s="99" t="str">
        <f>IF(D75="","",IFERROR(INDEX('Dashboard Items'!$C$2:$C$495,MATCH(D75,'Dashboard Items'!$A$2:$A$495,0)),"ID not found"))</f>
        <v/>
      </c>
      <c r="F75" s="99" t="str">
        <f>IF(D75="","",IFERROR(INDEX('Dashboard Items'!$F$2:$F$495,MATCH(D75,'Dashboard Items'!$A$2:$A$495,0)),"ID not found"))</f>
        <v/>
      </c>
    </row>
    <row r="76" spans="2:6" ht="15" customHeight="1" x14ac:dyDescent="0.2">
      <c r="B76" s="99" t="str">
        <f>IF(A76="","",IFERROR(INDEX('Dashboard Items'!$C$2:$C$495,MATCH(A76,'Dashboard Items'!$A$2:$A$495,0)),"ID not found"))</f>
        <v/>
      </c>
      <c r="C76" s="99" t="str">
        <f>IF(A76="","",IFERROR(INDEX('Dashboard Items'!$E$2:$E$495,MATCH(A76,'Dashboard Items'!$A$2:$A$495,0)),"ID not found"))</f>
        <v/>
      </c>
      <c r="E76" s="99" t="str">
        <f>IF(D76="","",IFERROR(INDEX('Dashboard Items'!$C$2:$C$495,MATCH(D76,'Dashboard Items'!$A$2:$A$495,0)),"ID not found"))</f>
        <v/>
      </c>
      <c r="F76" s="99" t="str">
        <f>IF(D76="","",IFERROR(INDEX('Dashboard Items'!$F$2:$F$495,MATCH(D76,'Dashboard Items'!$A$2:$A$495,0)),"ID not found"))</f>
        <v/>
      </c>
    </row>
    <row r="77" spans="2:6" ht="15" customHeight="1" x14ac:dyDescent="0.2">
      <c r="B77" s="99" t="str">
        <f>IF(A77="","",IFERROR(INDEX('Dashboard Items'!$C$2:$C$495,MATCH(A77,'Dashboard Items'!$A$2:$A$495,0)),"ID not found"))</f>
        <v/>
      </c>
      <c r="C77" s="99" t="str">
        <f>IF(A77="","",IFERROR(INDEX('Dashboard Items'!$E$2:$E$495,MATCH(A77,'Dashboard Items'!$A$2:$A$495,0)),"ID not found"))</f>
        <v/>
      </c>
      <c r="E77" s="99" t="str">
        <f>IF(D77="","",IFERROR(INDEX('Dashboard Items'!$C$2:$C$495,MATCH(D77,'Dashboard Items'!$A$2:$A$495,0)),"ID not found"))</f>
        <v/>
      </c>
      <c r="F77" s="99" t="str">
        <f>IF(D77="","",IFERROR(INDEX('Dashboard Items'!$F$2:$F$495,MATCH(D77,'Dashboard Items'!$A$2:$A$495,0)),"ID not found"))</f>
        <v/>
      </c>
    </row>
    <row r="78" spans="2:6" ht="15" customHeight="1" x14ac:dyDescent="0.2">
      <c r="B78" s="99" t="str">
        <f>IF(A78="","",IFERROR(INDEX('Dashboard Items'!$C$2:$C$495,MATCH(A78,'Dashboard Items'!$A$2:$A$495,0)),"ID not found"))</f>
        <v/>
      </c>
      <c r="C78" s="99" t="str">
        <f>IF(A78="","",IFERROR(INDEX('Dashboard Items'!$E$2:$E$495,MATCH(A78,'Dashboard Items'!$A$2:$A$495,0)),"ID not found"))</f>
        <v/>
      </c>
      <c r="E78" s="99" t="str">
        <f>IF(D78="","",IFERROR(INDEX('Dashboard Items'!$C$2:$C$495,MATCH(D78,'Dashboard Items'!$A$2:$A$495,0)),"ID not found"))</f>
        <v/>
      </c>
      <c r="F78" s="99" t="str">
        <f>IF(D78="","",IFERROR(INDEX('Dashboard Items'!$F$2:$F$495,MATCH(D78,'Dashboard Items'!$A$2:$A$495,0)),"ID not found"))</f>
        <v/>
      </c>
    </row>
    <row r="79" spans="2:6" ht="15" customHeight="1" x14ac:dyDescent="0.2">
      <c r="B79" s="99" t="str">
        <f>IF(A79="","",IFERROR(INDEX('Dashboard Items'!$C$2:$C$495,MATCH(A79,'Dashboard Items'!$A$2:$A$495,0)),"ID not found"))</f>
        <v/>
      </c>
      <c r="C79" s="99" t="str">
        <f>IF(A79="","",IFERROR(INDEX('Dashboard Items'!$E$2:$E$495,MATCH(A79,'Dashboard Items'!$A$2:$A$495,0)),"ID not found"))</f>
        <v/>
      </c>
      <c r="E79" s="99" t="str">
        <f>IF(D79="","",IFERROR(INDEX('Dashboard Items'!$C$2:$C$495,MATCH(D79,'Dashboard Items'!$A$2:$A$495,0)),"ID not found"))</f>
        <v/>
      </c>
      <c r="F79" s="99" t="str">
        <f>IF(D79="","",IFERROR(INDEX('Dashboard Items'!$F$2:$F$495,MATCH(D79,'Dashboard Items'!$A$2:$A$495,0)),"ID not found"))</f>
        <v/>
      </c>
    </row>
    <row r="80" spans="2:6" ht="15" customHeight="1" x14ac:dyDescent="0.2">
      <c r="B80" s="99" t="str">
        <f>IF(A80="","",IFERROR(INDEX('Dashboard Items'!$C$2:$C$495,MATCH(A80,'Dashboard Items'!$A$2:$A$495,0)),"ID not found"))</f>
        <v/>
      </c>
      <c r="C80" s="99" t="str">
        <f>IF(A80="","",IFERROR(INDEX('Dashboard Items'!$E$2:$E$495,MATCH(A80,'Dashboard Items'!$A$2:$A$495,0)),"ID not found"))</f>
        <v/>
      </c>
      <c r="E80" s="99" t="str">
        <f>IF(D80="","",IFERROR(INDEX('Dashboard Items'!$C$2:$C$495,MATCH(D80,'Dashboard Items'!$A$2:$A$495,0)),"ID not found"))</f>
        <v/>
      </c>
      <c r="F80" s="99" t="str">
        <f>IF(D80="","",IFERROR(INDEX('Dashboard Items'!$F$2:$F$495,MATCH(D80,'Dashboard Items'!$A$2:$A$495,0)),"ID not found"))</f>
        <v/>
      </c>
    </row>
    <row r="81" spans="2:6" ht="15" customHeight="1" x14ac:dyDescent="0.2">
      <c r="B81" s="99" t="str">
        <f>IF(A81="","",IFERROR(INDEX('Dashboard Items'!$C$2:$C$495,MATCH(A81,'Dashboard Items'!$A$2:$A$495,0)),"ID not found"))</f>
        <v/>
      </c>
      <c r="C81" s="99" t="str">
        <f>IF(A81="","",IFERROR(INDEX('Dashboard Items'!$E$2:$E$495,MATCH(A81,'Dashboard Items'!$A$2:$A$495,0)),"ID not found"))</f>
        <v/>
      </c>
      <c r="E81" s="99" t="str">
        <f>IF(D81="","",IFERROR(INDEX('Dashboard Items'!$C$2:$C$495,MATCH(D81,'Dashboard Items'!$A$2:$A$495,0)),"ID not found"))</f>
        <v/>
      </c>
      <c r="F81" s="99" t="str">
        <f>IF(D81="","",IFERROR(INDEX('Dashboard Items'!$F$2:$F$495,MATCH(D81,'Dashboard Items'!$A$2:$A$495,0)),"ID not found"))</f>
        <v/>
      </c>
    </row>
    <row r="82" spans="2:6" ht="15" customHeight="1" x14ac:dyDescent="0.2">
      <c r="B82" s="99" t="str">
        <f>IF(A82="","",IFERROR(INDEX('Dashboard Items'!$C$2:$C$495,MATCH(A82,'Dashboard Items'!$A$2:$A$495,0)),"ID not found"))</f>
        <v/>
      </c>
      <c r="C82" s="99" t="str">
        <f>IF(A82="","",IFERROR(INDEX('Dashboard Items'!$E$2:$E$495,MATCH(A82,'Dashboard Items'!$A$2:$A$495,0)),"ID not found"))</f>
        <v/>
      </c>
      <c r="E82" s="99" t="str">
        <f>IF(D82="","",IFERROR(INDEX('Dashboard Items'!$C$2:$C$495,MATCH(D82,'Dashboard Items'!$A$2:$A$495,0)),"ID not found"))</f>
        <v/>
      </c>
      <c r="F82" s="99" t="str">
        <f>IF(D82="","",IFERROR(INDEX('Dashboard Items'!$F$2:$F$495,MATCH(D82,'Dashboard Items'!$A$2:$A$495,0)),"ID not found"))</f>
        <v/>
      </c>
    </row>
    <row r="83" spans="2:6" ht="15" customHeight="1" x14ac:dyDescent="0.2">
      <c r="B83" s="99" t="str">
        <f>IF(A83="","",IFERROR(INDEX('Dashboard Items'!$C$2:$C$495,MATCH(A83,'Dashboard Items'!$A$2:$A$495,0)),"ID not found"))</f>
        <v/>
      </c>
      <c r="C83" s="99" t="str">
        <f>IF(A83="","",IFERROR(INDEX('Dashboard Items'!$E$2:$E$495,MATCH(A83,'Dashboard Items'!$A$2:$A$495,0)),"ID not found"))</f>
        <v/>
      </c>
      <c r="E83" s="99" t="str">
        <f>IF(D83="","",IFERROR(INDEX('Dashboard Items'!$C$2:$C$495,MATCH(D83,'Dashboard Items'!$A$2:$A$495,0)),"ID not found"))</f>
        <v/>
      </c>
      <c r="F83" s="99" t="str">
        <f>IF(D83="","",IFERROR(INDEX('Dashboard Items'!$F$2:$F$495,MATCH(D83,'Dashboard Items'!$A$2:$A$495,0)),"ID not found"))</f>
        <v/>
      </c>
    </row>
    <row r="84" spans="2:6" ht="15" customHeight="1" x14ac:dyDescent="0.2">
      <c r="B84" s="99" t="str">
        <f>IF(A84="","",IFERROR(INDEX('Dashboard Items'!$C$2:$C$495,MATCH(A84,'Dashboard Items'!$A$2:$A$495,0)),"ID not found"))</f>
        <v/>
      </c>
      <c r="C84" s="99" t="str">
        <f>IF(A84="","",IFERROR(INDEX('Dashboard Items'!$E$2:$E$495,MATCH(A84,'Dashboard Items'!$A$2:$A$495,0)),"ID not found"))</f>
        <v/>
      </c>
      <c r="E84" s="99" t="str">
        <f>IF(D84="","",IFERROR(INDEX('Dashboard Items'!$C$2:$C$495,MATCH(D84,'Dashboard Items'!$A$2:$A$495,0)),"ID not found"))</f>
        <v/>
      </c>
      <c r="F84" s="99" t="str">
        <f>IF(D84="","",IFERROR(INDEX('Dashboard Items'!$F$2:$F$495,MATCH(D84,'Dashboard Items'!$A$2:$A$495,0)),"ID not found"))</f>
        <v/>
      </c>
    </row>
    <row r="85" spans="2:6" ht="15" customHeight="1" x14ac:dyDescent="0.2">
      <c r="B85" s="99" t="str">
        <f>IF(A85="","",IFERROR(INDEX('Dashboard Items'!$C$2:$C$495,MATCH(A85,'Dashboard Items'!$A$2:$A$495,0)),"ID not found"))</f>
        <v/>
      </c>
      <c r="C85" s="99" t="str">
        <f>IF(A85="","",IFERROR(INDEX('Dashboard Items'!$E$2:$E$495,MATCH(A85,'Dashboard Items'!$A$2:$A$495,0)),"ID not found"))</f>
        <v/>
      </c>
      <c r="E85" s="99" t="str">
        <f>IF(D85="","",IFERROR(INDEX('Dashboard Items'!$C$2:$C$495,MATCH(D85,'Dashboard Items'!$A$2:$A$495,0)),"ID not found"))</f>
        <v/>
      </c>
      <c r="F85" s="99" t="str">
        <f>IF(D85="","",IFERROR(INDEX('Dashboard Items'!$F$2:$F$495,MATCH(D85,'Dashboard Items'!$A$2:$A$495,0)),"ID not found"))</f>
        <v/>
      </c>
    </row>
    <row r="86" spans="2:6" ht="15" customHeight="1" x14ac:dyDescent="0.2">
      <c r="B86" s="99" t="str">
        <f>IF(A86="","",IFERROR(INDEX('Dashboard Items'!$C$2:$C$495,MATCH(A86,'Dashboard Items'!$A$2:$A$495,0)),"ID not found"))</f>
        <v/>
      </c>
      <c r="C86" s="99" t="str">
        <f>IF(A86="","",IFERROR(INDEX('Dashboard Items'!$E$2:$E$495,MATCH(A86,'Dashboard Items'!$A$2:$A$495,0)),"ID not found"))</f>
        <v/>
      </c>
      <c r="E86" s="99" t="str">
        <f>IF(D86="","",IFERROR(INDEX('Dashboard Items'!$C$2:$C$495,MATCH(D86,'Dashboard Items'!$A$2:$A$495,0)),"ID not found"))</f>
        <v/>
      </c>
      <c r="F86" s="99" t="str">
        <f>IF(D86="","",IFERROR(INDEX('Dashboard Items'!$F$2:$F$495,MATCH(D86,'Dashboard Items'!$A$2:$A$495,0)),"ID not found"))</f>
        <v/>
      </c>
    </row>
    <row r="87" spans="2:6" ht="15" customHeight="1" x14ac:dyDescent="0.2">
      <c r="B87" s="99" t="str">
        <f>IF(A87="","",IFERROR(INDEX('Dashboard Items'!$C$2:$C$495,MATCH(A87,'Dashboard Items'!$A$2:$A$495,0)),"ID not found"))</f>
        <v/>
      </c>
      <c r="C87" s="99" t="str">
        <f>IF(A87="","",IFERROR(INDEX('Dashboard Items'!$E$2:$E$495,MATCH(A87,'Dashboard Items'!$A$2:$A$495,0)),"ID not found"))</f>
        <v/>
      </c>
      <c r="E87" s="99" t="str">
        <f>IF(D87="","",IFERROR(INDEX('Dashboard Items'!$C$2:$C$495,MATCH(D87,'Dashboard Items'!$A$2:$A$495,0)),"ID not found"))</f>
        <v/>
      </c>
      <c r="F87" s="99" t="str">
        <f>IF(D87="","",IFERROR(INDEX('Dashboard Items'!$F$2:$F$495,MATCH(D87,'Dashboard Items'!$A$2:$A$495,0)),"ID not found"))</f>
        <v/>
      </c>
    </row>
    <row r="88" spans="2:6" ht="15" customHeight="1" x14ac:dyDescent="0.2">
      <c r="B88" s="99" t="str">
        <f>IF(A88="","",IFERROR(INDEX('Dashboard Items'!$C$2:$C$495,MATCH(A88,'Dashboard Items'!$A$2:$A$495,0)),"ID not found"))</f>
        <v/>
      </c>
      <c r="C88" s="99" t="str">
        <f>IF(A88="","",IFERROR(INDEX('Dashboard Items'!$E$2:$E$495,MATCH(A88,'Dashboard Items'!$A$2:$A$495,0)),"ID not found"))</f>
        <v/>
      </c>
      <c r="E88" s="99" t="str">
        <f>IF(D88="","",IFERROR(INDEX('Dashboard Items'!$C$2:$C$495,MATCH(D88,'Dashboard Items'!$A$2:$A$495,0)),"ID not found"))</f>
        <v/>
      </c>
      <c r="F88" s="99" t="str">
        <f>IF(D88="","",IFERROR(INDEX('Dashboard Items'!$F$2:$F$495,MATCH(D88,'Dashboard Items'!$A$2:$A$495,0)),"ID not found"))</f>
        <v/>
      </c>
    </row>
    <row r="89" spans="2:6" ht="15" customHeight="1" x14ac:dyDescent="0.2">
      <c r="B89" s="99" t="str">
        <f>IF(A89="","",IFERROR(INDEX('Dashboard Items'!$C$2:$C$495,MATCH(A89,'Dashboard Items'!$A$2:$A$495,0)),"ID not found"))</f>
        <v/>
      </c>
      <c r="C89" s="99" t="str">
        <f>IF(A89="","",IFERROR(INDEX('Dashboard Items'!$E$2:$E$495,MATCH(A89,'Dashboard Items'!$A$2:$A$495,0)),"ID not found"))</f>
        <v/>
      </c>
      <c r="E89" s="99" t="str">
        <f>IF(D89="","",IFERROR(INDEX('Dashboard Items'!$C$2:$C$495,MATCH(D89,'Dashboard Items'!$A$2:$A$495,0)),"ID not found"))</f>
        <v/>
      </c>
      <c r="F89" s="99" t="str">
        <f>IF(D89="","",IFERROR(INDEX('Dashboard Items'!$F$2:$F$495,MATCH(D89,'Dashboard Items'!$A$2:$A$495,0)),"ID not found"))</f>
        <v/>
      </c>
    </row>
    <row r="90" spans="2:6" ht="15" customHeight="1" x14ac:dyDescent="0.2">
      <c r="B90" s="99" t="str">
        <f>IF(A90="","",IFERROR(INDEX('Dashboard Items'!$C$2:$C$495,MATCH(A90,'Dashboard Items'!$A$2:$A$495,0)),"ID not found"))</f>
        <v/>
      </c>
      <c r="C90" s="99" t="str">
        <f>IF(A90="","",IFERROR(INDEX('Dashboard Items'!$E$2:$E$495,MATCH(A90,'Dashboard Items'!$A$2:$A$495,0)),"ID not found"))</f>
        <v/>
      </c>
      <c r="E90" s="99" t="str">
        <f>IF(D90="","",IFERROR(INDEX('Dashboard Items'!$C$2:$C$495,MATCH(D90,'Dashboard Items'!$A$2:$A$495,0)),"ID not found"))</f>
        <v/>
      </c>
      <c r="F90" s="99" t="str">
        <f>IF(D90="","",IFERROR(INDEX('Dashboard Items'!$F$2:$F$495,MATCH(D90,'Dashboard Items'!$A$2:$A$495,0)),"ID not found"))</f>
        <v/>
      </c>
    </row>
    <row r="91" spans="2:6" ht="15" customHeight="1" x14ac:dyDescent="0.2">
      <c r="B91" s="99" t="str">
        <f>IF(A91="","",IFERROR(INDEX('Dashboard Items'!$C$2:$C$495,MATCH(A91,'Dashboard Items'!$A$2:$A$495,0)),"ID not found"))</f>
        <v/>
      </c>
      <c r="C91" s="99" t="str">
        <f>IF(A91="","",IFERROR(INDEX('Dashboard Items'!$E$2:$E$495,MATCH(A91,'Dashboard Items'!$A$2:$A$495,0)),"ID not found"))</f>
        <v/>
      </c>
      <c r="E91" s="99" t="str">
        <f>IF(D91="","",IFERROR(INDEX('Dashboard Items'!$C$2:$C$495,MATCH(D91,'Dashboard Items'!$A$2:$A$495,0)),"ID not found"))</f>
        <v/>
      </c>
      <c r="F91" s="99" t="str">
        <f>IF(D91="","",IFERROR(INDEX('Dashboard Items'!$F$2:$F$495,MATCH(D91,'Dashboard Items'!$A$2:$A$495,0)),"ID not found"))</f>
        <v/>
      </c>
    </row>
    <row r="92" spans="2:6" ht="15" customHeight="1" x14ac:dyDescent="0.2">
      <c r="B92" s="99" t="str">
        <f>IF(A92="","",IFERROR(INDEX('Dashboard Items'!$C$2:$C$495,MATCH(A92,'Dashboard Items'!$A$2:$A$495,0)),"ID not found"))</f>
        <v/>
      </c>
      <c r="C92" s="99" t="str">
        <f>IF(A92="","",IFERROR(INDEX('Dashboard Items'!$E$2:$E$495,MATCH(A92,'Dashboard Items'!$A$2:$A$495,0)),"ID not found"))</f>
        <v/>
      </c>
      <c r="E92" s="99" t="str">
        <f>IF(D92="","",IFERROR(INDEX('Dashboard Items'!$C$2:$C$495,MATCH(D92,'Dashboard Items'!$A$2:$A$495,0)),"ID not found"))</f>
        <v/>
      </c>
      <c r="F92" s="99" t="str">
        <f>IF(D92="","",IFERROR(INDEX('Dashboard Items'!$F$2:$F$495,MATCH(D92,'Dashboard Items'!$A$2:$A$495,0)),"ID not found"))</f>
        <v/>
      </c>
    </row>
    <row r="93" spans="2:6" ht="15" customHeight="1" x14ac:dyDescent="0.2">
      <c r="B93" s="99" t="str">
        <f>IF(A93="","",IFERROR(INDEX('Dashboard Items'!$C$2:$C$495,MATCH(A93,'Dashboard Items'!$A$2:$A$495,0)),"ID not found"))</f>
        <v/>
      </c>
      <c r="C93" s="99" t="str">
        <f>IF(A93="","",IFERROR(INDEX('Dashboard Items'!$E$2:$E$495,MATCH(A93,'Dashboard Items'!$A$2:$A$495,0)),"ID not found"))</f>
        <v/>
      </c>
      <c r="E93" s="99" t="str">
        <f>IF(D93="","",IFERROR(INDEX('Dashboard Items'!$C$2:$C$495,MATCH(D93,'Dashboard Items'!$A$2:$A$495,0)),"ID not found"))</f>
        <v/>
      </c>
      <c r="F93" s="99" t="str">
        <f>IF(D93="","",IFERROR(INDEX('Dashboard Items'!$F$2:$F$495,MATCH(D93,'Dashboard Items'!$A$2:$A$495,0)),"ID not found"))</f>
        <v/>
      </c>
    </row>
    <row r="94" spans="2:6" ht="15" customHeight="1" x14ac:dyDescent="0.2">
      <c r="B94" s="99" t="str">
        <f>IF(A94="","",IFERROR(INDEX('Dashboard Items'!$C$2:$C$495,MATCH(A94,'Dashboard Items'!$A$2:$A$495,0)),"ID not found"))</f>
        <v/>
      </c>
      <c r="C94" s="99" t="str">
        <f>IF(A94="","",IFERROR(INDEX('Dashboard Items'!$E$2:$E$495,MATCH(A94,'Dashboard Items'!$A$2:$A$495,0)),"ID not found"))</f>
        <v/>
      </c>
      <c r="E94" s="99" t="str">
        <f>IF(D94="","",IFERROR(INDEX('Dashboard Items'!$C$2:$C$495,MATCH(D94,'Dashboard Items'!$A$2:$A$495,0)),"ID not found"))</f>
        <v/>
      </c>
      <c r="F94" s="99" t="str">
        <f>IF(D94="","",IFERROR(INDEX('Dashboard Items'!$F$2:$F$495,MATCH(D94,'Dashboard Items'!$A$2:$A$495,0)),"ID not found"))</f>
        <v/>
      </c>
    </row>
    <row r="95" spans="2:6" ht="15" customHeight="1" x14ac:dyDescent="0.2">
      <c r="B95" s="99" t="str">
        <f>IF(A95="","",IFERROR(INDEX('Dashboard Items'!$C$2:$C$495,MATCH(A95,'Dashboard Items'!$A$2:$A$495,0)),"ID not found"))</f>
        <v/>
      </c>
      <c r="C95" s="99" t="str">
        <f>IF(A95="","",IFERROR(INDEX('Dashboard Items'!$E$2:$E$495,MATCH(A95,'Dashboard Items'!$A$2:$A$495,0)),"ID not found"))</f>
        <v/>
      </c>
      <c r="E95" s="99" t="str">
        <f>IF(D95="","",IFERROR(INDEX('Dashboard Items'!$C$2:$C$495,MATCH(D95,'Dashboard Items'!$A$2:$A$495,0)),"ID not found"))</f>
        <v/>
      </c>
      <c r="F95" s="99" t="str">
        <f>IF(D95="","",IFERROR(INDEX('Dashboard Items'!$F$2:$F$495,MATCH(D95,'Dashboard Items'!$A$2:$A$495,0)),"ID not found"))</f>
        <v/>
      </c>
    </row>
    <row r="96" spans="2:6" ht="15" customHeight="1" x14ac:dyDescent="0.2">
      <c r="B96" s="99" t="str">
        <f>IF(A96="","",IFERROR(INDEX('Dashboard Items'!$C$2:$C$495,MATCH(A96,'Dashboard Items'!$A$2:$A$495,0)),"ID not found"))</f>
        <v/>
      </c>
      <c r="C96" s="99" t="str">
        <f>IF(A96="","",IFERROR(INDEX('Dashboard Items'!$E$2:$E$495,MATCH(A96,'Dashboard Items'!$A$2:$A$495,0)),"ID not found"))</f>
        <v/>
      </c>
      <c r="E96" s="99" t="str">
        <f>IF(D96="","",IFERROR(INDEX('Dashboard Items'!$C$2:$C$495,MATCH(D96,'Dashboard Items'!$A$2:$A$495,0)),"ID not found"))</f>
        <v/>
      </c>
      <c r="F96" s="99" t="str">
        <f>IF(D96="","",IFERROR(INDEX('Dashboard Items'!$F$2:$F$495,MATCH(D96,'Dashboard Items'!$A$2:$A$495,0)),"ID not found"))</f>
        <v/>
      </c>
    </row>
    <row r="97" spans="2:6" ht="15" customHeight="1" x14ac:dyDescent="0.2">
      <c r="B97" s="99" t="str">
        <f>IF(A97="","",IFERROR(INDEX('Dashboard Items'!$C$2:$C$495,MATCH(A97,'Dashboard Items'!$A$2:$A$495,0)),"ID not found"))</f>
        <v/>
      </c>
      <c r="C97" s="99" t="str">
        <f>IF(A97="","",IFERROR(INDEX('Dashboard Items'!$E$2:$E$495,MATCH(A97,'Dashboard Items'!$A$2:$A$495,0)),"ID not found"))</f>
        <v/>
      </c>
      <c r="E97" s="99" t="str">
        <f>IF(D97="","",IFERROR(INDEX('Dashboard Items'!$C$2:$C$495,MATCH(D97,'Dashboard Items'!$A$2:$A$495,0)),"ID not found"))</f>
        <v/>
      </c>
      <c r="F97" s="99" t="str">
        <f>IF(D97="","",IFERROR(INDEX('Dashboard Items'!$F$2:$F$495,MATCH(D97,'Dashboard Items'!$A$2:$A$495,0)),"ID not found"))</f>
        <v/>
      </c>
    </row>
    <row r="98" spans="2:6" ht="15" customHeight="1" x14ac:dyDescent="0.2">
      <c r="B98" s="99" t="str">
        <f>IF(A98="","",IFERROR(INDEX('Dashboard Items'!$C$2:$C$495,MATCH(A98,'Dashboard Items'!$A$2:$A$495,0)),"ID not found"))</f>
        <v/>
      </c>
      <c r="C98" s="99" t="str">
        <f>IF(A98="","",IFERROR(INDEX('Dashboard Items'!$E$2:$E$495,MATCH(A98,'Dashboard Items'!$A$2:$A$495,0)),"ID not found"))</f>
        <v/>
      </c>
      <c r="E98" s="99" t="str">
        <f>IF(D98="","",IFERROR(INDEX('Dashboard Items'!$C$2:$C$495,MATCH(D98,'Dashboard Items'!$A$2:$A$495,0)),"ID not found"))</f>
        <v/>
      </c>
      <c r="F98" s="99" t="str">
        <f>IF(D98="","",IFERROR(INDEX('Dashboard Items'!$F$2:$F$495,MATCH(D98,'Dashboard Items'!$A$2:$A$495,0)),"ID not found"))</f>
        <v/>
      </c>
    </row>
    <row r="99" spans="2:6" ht="15" customHeight="1" x14ac:dyDescent="0.2">
      <c r="B99" s="99" t="str">
        <f>IF(A99="","",IFERROR(INDEX('Dashboard Items'!$C$2:$C$495,MATCH(A99,'Dashboard Items'!$A$2:$A$495,0)),"ID not found"))</f>
        <v/>
      </c>
      <c r="C99" s="99" t="str">
        <f>IF(A99="","",IFERROR(INDEX('Dashboard Items'!$E$2:$E$495,MATCH(A99,'Dashboard Items'!$A$2:$A$495,0)),"ID not found"))</f>
        <v/>
      </c>
      <c r="E99" s="99" t="str">
        <f>IF(D99="","",IFERROR(INDEX('Dashboard Items'!$C$2:$C$495,MATCH(D99,'Dashboard Items'!$A$2:$A$495,0)),"ID not found"))</f>
        <v/>
      </c>
      <c r="F99" s="99" t="str">
        <f>IF(D99="","",IFERROR(INDEX('Dashboard Items'!$F$2:$F$495,MATCH(D99,'Dashboard Items'!$A$2:$A$495,0)),"ID not found"))</f>
        <v/>
      </c>
    </row>
    <row r="100" spans="2:6" ht="15" customHeight="1" x14ac:dyDescent="0.2">
      <c r="B100" s="99" t="str">
        <f>IF(A100="","",IFERROR(INDEX('Dashboard Items'!$C$2:$C$495,MATCH(A100,'Dashboard Items'!$A$2:$A$495,0)),"ID not found"))</f>
        <v/>
      </c>
      <c r="C100" s="99" t="str">
        <f>IF(A100="","",IFERROR(INDEX('Dashboard Items'!$E$2:$E$495,MATCH(A100,'Dashboard Items'!$A$2:$A$495,0)),"ID not found"))</f>
        <v/>
      </c>
      <c r="E100" s="99" t="str">
        <f>IF(D100="","",IFERROR(INDEX('Dashboard Items'!$C$2:$C$495,MATCH(D100,'Dashboard Items'!$A$2:$A$495,0)),"ID not found"))</f>
        <v/>
      </c>
      <c r="F100" s="99" t="str">
        <f>IF(D100="","",IFERROR(INDEX('Dashboard Items'!$F$2:$F$495,MATCH(D100,'Dashboard Items'!$A$2:$A$495,0)),"ID not found"))</f>
        <v/>
      </c>
    </row>
    <row r="101" spans="2:6" ht="15" customHeight="1" x14ac:dyDescent="0.2">
      <c r="B101" s="99" t="str">
        <f>IF(A101="","",IFERROR(INDEX('Dashboard Items'!$C$2:$C$495,MATCH(A101,'Dashboard Items'!$A$2:$A$495,0)),"ID not found"))</f>
        <v/>
      </c>
      <c r="C101" s="99" t="str">
        <f>IF(A101="","",IFERROR(INDEX('Dashboard Items'!$E$2:$E$495,MATCH(A101,'Dashboard Items'!$A$2:$A$495,0)),"ID not found"))</f>
        <v/>
      </c>
      <c r="E101" s="99" t="str">
        <f>IF(D101="","",IFERROR(INDEX('Dashboard Items'!$C$2:$C$495,MATCH(D101,'Dashboard Items'!$A$2:$A$495,0)),"ID not found"))</f>
        <v/>
      </c>
      <c r="F101" s="99" t="str">
        <f>IF(D101="","",IFERROR(INDEX('Dashboard Items'!$F$2:$F$495,MATCH(D101,'Dashboard Items'!$A$2:$A$495,0)),"ID not found"))</f>
        <v/>
      </c>
    </row>
    <row r="102" spans="2:6" ht="15" customHeight="1" x14ac:dyDescent="0.2">
      <c r="B102" s="99" t="str">
        <f>IF(A102="","",IFERROR(INDEX('Dashboard Items'!$C$2:$C$495,MATCH(A102,'Dashboard Items'!$A$2:$A$495,0)),"ID not found"))</f>
        <v/>
      </c>
      <c r="C102" s="99" t="str">
        <f>IF(A102="","",IFERROR(INDEX('Dashboard Items'!$E$2:$E$495,MATCH(A102,'Dashboard Items'!$A$2:$A$495,0)),"ID not found"))</f>
        <v/>
      </c>
      <c r="E102" s="99" t="str">
        <f>IF(D102="","",IFERROR(INDEX('Dashboard Items'!$C$2:$C$495,MATCH(D102,'Dashboard Items'!$A$2:$A$495,0)),"ID not found"))</f>
        <v/>
      </c>
      <c r="F102" s="99" t="str">
        <f>IF(D102="","",IFERROR(INDEX('Dashboard Items'!$F$2:$F$495,MATCH(D102,'Dashboard Items'!$A$2:$A$495,0)),"ID not found"))</f>
        <v/>
      </c>
    </row>
    <row r="103" spans="2:6" ht="15" customHeight="1" x14ac:dyDescent="0.2">
      <c r="B103" s="99" t="str">
        <f>IF(A103="","",IFERROR(INDEX('Dashboard Items'!$C$2:$C$495,MATCH(A103,'Dashboard Items'!$A$2:$A$495,0)),"ID not found"))</f>
        <v/>
      </c>
      <c r="C103" s="99" t="str">
        <f>IF(A103="","",IFERROR(INDEX('Dashboard Items'!$E$2:$E$495,MATCH(A103,'Dashboard Items'!$A$2:$A$495,0)),"ID not found"))</f>
        <v/>
      </c>
      <c r="E103" s="99" t="str">
        <f>IF(D103="","",IFERROR(INDEX('Dashboard Items'!$C$2:$C$495,MATCH(D103,'Dashboard Items'!$A$2:$A$495,0)),"ID not found"))</f>
        <v/>
      </c>
      <c r="F103" s="99" t="str">
        <f>IF(D103="","",IFERROR(INDEX('Dashboard Items'!$F$2:$F$495,MATCH(D103,'Dashboard Items'!$A$2:$A$495,0)),"ID not found"))</f>
        <v/>
      </c>
    </row>
    <row r="104" spans="2:6" ht="15" customHeight="1" x14ac:dyDescent="0.2">
      <c r="B104" s="99" t="str">
        <f>IF(A104="","",IFERROR(INDEX('Dashboard Items'!$C$2:$C$495,MATCH(A104,'Dashboard Items'!$A$2:$A$495,0)),"ID not found"))</f>
        <v/>
      </c>
      <c r="C104" s="99" t="str">
        <f>IF(A104="","",IFERROR(INDEX('Dashboard Items'!$E$2:$E$495,MATCH(A104,'Dashboard Items'!$A$2:$A$495,0)),"ID not found"))</f>
        <v/>
      </c>
      <c r="E104" s="99" t="str">
        <f>IF(D104="","",IFERROR(INDEX('Dashboard Items'!$C$2:$C$495,MATCH(D104,'Dashboard Items'!$A$2:$A$495,0)),"ID not found"))</f>
        <v/>
      </c>
      <c r="F104" s="99" t="str">
        <f>IF(D104="","",IFERROR(INDEX('Dashboard Items'!$F$2:$F$495,MATCH(D104,'Dashboard Items'!$A$2:$A$495,0)),"ID not found"))</f>
        <v/>
      </c>
    </row>
    <row r="105" spans="2:6" ht="15" customHeight="1" x14ac:dyDescent="0.2">
      <c r="B105" s="99" t="str">
        <f>IF(A105="","",IFERROR(INDEX('Dashboard Items'!$C$2:$C$495,MATCH(A105,'Dashboard Items'!$A$2:$A$495,0)),"ID not found"))</f>
        <v/>
      </c>
      <c r="C105" s="99" t="str">
        <f>IF(A105="","",IFERROR(INDEX('Dashboard Items'!$E$2:$E$495,MATCH(A105,'Dashboard Items'!$A$2:$A$495,0)),"ID not found"))</f>
        <v/>
      </c>
      <c r="E105" s="99" t="str">
        <f>IF(D105="","",IFERROR(INDEX('Dashboard Items'!$C$2:$C$495,MATCH(D105,'Dashboard Items'!$A$2:$A$495,0)),"ID not found"))</f>
        <v/>
      </c>
      <c r="F105" s="99" t="str">
        <f>IF(D105="","",IFERROR(INDEX('Dashboard Items'!$F$2:$F$495,MATCH(D105,'Dashboard Items'!$A$2:$A$495,0)),"ID not found"))</f>
        <v/>
      </c>
    </row>
    <row r="106" spans="2:6" ht="15" customHeight="1" x14ac:dyDescent="0.2">
      <c r="B106" s="99" t="str">
        <f>IF(A106="","",IFERROR(INDEX('Dashboard Items'!$C$2:$C$495,MATCH(A106,'Dashboard Items'!$A$2:$A$495,0)),"ID not found"))</f>
        <v/>
      </c>
      <c r="C106" s="99" t="str">
        <f>IF(A106="","",IFERROR(INDEX('Dashboard Items'!$E$2:$E$495,MATCH(A106,'Dashboard Items'!$A$2:$A$495,0)),"ID not found"))</f>
        <v/>
      </c>
      <c r="E106" s="99" t="str">
        <f>IF(D106="","",IFERROR(INDEX('Dashboard Items'!$C$2:$C$495,MATCH(D106,'Dashboard Items'!$A$2:$A$495,0)),"ID not found"))</f>
        <v/>
      </c>
      <c r="F106" s="99" t="str">
        <f>IF(D106="","",IFERROR(INDEX('Dashboard Items'!$F$2:$F$495,MATCH(D106,'Dashboard Items'!$A$2:$A$495,0)),"ID not found"))</f>
        <v/>
      </c>
    </row>
    <row r="107" spans="2:6" ht="15" customHeight="1" x14ac:dyDescent="0.2">
      <c r="B107" s="99" t="str">
        <f>IF(A107="","",IFERROR(INDEX('Dashboard Items'!$C$2:$C$495,MATCH(A107,'Dashboard Items'!$A$2:$A$495,0)),"ID not found"))</f>
        <v/>
      </c>
      <c r="C107" s="99" t="str">
        <f>IF(A107="","",IFERROR(INDEX('Dashboard Items'!$E$2:$E$495,MATCH(A107,'Dashboard Items'!$A$2:$A$495,0)),"ID not found"))</f>
        <v/>
      </c>
      <c r="E107" s="99" t="str">
        <f>IF(D107="","",IFERROR(INDEX('Dashboard Items'!$C$2:$C$495,MATCH(D107,'Dashboard Items'!$A$2:$A$495,0)),"ID not found"))</f>
        <v/>
      </c>
      <c r="F107" s="99" t="str">
        <f>IF(D107="","",IFERROR(INDEX('Dashboard Items'!$F$2:$F$495,MATCH(D107,'Dashboard Items'!$A$2:$A$495,0)),"ID not found"))</f>
        <v/>
      </c>
    </row>
    <row r="108" spans="2:6" ht="15" customHeight="1" x14ac:dyDescent="0.2">
      <c r="B108" s="99" t="str">
        <f>IF(A108="","",IFERROR(INDEX('Dashboard Items'!$C$2:$C$495,MATCH(A108,'Dashboard Items'!$A$2:$A$495,0)),"ID not found"))</f>
        <v/>
      </c>
      <c r="C108" s="99" t="str">
        <f>IF(A108="","",IFERROR(INDEX('Dashboard Items'!$E$2:$E$495,MATCH(A108,'Dashboard Items'!$A$2:$A$495,0)),"ID not found"))</f>
        <v/>
      </c>
      <c r="E108" s="99" t="str">
        <f>IF(D108="","",IFERROR(INDEX('Dashboard Items'!$C$2:$C$495,MATCH(D108,'Dashboard Items'!$A$2:$A$495,0)),"ID not found"))</f>
        <v/>
      </c>
      <c r="F108" s="99" t="str">
        <f>IF(D108="","",IFERROR(INDEX('Dashboard Items'!$F$2:$F$495,MATCH(D108,'Dashboard Items'!$A$2:$A$495,0)),"ID not found"))</f>
        <v/>
      </c>
    </row>
    <row r="109" spans="2:6" ht="15" customHeight="1" x14ac:dyDescent="0.2">
      <c r="B109" s="99" t="str">
        <f>IF(A109="","",IFERROR(INDEX('Dashboard Items'!$C$2:$C$495,MATCH(A109,'Dashboard Items'!$A$2:$A$495,0)),"ID not found"))</f>
        <v/>
      </c>
      <c r="C109" s="99" t="str">
        <f>IF(A109="","",IFERROR(INDEX('Dashboard Items'!$E$2:$E$495,MATCH(A109,'Dashboard Items'!$A$2:$A$495,0)),"ID not found"))</f>
        <v/>
      </c>
      <c r="E109" s="99" t="str">
        <f>IF(D109="","",IFERROR(INDEX('Dashboard Items'!$C$2:$C$495,MATCH(D109,'Dashboard Items'!$A$2:$A$495,0)),"ID not found"))</f>
        <v/>
      </c>
      <c r="F109" s="99" t="str">
        <f>IF(D109="","",IFERROR(INDEX('Dashboard Items'!$F$2:$F$495,MATCH(D109,'Dashboard Items'!$A$2:$A$495,0)),"ID not found"))</f>
        <v/>
      </c>
    </row>
    <row r="110" spans="2:6" ht="15" customHeight="1" x14ac:dyDescent="0.2">
      <c r="B110" s="99" t="str">
        <f>IF(A110="","",IFERROR(INDEX('Dashboard Items'!$C$2:$C$495,MATCH(A110,'Dashboard Items'!$A$2:$A$495,0)),"ID not found"))</f>
        <v/>
      </c>
      <c r="C110" s="99" t="str">
        <f>IF(A110="","",IFERROR(INDEX('Dashboard Items'!$E$2:$E$495,MATCH(A110,'Dashboard Items'!$A$2:$A$495,0)),"ID not found"))</f>
        <v/>
      </c>
      <c r="E110" s="99" t="str">
        <f>IF(D110="","",IFERROR(INDEX('Dashboard Items'!$C$2:$C$495,MATCH(D110,'Dashboard Items'!$A$2:$A$495,0)),"ID not found"))</f>
        <v/>
      </c>
      <c r="F110" s="99" t="str">
        <f>IF(D110="","",IFERROR(INDEX('Dashboard Items'!$F$2:$F$495,MATCH(D110,'Dashboard Items'!$A$2:$A$495,0)),"ID not found"))</f>
        <v/>
      </c>
    </row>
    <row r="111" spans="2:6" ht="15" customHeight="1" x14ac:dyDescent="0.2">
      <c r="B111" s="99" t="str">
        <f>IF(A111="","",IFERROR(INDEX('Dashboard Items'!$C$2:$C$495,MATCH(A111,'Dashboard Items'!$A$2:$A$495,0)),"ID not found"))</f>
        <v/>
      </c>
      <c r="C111" s="99" t="str">
        <f>IF(A111="","",IFERROR(INDEX('Dashboard Items'!$E$2:$E$495,MATCH(A111,'Dashboard Items'!$A$2:$A$495,0)),"ID not found"))</f>
        <v/>
      </c>
      <c r="E111" s="99" t="str">
        <f>IF(D111="","",IFERROR(INDEX('Dashboard Items'!$C$2:$C$495,MATCH(D111,'Dashboard Items'!$A$2:$A$495,0)),"ID not found"))</f>
        <v/>
      </c>
      <c r="F111" s="99" t="str">
        <f>IF(D111="","",IFERROR(INDEX('Dashboard Items'!$F$2:$F$495,MATCH(D111,'Dashboard Items'!$A$2:$A$495,0)),"ID not found"))</f>
        <v/>
      </c>
    </row>
    <row r="112" spans="2:6" ht="15" customHeight="1" x14ac:dyDescent="0.2">
      <c r="B112" s="99" t="str">
        <f>IF(A112="","",IFERROR(INDEX('Dashboard Items'!$C$2:$C$495,MATCH(A112,'Dashboard Items'!$A$2:$A$495,0)),"ID not found"))</f>
        <v/>
      </c>
      <c r="C112" s="99" t="str">
        <f>IF(A112="","",IFERROR(INDEX('Dashboard Items'!$E$2:$E$495,MATCH(A112,'Dashboard Items'!$A$2:$A$495,0)),"ID not found"))</f>
        <v/>
      </c>
      <c r="E112" s="99" t="str">
        <f>IF(D112="","",IFERROR(INDEX('Dashboard Items'!$C$2:$C$495,MATCH(D112,'Dashboard Items'!$A$2:$A$495,0)),"ID not found"))</f>
        <v/>
      </c>
      <c r="F112" s="99" t="str">
        <f>IF(D112="","",IFERROR(INDEX('Dashboard Items'!$F$2:$F$495,MATCH(D112,'Dashboard Items'!$A$2:$A$495,0)),"ID not found"))</f>
        <v/>
      </c>
    </row>
    <row r="113" spans="2:6" ht="15" customHeight="1" x14ac:dyDescent="0.2">
      <c r="B113" s="99" t="str">
        <f>IF(A113="","",IFERROR(INDEX('Dashboard Items'!$C$2:$C$495,MATCH(A113,'Dashboard Items'!$A$2:$A$495,0)),"ID not found"))</f>
        <v/>
      </c>
      <c r="C113" s="99" t="str">
        <f>IF(A113="","",IFERROR(INDEX('Dashboard Items'!$E$2:$E$495,MATCH(A113,'Dashboard Items'!$A$2:$A$495,0)),"ID not found"))</f>
        <v/>
      </c>
      <c r="E113" s="99" t="str">
        <f>IF(D113="","",IFERROR(INDEX('Dashboard Items'!$C$2:$C$495,MATCH(D113,'Dashboard Items'!$A$2:$A$495,0)),"ID not found"))</f>
        <v/>
      </c>
      <c r="F113" s="99" t="str">
        <f>IF(D113="","",IFERROR(INDEX('Dashboard Items'!$F$2:$F$495,MATCH(D113,'Dashboard Items'!$A$2:$A$495,0)),"ID not found"))</f>
        <v/>
      </c>
    </row>
    <row r="114" spans="2:6" ht="15" customHeight="1" x14ac:dyDescent="0.2">
      <c r="B114" s="99" t="str">
        <f>IF(A114="","",IFERROR(INDEX('Dashboard Items'!$C$2:$C$495,MATCH(A114,'Dashboard Items'!$A$2:$A$495,0)),"ID not found"))</f>
        <v/>
      </c>
      <c r="C114" s="99" t="str">
        <f>IF(A114="","",IFERROR(INDEX('Dashboard Items'!$E$2:$E$495,MATCH(A114,'Dashboard Items'!$A$2:$A$495,0)),"ID not found"))</f>
        <v/>
      </c>
      <c r="E114" s="99" t="str">
        <f>IF(D114="","",IFERROR(INDEX('Dashboard Items'!$C$2:$C$495,MATCH(D114,'Dashboard Items'!$A$2:$A$495,0)),"ID not found"))</f>
        <v/>
      </c>
      <c r="F114" s="99" t="str">
        <f>IF(D114="","",IFERROR(INDEX('Dashboard Items'!$F$2:$F$495,MATCH(D114,'Dashboard Items'!$A$2:$A$495,0)),"ID not found"))</f>
        <v/>
      </c>
    </row>
    <row r="115" spans="2:6" ht="15" customHeight="1" x14ac:dyDescent="0.2">
      <c r="B115" s="99" t="str">
        <f>IF(A115="","",IFERROR(INDEX('Dashboard Items'!$C$2:$C$495,MATCH(A115,'Dashboard Items'!$A$2:$A$495,0)),"ID not found"))</f>
        <v/>
      </c>
      <c r="C115" s="99" t="str">
        <f>IF(A115="","",IFERROR(INDEX('Dashboard Items'!$E$2:$E$495,MATCH(A115,'Dashboard Items'!$A$2:$A$495,0)),"ID not found"))</f>
        <v/>
      </c>
      <c r="E115" s="99" t="str">
        <f>IF(D115="","",IFERROR(INDEX('Dashboard Items'!$C$2:$C$495,MATCH(D115,'Dashboard Items'!$A$2:$A$495,0)),"ID not found"))</f>
        <v/>
      </c>
      <c r="F115" s="99" t="str">
        <f>IF(D115="","",IFERROR(INDEX('Dashboard Items'!$F$2:$F$495,MATCH(D115,'Dashboard Items'!$A$2:$A$495,0)),"ID not found"))</f>
        <v/>
      </c>
    </row>
    <row r="116" spans="2:6" ht="15" customHeight="1" x14ac:dyDescent="0.2">
      <c r="B116" s="99" t="str">
        <f>IF(A116="","",IFERROR(INDEX('Dashboard Items'!$C$2:$C$495,MATCH(A116,'Dashboard Items'!$A$2:$A$495,0)),"ID not found"))</f>
        <v/>
      </c>
      <c r="C116" s="99" t="str">
        <f>IF(A116="","",IFERROR(INDEX('Dashboard Items'!$E$2:$E$495,MATCH(A116,'Dashboard Items'!$A$2:$A$495,0)),"ID not found"))</f>
        <v/>
      </c>
      <c r="E116" s="99" t="str">
        <f>IF(D116="","",IFERROR(INDEX('Dashboard Items'!$C$2:$C$495,MATCH(D116,'Dashboard Items'!$A$2:$A$495,0)),"ID not found"))</f>
        <v/>
      </c>
      <c r="F116" s="99" t="str">
        <f>IF(D116="","",IFERROR(INDEX('Dashboard Items'!$F$2:$F$495,MATCH(D116,'Dashboard Items'!$A$2:$A$495,0)),"ID not found"))</f>
        <v/>
      </c>
    </row>
    <row r="117" spans="2:6" ht="15" customHeight="1" x14ac:dyDescent="0.2">
      <c r="B117" s="99" t="str">
        <f>IF(A117="","",IFERROR(INDEX('Dashboard Items'!$C$2:$C$495,MATCH(A117,'Dashboard Items'!$A$2:$A$495,0)),"ID not found"))</f>
        <v/>
      </c>
      <c r="C117" s="99" t="str">
        <f>IF(A117="","",IFERROR(INDEX('Dashboard Items'!$E$2:$E$495,MATCH(A117,'Dashboard Items'!$A$2:$A$495,0)),"ID not found"))</f>
        <v/>
      </c>
      <c r="E117" s="99" t="str">
        <f>IF(D117="","",IFERROR(INDEX('Dashboard Items'!$C$2:$C$495,MATCH(D117,'Dashboard Items'!$A$2:$A$495,0)),"ID not found"))</f>
        <v/>
      </c>
      <c r="F117" s="99" t="str">
        <f>IF(D117="","",IFERROR(INDEX('Dashboard Items'!$F$2:$F$495,MATCH(D117,'Dashboard Items'!$A$2:$A$495,0)),"ID not found"))</f>
        <v/>
      </c>
    </row>
    <row r="118" spans="2:6" ht="15" customHeight="1" x14ac:dyDescent="0.2">
      <c r="B118" s="99" t="str">
        <f>IF(A118="","",IFERROR(INDEX('Dashboard Items'!$C$2:$C$495,MATCH(A118,'Dashboard Items'!$A$2:$A$495,0)),"ID not found"))</f>
        <v/>
      </c>
      <c r="C118" s="99" t="str">
        <f>IF(A118="","",IFERROR(INDEX('Dashboard Items'!$E$2:$E$495,MATCH(A118,'Dashboard Items'!$A$2:$A$495,0)),"ID not found"))</f>
        <v/>
      </c>
      <c r="E118" s="99" t="str">
        <f>IF(D118="","",IFERROR(INDEX('Dashboard Items'!$C$2:$C$495,MATCH(D118,'Dashboard Items'!$A$2:$A$495,0)),"ID not found"))</f>
        <v/>
      </c>
      <c r="F118" s="99" t="str">
        <f>IF(D118="","",IFERROR(INDEX('Dashboard Items'!$F$2:$F$495,MATCH(D118,'Dashboard Items'!$A$2:$A$495,0)),"ID not found"))</f>
        <v/>
      </c>
    </row>
    <row r="119" spans="2:6" ht="15" customHeight="1" x14ac:dyDescent="0.2">
      <c r="B119" s="99" t="str">
        <f>IF(A119="","",IFERROR(INDEX('Dashboard Items'!$C$2:$C$495,MATCH(A119,'Dashboard Items'!$A$2:$A$495,0)),"ID not found"))</f>
        <v/>
      </c>
      <c r="C119" s="99" t="str">
        <f>IF(A119="","",IFERROR(INDEX('Dashboard Items'!$E$2:$E$495,MATCH(A119,'Dashboard Items'!$A$2:$A$495,0)),"ID not found"))</f>
        <v/>
      </c>
      <c r="E119" s="99" t="str">
        <f>IF(D119="","",IFERROR(INDEX('Dashboard Items'!$C$2:$C$495,MATCH(D119,'Dashboard Items'!$A$2:$A$495,0)),"ID not found"))</f>
        <v/>
      </c>
      <c r="F119" s="99" t="str">
        <f>IF(D119="","",IFERROR(INDEX('Dashboard Items'!$F$2:$F$495,MATCH(D119,'Dashboard Items'!$A$2:$A$495,0)),"ID not found"))</f>
        <v/>
      </c>
    </row>
    <row r="120" spans="2:6" ht="15" customHeight="1" x14ac:dyDescent="0.2">
      <c r="B120" s="99" t="str">
        <f>IF(A120="","",IFERROR(INDEX('Dashboard Items'!$C$2:$C$495,MATCH(A120,'Dashboard Items'!$A$2:$A$495,0)),"ID not found"))</f>
        <v/>
      </c>
      <c r="C120" s="99" t="str">
        <f>IF(A120="","",IFERROR(INDEX('Dashboard Items'!$E$2:$E$495,MATCH(A120,'Dashboard Items'!$A$2:$A$495,0)),"ID not found"))</f>
        <v/>
      </c>
      <c r="E120" s="99" t="str">
        <f>IF(D120="","",IFERROR(INDEX('Dashboard Items'!$C$2:$C$495,MATCH(D120,'Dashboard Items'!$A$2:$A$495,0)),"ID not found"))</f>
        <v/>
      </c>
      <c r="F120" s="99" t="str">
        <f>IF(D120="","",IFERROR(INDEX('Dashboard Items'!$F$2:$F$495,MATCH(D120,'Dashboard Items'!$A$2:$A$495,0)),"ID not found"))</f>
        <v/>
      </c>
    </row>
    <row r="121" spans="2:6" ht="15" customHeight="1" x14ac:dyDescent="0.2">
      <c r="B121" s="99" t="str">
        <f>IF(A121="","",IFERROR(INDEX('Dashboard Items'!$C$2:$C$495,MATCH(A121,'Dashboard Items'!$A$2:$A$495,0)),"ID not found"))</f>
        <v/>
      </c>
      <c r="C121" s="99" t="str">
        <f>IF(A121="","",IFERROR(INDEX('Dashboard Items'!$E$2:$E$495,MATCH(A121,'Dashboard Items'!$A$2:$A$495,0)),"ID not found"))</f>
        <v/>
      </c>
      <c r="E121" s="99" t="str">
        <f>IF(D121="","",IFERROR(INDEX('Dashboard Items'!$C$2:$C$495,MATCH(D121,'Dashboard Items'!$A$2:$A$495,0)),"ID not found"))</f>
        <v/>
      </c>
      <c r="F121" s="99" t="str">
        <f>IF(D121="","",IFERROR(INDEX('Dashboard Items'!$F$2:$F$495,MATCH(D121,'Dashboard Items'!$A$2:$A$495,0)),"ID not found"))</f>
        <v/>
      </c>
    </row>
    <row r="122" spans="2:6" ht="15" customHeight="1" x14ac:dyDescent="0.2">
      <c r="B122" s="99" t="str">
        <f>IF(A122="","",IFERROR(INDEX('Dashboard Items'!$C$2:$C$495,MATCH(A122,'Dashboard Items'!$A$2:$A$495,0)),"ID not found"))</f>
        <v/>
      </c>
      <c r="C122" s="99" t="str">
        <f>IF(A122="","",IFERROR(INDEX('Dashboard Items'!$E$2:$E$495,MATCH(A122,'Dashboard Items'!$A$2:$A$495,0)),"ID not found"))</f>
        <v/>
      </c>
      <c r="E122" s="99" t="str">
        <f>IF(D122="","",IFERROR(INDEX('Dashboard Items'!$C$2:$C$495,MATCH(D122,'Dashboard Items'!$A$2:$A$495,0)),"ID not found"))</f>
        <v/>
      </c>
      <c r="F122" s="99" t="str">
        <f>IF(D122="","",IFERROR(INDEX('Dashboard Items'!$F$2:$F$495,MATCH(D122,'Dashboard Items'!$A$2:$A$495,0)),"ID not found"))</f>
        <v/>
      </c>
    </row>
    <row r="123" spans="2:6" ht="15" customHeight="1" x14ac:dyDescent="0.2">
      <c r="B123" s="99" t="str">
        <f>IF(A123="","",IFERROR(INDEX('Dashboard Items'!$C$2:$C$495,MATCH(A123,'Dashboard Items'!$A$2:$A$495,0)),"ID not found"))</f>
        <v/>
      </c>
      <c r="C123" s="99" t="str">
        <f>IF(A123="","",IFERROR(INDEX('Dashboard Items'!$E$2:$E$495,MATCH(A123,'Dashboard Items'!$A$2:$A$495,0)),"ID not found"))</f>
        <v/>
      </c>
      <c r="E123" s="99" t="str">
        <f>IF(D123="","",IFERROR(INDEX('Dashboard Items'!$C$2:$C$495,MATCH(D123,'Dashboard Items'!$A$2:$A$495,0)),"ID not found"))</f>
        <v/>
      </c>
      <c r="F123" s="99" t="str">
        <f>IF(D123="","",IFERROR(INDEX('Dashboard Items'!$F$2:$F$495,MATCH(D123,'Dashboard Items'!$A$2:$A$495,0)),"ID not found"))</f>
        <v/>
      </c>
    </row>
    <row r="124" spans="2:6" ht="15" customHeight="1" x14ac:dyDescent="0.2">
      <c r="B124" s="99" t="str">
        <f>IF(A124="","",IFERROR(INDEX('Dashboard Items'!$C$2:$C$495,MATCH(A124,'Dashboard Items'!$A$2:$A$495,0)),"ID not found"))</f>
        <v/>
      </c>
      <c r="C124" s="99" t="str">
        <f>IF(A124="","",IFERROR(INDEX('Dashboard Items'!$E$2:$E$495,MATCH(A124,'Dashboard Items'!$A$2:$A$495,0)),"ID not found"))</f>
        <v/>
      </c>
      <c r="E124" s="99" t="str">
        <f>IF(D124="","",IFERROR(INDEX('Dashboard Items'!$C$2:$C$495,MATCH(D124,'Dashboard Items'!$A$2:$A$495,0)),"ID not found"))</f>
        <v/>
      </c>
      <c r="F124" s="99" t="str">
        <f>IF(D124="","",IFERROR(INDEX('Dashboard Items'!$F$2:$F$495,MATCH(D124,'Dashboard Items'!$A$2:$A$495,0)),"ID not found"))</f>
        <v/>
      </c>
    </row>
    <row r="125" spans="2:6" ht="15" customHeight="1" x14ac:dyDescent="0.2">
      <c r="B125" s="99" t="str">
        <f>IF(A125="","",IFERROR(INDEX('Dashboard Items'!$C$2:$C$495,MATCH(A125,'Dashboard Items'!$A$2:$A$495,0)),"ID not found"))</f>
        <v/>
      </c>
      <c r="C125" s="99" t="str">
        <f>IF(A125="","",IFERROR(INDEX('Dashboard Items'!$E$2:$E$495,MATCH(A125,'Dashboard Items'!$A$2:$A$495,0)),"ID not found"))</f>
        <v/>
      </c>
      <c r="E125" s="99" t="str">
        <f>IF(D125="","",IFERROR(INDEX('Dashboard Items'!$C$2:$C$495,MATCH(D125,'Dashboard Items'!$A$2:$A$495,0)),"ID not found"))</f>
        <v/>
      </c>
      <c r="F125" s="99" t="str">
        <f>IF(D125="","",IFERROR(INDEX('Dashboard Items'!$F$2:$F$495,MATCH(D125,'Dashboard Items'!$A$2:$A$495,0)),"ID not found"))</f>
        <v/>
      </c>
    </row>
    <row r="126" spans="2:6" ht="15" customHeight="1" x14ac:dyDescent="0.2">
      <c r="B126" s="99" t="str">
        <f>IF(A126="","",IFERROR(INDEX('Dashboard Items'!$C$2:$C$495,MATCH(A126,'Dashboard Items'!$A$2:$A$495,0)),"ID not found"))</f>
        <v/>
      </c>
      <c r="C126" s="99" t="str">
        <f>IF(A126="","",IFERROR(INDEX('Dashboard Items'!$E$2:$E$495,MATCH(A126,'Dashboard Items'!$A$2:$A$495,0)),"ID not found"))</f>
        <v/>
      </c>
      <c r="E126" s="99" t="str">
        <f>IF(D126="","",IFERROR(INDEX('Dashboard Items'!$C$2:$C$495,MATCH(D126,'Dashboard Items'!$A$2:$A$495,0)),"ID not found"))</f>
        <v/>
      </c>
      <c r="F126" s="99" t="str">
        <f>IF(D126="","",IFERROR(INDEX('Dashboard Items'!$F$2:$F$495,MATCH(D126,'Dashboard Items'!$A$2:$A$495,0)),"ID not found"))</f>
        <v/>
      </c>
    </row>
    <row r="127" spans="2:6" ht="15" customHeight="1" x14ac:dyDescent="0.2">
      <c r="B127" s="99" t="str">
        <f>IF(A127="","",IFERROR(INDEX('Dashboard Items'!$C$2:$C$495,MATCH(A127,'Dashboard Items'!$A$2:$A$495,0)),"ID not found"))</f>
        <v/>
      </c>
      <c r="C127" s="99" t="str">
        <f>IF(A127="","",IFERROR(INDEX('Dashboard Items'!$E$2:$E$495,MATCH(A127,'Dashboard Items'!$A$2:$A$495,0)),"ID not found"))</f>
        <v/>
      </c>
      <c r="E127" s="99" t="str">
        <f>IF(D127="","",IFERROR(INDEX('Dashboard Items'!$C$2:$C$495,MATCH(D127,'Dashboard Items'!$A$2:$A$495,0)),"ID not found"))</f>
        <v/>
      </c>
      <c r="F127" s="99" t="str">
        <f>IF(D127="","",IFERROR(INDEX('Dashboard Items'!$F$2:$F$495,MATCH(D127,'Dashboard Items'!$A$2:$A$495,0)),"ID not found"))</f>
        <v/>
      </c>
    </row>
    <row r="128" spans="2:6" ht="15" customHeight="1" x14ac:dyDescent="0.2">
      <c r="B128" s="99" t="str">
        <f>IF(A128="","",IFERROR(INDEX('Dashboard Items'!$C$2:$C$495,MATCH(A128,'Dashboard Items'!$A$2:$A$495,0)),"ID not found"))</f>
        <v/>
      </c>
      <c r="C128" s="99" t="str">
        <f>IF(A128="","",IFERROR(INDEX('Dashboard Items'!$E$2:$E$495,MATCH(A128,'Dashboard Items'!$A$2:$A$495,0)),"ID not found"))</f>
        <v/>
      </c>
      <c r="E128" s="99" t="str">
        <f>IF(D128="","",IFERROR(INDEX('Dashboard Items'!$C$2:$C$495,MATCH(D128,'Dashboard Items'!$A$2:$A$495,0)),"ID not found"))</f>
        <v/>
      </c>
      <c r="F128" s="99" t="str">
        <f>IF(D128="","",IFERROR(INDEX('Dashboard Items'!$F$2:$F$495,MATCH(D128,'Dashboard Items'!$A$2:$A$495,0)),"ID not found"))</f>
        <v/>
      </c>
    </row>
    <row r="129" spans="2:6" ht="15" customHeight="1" x14ac:dyDescent="0.2">
      <c r="B129" s="99" t="str">
        <f>IF(A129="","",IFERROR(INDEX('Dashboard Items'!$C$2:$C$495,MATCH(A129,'Dashboard Items'!$A$2:$A$495,0)),"ID not found"))</f>
        <v/>
      </c>
      <c r="C129" s="99" t="str">
        <f>IF(A129="","",IFERROR(INDEX('Dashboard Items'!$E$2:$E$495,MATCH(A129,'Dashboard Items'!$A$2:$A$495,0)),"ID not found"))</f>
        <v/>
      </c>
      <c r="E129" s="99" t="str">
        <f>IF(D129="","",IFERROR(INDEX('Dashboard Items'!$C$2:$C$495,MATCH(D129,'Dashboard Items'!$A$2:$A$495,0)),"ID not found"))</f>
        <v/>
      </c>
      <c r="F129" s="99" t="str">
        <f>IF(D129="","",IFERROR(INDEX('Dashboard Items'!$F$2:$F$495,MATCH(D129,'Dashboard Items'!$A$2:$A$495,0)),"ID not found"))</f>
        <v/>
      </c>
    </row>
    <row r="130" spans="2:6" ht="15" customHeight="1" x14ac:dyDescent="0.2">
      <c r="B130" s="99" t="str">
        <f>IF(A130="","",IFERROR(INDEX('Dashboard Items'!$C$2:$C$495,MATCH(A130,'Dashboard Items'!$A$2:$A$495,0)),"ID not found"))</f>
        <v/>
      </c>
      <c r="C130" s="99" t="str">
        <f>IF(A130="","",IFERROR(INDEX('Dashboard Items'!$E$2:$E$495,MATCH(A130,'Dashboard Items'!$A$2:$A$495,0)),"ID not found"))</f>
        <v/>
      </c>
      <c r="E130" s="99" t="str">
        <f>IF(D130="","",IFERROR(INDEX('Dashboard Items'!$C$2:$C$495,MATCH(D130,'Dashboard Items'!$A$2:$A$495,0)),"ID not found"))</f>
        <v/>
      </c>
      <c r="F130" s="99" t="str">
        <f>IF(D130="","",IFERROR(INDEX('Dashboard Items'!$F$2:$F$495,MATCH(D130,'Dashboard Items'!$A$2:$A$495,0)),"ID not found"))</f>
        <v/>
      </c>
    </row>
    <row r="131" spans="2:6" ht="15" customHeight="1" x14ac:dyDescent="0.2">
      <c r="B131" s="99" t="str">
        <f>IF(A131="","",IFERROR(INDEX('Dashboard Items'!$C$2:$C$495,MATCH(A131,'Dashboard Items'!$A$2:$A$495,0)),"ID not found"))</f>
        <v/>
      </c>
      <c r="C131" s="99" t="str">
        <f>IF(A131="","",IFERROR(INDEX('Dashboard Items'!$E$2:$E$495,MATCH(A131,'Dashboard Items'!$A$2:$A$495,0)),"ID not found"))</f>
        <v/>
      </c>
      <c r="E131" s="99" t="str">
        <f>IF(D131="","",IFERROR(INDEX('Dashboard Items'!$C$2:$C$495,MATCH(D131,'Dashboard Items'!$A$2:$A$495,0)),"ID not found"))</f>
        <v/>
      </c>
      <c r="F131" s="99" t="str">
        <f>IF(D131="","",IFERROR(INDEX('Dashboard Items'!$F$2:$F$495,MATCH(D131,'Dashboard Items'!$A$2:$A$495,0)),"ID not found"))</f>
        <v/>
      </c>
    </row>
    <row r="132" spans="2:6" ht="15" customHeight="1" x14ac:dyDescent="0.2">
      <c r="B132" s="99" t="str">
        <f>IF(A132="","",IFERROR(INDEX('Dashboard Items'!$C$2:$C$495,MATCH(A132,'Dashboard Items'!$A$2:$A$495,0)),"ID not found"))</f>
        <v/>
      </c>
      <c r="C132" s="99" t="str">
        <f>IF(A132="","",IFERROR(INDEX('Dashboard Items'!$E$2:$E$495,MATCH(A132,'Dashboard Items'!$A$2:$A$495,0)),"ID not found"))</f>
        <v/>
      </c>
      <c r="E132" s="99" t="str">
        <f>IF(D132="","",IFERROR(INDEX('Dashboard Items'!$C$2:$C$495,MATCH(D132,'Dashboard Items'!$A$2:$A$495,0)),"ID not found"))</f>
        <v/>
      </c>
      <c r="F132" s="99" t="str">
        <f>IF(D132="","",IFERROR(INDEX('Dashboard Items'!$F$2:$F$495,MATCH(D132,'Dashboard Items'!$A$2:$A$495,0)),"ID not found"))</f>
        <v/>
      </c>
    </row>
    <row r="133" spans="2:6" ht="15" customHeight="1" x14ac:dyDescent="0.2">
      <c r="B133" s="99" t="str">
        <f>IF(A133="","",IFERROR(INDEX('Dashboard Items'!$C$2:$C$495,MATCH(A133,'Dashboard Items'!$A$2:$A$495,0)),"ID not found"))</f>
        <v/>
      </c>
      <c r="C133" s="99" t="str">
        <f>IF(A133="","",IFERROR(INDEX('Dashboard Items'!$E$2:$E$495,MATCH(A133,'Dashboard Items'!$A$2:$A$495,0)),"ID not found"))</f>
        <v/>
      </c>
      <c r="E133" s="99" t="str">
        <f>IF(D133="","",IFERROR(INDEX('Dashboard Items'!$C$2:$C$495,MATCH(D133,'Dashboard Items'!$A$2:$A$495,0)),"ID not found"))</f>
        <v/>
      </c>
      <c r="F133" s="99" t="str">
        <f>IF(D133="","",IFERROR(INDEX('Dashboard Items'!$F$2:$F$495,MATCH(D133,'Dashboard Items'!$A$2:$A$495,0)),"ID not found"))</f>
        <v/>
      </c>
    </row>
    <row r="134" spans="2:6" ht="15" customHeight="1" x14ac:dyDescent="0.2">
      <c r="B134" s="99" t="str">
        <f>IF(A134="","",IFERROR(INDEX('Dashboard Items'!$C$2:$C$495,MATCH(A134,'Dashboard Items'!$A$2:$A$495,0)),"ID not found"))</f>
        <v/>
      </c>
      <c r="C134" s="99" t="str">
        <f>IF(A134="","",IFERROR(INDEX('Dashboard Items'!$E$2:$E$495,MATCH(A134,'Dashboard Items'!$A$2:$A$495,0)),"ID not found"))</f>
        <v/>
      </c>
      <c r="E134" s="99" t="str">
        <f>IF(D134="","",IFERROR(INDEX('Dashboard Items'!$C$2:$C$495,MATCH(D134,'Dashboard Items'!$A$2:$A$495,0)),"ID not found"))</f>
        <v/>
      </c>
      <c r="F134" s="99" t="str">
        <f>IF(D134="","",IFERROR(INDEX('Dashboard Items'!$F$2:$F$495,MATCH(D134,'Dashboard Items'!$A$2:$A$495,0)),"ID not found"))</f>
        <v/>
      </c>
    </row>
    <row r="135" spans="2:6" ht="15" customHeight="1" x14ac:dyDescent="0.2">
      <c r="B135" s="99" t="str">
        <f>IF(A135="","",IFERROR(INDEX('Dashboard Items'!$C$2:$C$495,MATCH(A135,'Dashboard Items'!$A$2:$A$495,0)),"ID not found"))</f>
        <v/>
      </c>
      <c r="C135" s="99" t="str">
        <f>IF(A135="","",IFERROR(INDEX('Dashboard Items'!$E$2:$E$495,MATCH(A135,'Dashboard Items'!$A$2:$A$495,0)),"ID not found"))</f>
        <v/>
      </c>
      <c r="E135" s="99" t="str">
        <f>IF(D135="","",IFERROR(INDEX('Dashboard Items'!$C$2:$C$495,MATCH(D135,'Dashboard Items'!$A$2:$A$495,0)),"ID not found"))</f>
        <v/>
      </c>
      <c r="F135" s="99" t="str">
        <f>IF(D135="","",IFERROR(INDEX('Dashboard Items'!$F$2:$F$495,MATCH(D135,'Dashboard Items'!$A$2:$A$495,0)),"ID not found"))</f>
        <v/>
      </c>
    </row>
    <row r="136" spans="2:6" ht="15" customHeight="1" x14ac:dyDescent="0.2">
      <c r="B136" s="99" t="str">
        <f>IF(A136="","",IFERROR(INDEX('Dashboard Items'!$C$2:$C$495,MATCH(A136,'Dashboard Items'!$A$2:$A$495,0)),"ID not found"))</f>
        <v/>
      </c>
      <c r="C136" s="99" t="str">
        <f>IF(A136="","",IFERROR(INDEX('Dashboard Items'!$E$2:$E$495,MATCH(A136,'Dashboard Items'!$A$2:$A$495,0)),"ID not found"))</f>
        <v/>
      </c>
      <c r="E136" s="99" t="str">
        <f>IF(D136="","",IFERROR(INDEX('Dashboard Items'!$C$2:$C$495,MATCH(D136,'Dashboard Items'!$A$2:$A$495,0)),"ID not found"))</f>
        <v/>
      </c>
      <c r="F136" s="99" t="str">
        <f>IF(D136="","",IFERROR(INDEX('Dashboard Items'!$F$2:$F$495,MATCH(D136,'Dashboard Items'!$A$2:$A$495,0)),"ID not found"))</f>
        <v/>
      </c>
    </row>
    <row r="137" spans="2:6" ht="15" customHeight="1" x14ac:dyDescent="0.2">
      <c r="B137" s="99" t="str">
        <f>IF(A137="","",IFERROR(INDEX('Dashboard Items'!$C$2:$C$495,MATCH(A137,'Dashboard Items'!$A$2:$A$495,0)),"ID not found"))</f>
        <v/>
      </c>
      <c r="C137" s="99" t="str">
        <f>IF(A137="","",IFERROR(INDEX('Dashboard Items'!$E$2:$E$495,MATCH(A137,'Dashboard Items'!$A$2:$A$495,0)),"ID not found"))</f>
        <v/>
      </c>
      <c r="E137" s="99" t="str">
        <f>IF(D137="","",IFERROR(INDEX('Dashboard Items'!$C$2:$C$495,MATCH(D137,'Dashboard Items'!$A$2:$A$495,0)),"ID not found"))</f>
        <v/>
      </c>
      <c r="F137" s="99" t="str">
        <f>IF(D137="","",IFERROR(INDEX('Dashboard Items'!$F$2:$F$495,MATCH(D137,'Dashboard Items'!$A$2:$A$495,0)),"ID not found"))</f>
        <v/>
      </c>
    </row>
    <row r="138" spans="2:6" ht="15" customHeight="1" x14ac:dyDescent="0.2">
      <c r="B138" s="99" t="str">
        <f>IF(A138="","",IFERROR(INDEX('Dashboard Items'!$C$2:$C$495,MATCH(A138,'Dashboard Items'!$A$2:$A$495,0)),"ID not found"))</f>
        <v/>
      </c>
      <c r="C138" s="99" t="str">
        <f>IF(A138="","",IFERROR(INDEX('Dashboard Items'!$E$2:$E$495,MATCH(A138,'Dashboard Items'!$A$2:$A$495,0)),"ID not found"))</f>
        <v/>
      </c>
      <c r="E138" s="99" t="str">
        <f>IF(D138="","",IFERROR(INDEX('Dashboard Items'!$C$2:$C$495,MATCH(D138,'Dashboard Items'!$A$2:$A$495,0)),"ID not found"))</f>
        <v/>
      </c>
      <c r="F138" s="99" t="str">
        <f>IF(D138="","",IFERROR(INDEX('Dashboard Items'!$F$2:$F$495,MATCH(D138,'Dashboard Items'!$A$2:$A$495,0)),"ID not found"))</f>
        <v/>
      </c>
    </row>
    <row r="139" spans="2:6" ht="15" customHeight="1" x14ac:dyDescent="0.2">
      <c r="B139" s="99" t="str">
        <f>IF(A139="","",IFERROR(INDEX('Dashboard Items'!$C$2:$C$495,MATCH(A139,'Dashboard Items'!$A$2:$A$495,0)),"ID not found"))</f>
        <v/>
      </c>
      <c r="C139" s="99" t="str">
        <f>IF(A139="","",IFERROR(INDEX('Dashboard Items'!$E$2:$E$495,MATCH(A139,'Dashboard Items'!$A$2:$A$495,0)),"ID not found"))</f>
        <v/>
      </c>
      <c r="E139" s="99" t="str">
        <f>IF(D139="","",IFERROR(INDEX('Dashboard Items'!$C$2:$C$495,MATCH(D139,'Dashboard Items'!$A$2:$A$495,0)),"ID not found"))</f>
        <v/>
      </c>
      <c r="F139" s="99" t="str">
        <f>IF(D139="","",IFERROR(INDEX('Dashboard Items'!$F$2:$F$495,MATCH(D139,'Dashboard Items'!$A$2:$A$495,0)),"ID not found"))</f>
        <v/>
      </c>
    </row>
    <row r="140" spans="2:6" ht="15" customHeight="1" x14ac:dyDescent="0.2">
      <c r="B140" s="99" t="str">
        <f>IF(A140="","",IFERROR(INDEX('Dashboard Items'!$C$2:$C$495,MATCH(A140,'Dashboard Items'!$A$2:$A$495,0)),"ID not found"))</f>
        <v/>
      </c>
      <c r="C140" s="99" t="str">
        <f>IF(A140="","",IFERROR(INDEX('Dashboard Items'!$E$2:$E$495,MATCH(A140,'Dashboard Items'!$A$2:$A$495,0)),"ID not found"))</f>
        <v/>
      </c>
      <c r="E140" s="99" t="str">
        <f>IF(D140="","",IFERROR(INDEX('Dashboard Items'!$C$2:$C$495,MATCH(D140,'Dashboard Items'!$A$2:$A$495,0)),"ID not found"))</f>
        <v/>
      </c>
      <c r="F140" s="99" t="str">
        <f>IF(D140="","",IFERROR(INDEX('Dashboard Items'!$F$2:$F$495,MATCH(D140,'Dashboard Items'!$A$2:$A$495,0)),"ID not found"))</f>
        <v/>
      </c>
    </row>
    <row r="141" spans="2:6" ht="15" customHeight="1" x14ac:dyDescent="0.2">
      <c r="B141" s="99" t="str">
        <f>IF(A141="","",IFERROR(INDEX('Dashboard Items'!$C$2:$C$495,MATCH(A141,'Dashboard Items'!$A$2:$A$495,0)),"ID not found"))</f>
        <v/>
      </c>
      <c r="C141" s="99" t="str">
        <f>IF(A141="","",IFERROR(INDEX('Dashboard Items'!$E$2:$E$495,MATCH(A141,'Dashboard Items'!$A$2:$A$495,0)),"ID not found"))</f>
        <v/>
      </c>
      <c r="E141" s="99" t="str">
        <f>IF(D141="","",IFERROR(INDEX('Dashboard Items'!$C$2:$C$495,MATCH(D141,'Dashboard Items'!$A$2:$A$495,0)),"ID not found"))</f>
        <v/>
      </c>
      <c r="F141" s="99" t="str">
        <f>IF(D141="","",IFERROR(INDEX('Dashboard Items'!$F$2:$F$495,MATCH(D141,'Dashboard Items'!$A$2:$A$495,0)),"ID not found"))</f>
        <v/>
      </c>
    </row>
    <row r="142" spans="2:6" ht="15" customHeight="1" x14ac:dyDescent="0.2">
      <c r="B142" s="99" t="str">
        <f>IF(A142="","",IFERROR(INDEX('Dashboard Items'!$C$2:$C$495,MATCH(A142,'Dashboard Items'!$A$2:$A$495,0)),"ID not found"))</f>
        <v/>
      </c>
      <c r="C142" s="99" t="str">
        <f>IF(A142="","",IFERROR(INDEX('Dashboard Items'!$E$2:$E$495,MATCH(A142,'Dashboard Items'!$A$2:$A$495,0)),"ID not found"))</f>
        <v/>
      </c>
      <c r="E142" s="99" t="str">
        <f>IF(D142="","",IFERROR(INDEX('Dashboard Items'!$C$2:$C$495,MATCH(D142,'Dashboard Items'!$A$2:$A$495,0)),"ID not found"))</f>
        <v/>
      </c>
      <c r="F142" s="99" t="str">
        <f>IF(D142="","",IFERROR(INDEX('Dashboard Items'!$F$2:$F$495,MATCH(D142,'Dashboard Items'!$A$2:$A$495,0)),"ID not found"))</f>
        <v/>
      </c>
    </row>
    <row r="143" spans="2:6" ht="15" customHeight="1" x14ac:dyDescent="0.2">
      <c r="B143" s="99" t="str">
        <f>IF(A143="","",IFERROR(INDEX('Dashboard Items'!$C$2:$C$495,MATCH(A143,'Dashboard Items'!$A$2:$A$495,0)),"ID not found"))</f>
        <v/>
      </c>
      <c r="C143" s="99" t="str">
        <f>IF(A143="","",IFERROR(INDEX('Dashboard Items'!$E$2:$E$495,MATCH(A143,'Dashboard Items'!$A$2:$A$495,0)),"ID not found"))</f>
        <v/>
      </c>
      <c r="E143" s="99" t="str">
        <f>IF(D143="","",IFERROR(INDEX('Dashboard Items'!$C$2:$C$495,MATCH(D143,'Dashboard Items'!$A$2:$A$495,0)),"ID not found"))</f>
        <v/>
      </c>
      <c r="F143" s="99" t="str">
        <f>IF(D143="","",IFERROR(INDEX('Dashboard Items'!$F$2:$F$495,MATCH(D143,'Dashboard Items'!$A$2:$A$495,0)),"ID not found"))</f>
        <v/>
      </c>
    </row>
    <row r="144" spans="2:6" ht="15" customHeight="1" x14ac:dyDescent="0.2">
      <c r="B144" s="99" t="str">
        <f>IF(A144="","",IFERROR(INDEX('Dashboard Items'!$C$2:$C$495,MATCH(A144,'Dashboard Items'!$A$2:$A$495,0)),"ID not found"))</f>
        <v/>
      </c>
      <c r="C144" s="99" t="str">
        <f>IF(A144="","",IFERROR(INDEX('Dashboard Items'!$E$2:$E$495,MATCH(A144,'Dashboard Items'!$A$2:$A$495,0)),"ID not found"))</f>
        <v/>
      </c>
      <c r="E144" s="99" t="str">
        <f>IF(D144="","",IFERROR(INDEX('Dashboard Items'!$C$2:$C$495,MATCH(D144,'Dashboard Items'!$A$2:$A$495,0)),"ID not found"))</f>
        <v/>
      </c>
      <c r="F144" s="99" t="str">
        <f>IF(D144="","",IFERROR(INDEX('Dashboard Items'!$F$2:$F$495,MATCH(D144,'Dashboard Items'!$A$2:$A$495,0)),"ID not found"))</f>
        <v/>
      </c>
    </row>
    <row r="145" spans="2:6" ht="15" customHeight="1" x14ac:dyDescent="0.2">
      <c r="B145" s="99" t="str">
        <f>IF(A145="","",IFERROR(INDEX('Dashboard Items'!$C$2:$C$495,MATCH(A145,'Dashboard Items'!$A$2:$A$495,0)),"ID not found"))</f>
        <v/>
      </c>
      <c r="C145" s="99" t="str">
        <f>IF(A145="","",IFERROR(INDEX('Dashboard Items'!$E$2:$E$495,MATCH(A145,'Dashboard Items'!$A$2:$A$495,0)),"ID not found"))</f>
        <v/>
      </c>
      <c r="E145" s="99" t="str">
        <f>IF(D145="","",IFERROR(INDEX('Dashboard Items'!$C$2:$C$495,MATCH(D145,'Dashboard Items'!$A$2:$A$495,0)),"ID not found"))</f>
        <v/>
      </c>
      <c r="F145" s="99" t="str">
        <f>IF(D145="","",IFERROR(INDEX('Dashboard Items'!$F$2:$F$495,MATCH(D145,'Dashboard Items'!$A$2:$A$495,0)),"ID not found"))</f>
        <v/>
      </c>
    </row>
    <row r="146" spans="2:6" ht="15" customHeight="1" x14ac:dyDescent="0.2">
      <c r="B146" s="99" t="str">
        <f>IF(A146="","",IFERROR(INDEX('Dashboard Items'!$C$2:$C$495,MATCH(A146,'Dashboard Items'!$A$2:$A$495,0)),"ID not found"))</f>
        <v/>
      </c>
      <c r="C146" s="99" t="str">
        <f>IF(A146="","",IFERROR(INDEX('Dashboard Items'!$E$2:$E$495,MATCH(A146,'Dashboard Items'!$A$2:$A$495,0)),"ID not found"))</f>
        <v/>
      </c>
      <c r="E146" s="99" t="str">
        <f>IF(D146="","",IFERROR(INDEX('Dashboard Items'!$C$2:$C$495,MATCH(D146,'Dashboard Items'!$A$2:$A$495,0)),"ID not found"))</f>
        <v/>
      </c>
      <c r="F146" s="99" t="str">
        <f>IF(D146="","",IFERROR(INDEX('Dashboard Items'!$F$2:$F$495,MATCH(D146,'Dashboard Items'!$A$2:$A$495,0)),"ID not found"))</f>
        <v/>
      </c>
    </row>
    <row r="147" spans="2:6" ht="15" customHeight="1" x14ac:dyDescent="0.2">
      <c r="B147" s="99" t="str">
        <f>IF(A147="","",IFERROR(INDEX('Dashboard Items'!$C$2:$C$495,MATCH(A147,'Dashboard Items'!$A$2:$A$495,0)),"ID not found"))</f>
        <v/>
      </c>
      <c r="C147" s="99" t="str">
        <f>IF(A147="","",IFERROR(INDEX('Dashboard Items'!$E$2:$E$495,MATCH(A147,'Dashboard Items'!$A$2:$A$495,0)),"ID not found"))</f>
        <v/>
      </c>
      <c r="E147" s="99" t="str">
        <f>IF(D147="","",IFERROR(INDEX('Dashboard Items'!$C$2:$C$495,MATCH(D147,'Dashboard Items'!$A$2:$A$495,0)),"ID not found"))</f>
        <v/>
      </c>
      <c r="F147" s="99" t="str">
        <f>IF(D147="","",IFERROR(INDEX('Dashboard Items'!$F$2:$F$495,MATCH(D147,'Dashboard Items'!$A$2:$A$495,0)),"ID not found"))</f>
        <v/>
      </c>
    </row>
    <row r="148" spans="2:6" ht="15" customHeight="1" x14ac:dyDescent="0.2">
      <c r="B148" s="99" t="str">
        <f>IF(A148="","",IFERROR(INDEX('Dashboard Items'!$C$2:$C$495,MATCH(A148,'Dashboard Items'!$A$2:$A$495,0)),"ID not found"))</f>
        <v/>
      </c>
      <c r="C148" s="99" t="str">
        <f>IF(A148="","",IFERROR(INDEX('Dashboard Items'!$E$2:$E$495,MATCH(A148,'Dashboard Items'!$A$2:$A$495,0)),"ID not found"))</f>
        <v/>
      </c>
      <c r="E148" s="99" t="str">
        <f>IF(D148="","",IFERROR(INDEX('Dashboard Items'!$C$2:$C$495,MATCH(D148,'Dashboard Items'!$A$2:$A$495,0)),"ID not found"))</f>
        <v/>
      </c>
      <c r="F148" s="99" t="str">
        <f>IF(D148="","",IFERROR(INDEX('Dashboard Items'!$F$2:$F$495,MATCH(D148,'Dashboard Items'!$A$2:$A$495,0)),"ID not found"))</f>
        <v/>
      </c>
    </row>
    <row r="149" spans="2:6" ht="15" customHeight="1" x14ac:dyDescent="0.2">
      <c r="B149" s="99" t="str">
        <f>IF(A149="","",IFERROR(INDEX('Dashboard Items'!$C$2:$C$495,MATCH(A149,'Dashboard Items'!$A$2:$A$495,0)),"ID not found"))</f>
        <v/>
      </c>
      <c r="C149" s="99" t="str">
        <f>IF(A149="","",IFERROR(INDEX('Dashboard Items'!$E$2:$E$495,MATCH(A149,'Dashboard Items'!$A$2:$A$495,0)),"ID not found"))</f>
        <v/>
      </c>
      <c r="E149" s="99" t="str">
        <f>IF(D149="","",IFERROR(INDEX('Dashboard Items'!$C$2:$C$495,MATCH(D149,'Dashboard Items'!$A$2:$A$495,0)),"ID not found"))</f>
        <v/>
      </c>
      <c r="F149" s="99" t="str">
        <f>IF(D149="","",IFERROR(INDEX('Dashboard Items'!$F$2:$F$495,MATCH(D149,'Dashboard Items'!$A$2:$A$495,0)),"ID not found"))</f>
        <v/>
      </c>
    </row>
    <row r="150" spans="2:6" ht="15" customHeight="1" x14ac:dyDescent="0.2">
      <c r="B150" s="99" t="str">
        <f>IF(A150="","",IFERROR(INDEX('Dashboard Items'!$C$2:$C$495,MATCH(A150,'Dashboard Items'!$A$2:$A$495,0)),"ID not found"))</f>
        <v/>
      </c>
      <c r="C150" s="99" t="str">
        <f>IF(A150="","",IFERROR(INDEX('Dashboard Items'!$E$2:$E$495,MATCH(A150,'Dashboard Items'!$A$2:$A$495,0)),"ID not found"))</f>
        <v/>
      </c>
      <c r="E150" s="99" t="str">
        <f>IF(D150="","",IFERROR(INDEX('Dashboard Items'!$C$2:$C$495,MATCH(D150,'Dashboard Items'!$A$2:$A$495,0)),"ID not found"))</f>
        <v/>
      </c>
      <c r="F150" s="99" t="str">
        <f>IF(D150="","",IFERROR(INDEX('Dashboard Items'!$F$2:$F$495,MATCH(D150,'Dashboard Items'!$A$2:$A$495,0)),"ID not found"))</f>
        <v/>
      </c>
    </row>
    <row r="151" spans="2:6" ht="15" customHeight="1" x14ac:dyDescent="0.2">
      <c r="B151" s="99" t="str">
        <f>IF(A151="","",IFERROR(INDEX('Dashboard Items'!$C$2:$C$495,MATCH(A151,'Dashboard Items'!$A$2:$A$495,0)),"ID not found"))</f>
        <v/>
      </c>
      <c r="C151" s="99" t="str">
        <f>IF(A151="","",IFERROR(INDEX('Dashboard Items'!$E$2:$E$495,MATCH(A151,'Dashboard Items'!$A$2:$A$495,0)),"ID not found"))</f>
        <v/>
      </c>
      <c r="E151" s="99" t="str">
        <f>IF(D151="","",IFERROR(INDEX('Dashboard Items'!$C$2:$C$495,MATCH(D151,'Dashboard Items'!$A$2:$A$495,0)),"ID not found"))</f>
        <v/>
      </c>
      <c r="F151" s="99" t="str">
        <f>IF(D151="","",IFERROR(INDEX('Dashboard Items'!$F$2:$F$495,MATCH(D151,'Dashboard Items'!$A$2:$A$495,0)),"ID not found"))</f>
        <v/>
      </c>
    </row>
    <row r="152" spans="2:6" ht="15" customHeight="1" x14ac:dyDescent="0.2">
      <c r="B152" s="99" t="str">
        <f>IF(A152="","",IFERROR(INDEX('Dashboard Items'!$C$2:$C$495,MATCH(A152,'Dashboard Items'!$A$2:$A$495,0)),"ID not found"))</f>
        <v/>
      </c>
      <c r="C152" s="99" t="str">
        <f>IF(A152="","",IFERROR(INDEX('Dashboard Items'!$E$2:$E$495,MATCH(A152,'Dashboard Items'!$A$2:$A$495,0)),"ID not found"))</f>
        <v/>
      </c>
      <c r="E152" s="99" t="str">
        <f>IF(D152="","",IFERROR(INDEX('Dashboard Items'!$C$2:$C$495,MATCH(D152,'Dashboard Items'!$A$2:$A$495,0)),"ID not found"))</f>
        <v/>
      </c>
      <c r="F152" s="99" t="str">
        <f>IF(D152="","",IFERROR(INDEX('Dashboard Items'!$F$2:$F$495,MATCH(D152,'Dashboard Items'!$A$2:$A$495,0)),"ID not found"))</f>
        <v/>
      </c>
    </row>
    <row r="153" spans="2:6" ht="15" customHeight="1" x14ac:dyDescent="0.2">
      <c r="B153" s="99" t="str">
        <f>IF(A153="","",IFERROR(INDEX('Dashboard Items'!$C$2:$C$495,MATCH(A153,'Dashboard Items'!$A$2:$A$495,0)),"ID not found"))</f>
        <v/>
      </c>
      <c r="C153" s="99" t="str">
        <f>IF(A153="","",IFERROR(INDEX('Dashboard Items'!$E$2:$E$495,MATCH(A153,'Dashboard Items'!$A$2:$A$495,0)),"ID not found"))</f>
        <v/>
      </c>
      <c r="E153" s="99" t="str">
        <f>IF(D153="","",IFERROR(INDEX('Dashboard Items'!$C$2:$C$495,MATCH(D153,'Dashboard Items'!$A$2:$A$495,0)),"ID not found"))</f>
        <v/>
      </c>
      <c r="F153" s="99" t="str">
        <f>IF(D153="","",IFERROR(INDEX('Dashboard Items'!$F$2:$F$495,MATCH(D153,'Dashboard Items'!$A$2:$A$495,0)),"ID not found"))</f>
        <v/>
      </c>
    </row>
    <row r="154" spans="2:6" ht="15" customHeight="1" x14ac:dyDescent="0.2">
      <c r="B154" s="99" t="str">
        <f>IF(A154="","",IFERROR(INDEX('Dashboard Items'!$C$2:$C$495,MATCH(A154,'Dashboard Items'!$A$2:$A$495,0)),"ID not found"))</f>
        <v/>
      </c>
      <c r="C154" s="99" t="str">
        <f>IF(A154="","",IFERROR(INDEX('Dashboard Items'!$E$2:$E$495,MATCH(A154,'Dashboard Items'!$A$2:$A$495,0)),"ID not found"))</f>
        <v/>
      </c>
      <c r="E154" s="99" t="str">
        <f>IF(D154="","",IFERROR(INDEX('Dashboard Items'!$C$2:$C$495,MATCH(D154,'Dashboard Items'!$A$2:$A$495,0)),"ID not found"))</f>
        <v/>
      </c>
      <c r="F154" s="99" t="str">
        <f>IF(D154="","",IFERROR(INDEX('Dashboard Items'!$F$2:$F$495,MATCH(D154,'Dashboard Items'!$A$2:$A$495,0)),"ID not found"))</f>
        <v/>
      </c>
    </row>
    <row r="155" spans="2:6" ht="15" customHeight="1" x14ac:dyDescent="0.2">
      <c r="B155" s="99" t="str">
        <f>IF(A155="","",IFERROR(INDEX('Dashboard Items'!$C$2:$C$495,MATCH(A155,'Dashboard Items'!$A$2:$A$495,0)),"ID not found"))</f>
        <v/>
      </c>
      <c r="C155" s="99" t="str">
        <f>IF(A155="","",IFERROR(INDEX('Dashboard Items'!$E$2:$E$495,MATCH(A155,'Dashboard Items'!$A$2:$A$495,0)),"ID not found"))</f>
        <v/>
      </c>
      <c r="E155" s="99" t="str">
        <f>IF(D155="","",IFERROR(INDEX('Dashboard Items'!$C$2:$C$495,MATCH(D155,'Dashboard Items'!$A$2:$A$495,0)),"ID not found"))</f>
        <v/>
      </c>
      <c r="F155" s="99" t="str">
        <f>IF(D155="","",IFERROR(INDEX('Dashboard Items'!$F$2:$F$495,MATCH(D155,'Dashboard Items'!$A$2:$A$495,0)),"ID not found"))</f>
        <v/>
      </c>
    </row>
    <row r="156" spans="2:6" ht="15" customHeight="1" x14ac:dyDescent="0.2">
      <c r="B156" s="99" t="str">
        <f>IF(A156="","",IFERROR(INDEX('Dashboard Items'!$C$2:$C$495,MATCH(A156,'Dashboard Items'!$A$2:$A$495,0)),"ID not found"))</f>
        <v/>
      </c>
      <c r="C156" s="99" t="str">
        <f>IF(A156="","",IFERROR(INDEX('Dashboard Items'!$E$2:$E$495,MATCH(A156,'Dashboard Items'!$A$2:$A$495,0)),"ID not found"))</f>
        <v/>
      </c>
      <c r="E156" s="99" t="str">
        <f>IF(D156="","",IFERROR(INDEX('Dashboard Items'!$C$2:$C$495,MATCH(D156,'Dashboard Items'!$A$2:$A$495,0)),"ID not found"))</f>
        <v/>
      </c>
      <c r="F156" s="99" t="str">
        <f>IF(D156="","",IFERROR(INDEX('Dashboard Items'!$F$2:$F$495,MATCH(D156,'Dashboard Items'!$A$2:$A$495,0)),"ID not found"))</f>
        <v/>
      </c>
    </row>
    <row r="157" spans="2:6" ht="15" customHeight="1" x14ac:dyDescent="0.2">
      <c r="B157" s="99" t="str">
        <f>IF(A157="","",IFERROR(INDEX('Dashboard Items'!$C$2:$C$495,MATCH(A157,'Dashboard Items'!$A$2:$A$495,0)),"ID not found"))</f>
        <v/>
      </c>
      <c r="C157" s="99" t="str">
        <f>IF(A157="","",IFERROR(INDEX('Dashboard Items'!$E$2:$E$495,MATCH(A157,'Dashboard Items'!$A$2:$A$495,0)),"ID not found"))</f>
        <v/>
      </c>
      <c r="E157" s="99" t="str">
        <f>IF(D157="","",IFERROR(INDEX('Dashboard Items'!$C$2:$C$495,MATCH(D157,'Dashboard Items'!$A$2:$A$495,0)),"ID not found"))</f>
        <v/>
      </c>
      <c r="F157" s="99" t="str">
        <f>IF(D157="","",IFERROR(INDEX('Dashboard Items'!$F$2:$F$495,MATCH(D157,'Dashboard Items'!$A$2:$A$495,0)),"ID not found"))</f>
        <v/>
      </c>
    </row>
    <row r="158" spans="2:6" ht="15" customHeight="1" x14ac:dyDescent="0.2">
      <c r="B158" s="99" t="str">
        <f>IF(A158="","",IFERROR(INDEX('Dashboard Items'!$C$2:$C$495,MATCH(A158,'Dashboard Items'!$A$2:$A$495,0)),"ID not found"))</f>
        <v/>
      </c>
      <c r="C158" s="99" t="str">
        <f>IF(A158="","",IFERROR(INDEX('Dashboard Items'!$E$2:$E$495,MATCH(A158,'Dashboard Items'!$A$2:$A$495,0)),"ID not found"))</f>
        <v/>
      </c>
      <c r="E158" s="99" t="str">
        <f>IF(D158="","",IFERROR(INDEX('Dashboard Items'!$C$2:$C$495,MATCH(D158,'Dashboard Items'!$A$2:$A$495,0)),"ID not found"))</f>
        <v/>
      </c>
      <c r="F158" s="99" t="str">
        <f>IF(D158="","",IFERROR(INDEX('Dashboard Items'!$F$2:$F$495,MATCH(D158,'Dashboard Items'!$A$2:$A$495,0)),"ID not found"))</f>
        <v/>
      </c>
    </row>
    <row r="159" spans="2:6" ht="15" customHeight="1" x14ac:dyDescent="0.2">
      <c r="B159" s="99" t="str">
        <f>IF(A159="","",IFERROR(INDEX('Dashboard Items'!$C$2:$C$495,MATCH(A159,'Dashboard Items'!$A$2:$A$495,0)),"ID not found"))</f>
        <v/>
      </c>
      <c r="C159" s="99" t="str">
        <f>IF(A159="","",IFERROR(INDEX('Dashboard Items'!$E$2:$E$495,MATCH(A159,'Dashboard Items'!$A$2:$A$495,0)),"ID not found"))</f>
        <v/>
      </c>
      <c r="E159" s="99" t="str">
        <f>IF(D159="","",IFERROR(INDEX('Dashboard Items'!$C$2:$C$495,MATCH(D159,'Dashboard Items'!$A$2:$A$495,0)),"ID not found"))</f>
        <v/>
      </c>
      <c r="F159" s="99" t="str">
        <f>IF(D159="","",IFERROR(INDEX('Dashboard Items'!$F$2:$F$495,MATCH(D159,'Dashboard Items'!$A$2:$A$495,0)),"ID not found"))</f>
        <v/>
      </c>
    </row>
    <row r="160" spans="2:6" ht="15" customHeight="1" x14ac:dyDescent="0.2">
      <c r="B160" s="99" t="str">
        <f>IF(A160="","",IFERROR(INDEX('Dashboard Items'!$C$2:$C$495,MATCH(A160,'Dashboard Items'!$A$2:$A$495,0)),"ID not found"))</f>
        <v/>
      </c>
      <c r="C160" s="99" t="str">
        <f>IF(A160="","",IFERROR(INDEX('Dashboard Items'!$E$2:$E$495,MATCH(A160,'Dashboard Items'!$A$2:$A$495,0)),"ID not found"))</f>
        <v/>
      </c>
      <c r="E160" s="99" t="str">
        <f>IF(D160="","",IFERROR(INDEX('Dashboard Items'!$C$2:$C$495,MATCH(D160,'Dashboard Items'!$A$2:$A$495,0)),"ID not found"))</f>
        <v/>
      </c>
      <c r="F160" s="99" t="str">
        <f>IF(D160="","",IFERROR(INDEX('Dashboard Items'!$F$2:$F$495,MATCH(D160,'Dashboard Items'!$A$2:$A$495,0)),"ID not found"))</f>
        <v/>
      </c>
    </row>
    <row r="161" spans="2:6" ht="15" customHeight="1" x14ac:dyDescent="0.2">
      <c r="B161" s="99" t="str">
        <f>IF(A161="","",IFERROR(INDEX('Dashboard Items'!$C$2:$C$495,MATCH(A161,'Dashboard Items'!$A$2:$A$495,0)),"ID not found"))</f>
        <v/>
      </c>
      <c r="C161" s="99" t="str">
        <f>IF(A161="","",IFERROR(INDEX('Dashboard Items'!$E$2:$E$495,MATCH(A161,'Dashboard Items'!$A$2:$A$495,0)),"ID not found"))</f>
        <v/>
      </c>
      <c r="E161" s="99" t="str">
        <f>IF(D161="","",IFERROR(INDEX('Dashboard Items'!$C$2:$C$495,MATCH(D161,'Dashboard Items'!$A$2:$A$495,0)),"ID not found"))</f>
        <v/>
      </c>
      <c r="F161" s="99" t="str">
        <f>IF(D161="","",IFERROR(INDEX('Dashboard Items'!$F$2:$F$495,MATCH(D161,'Dashboard Items'!$A$2:$A$495,0)),"ID not found"))</f>
        <v/>
      </c>
    </row>
    <row r="162" spans="2:6" ht="15" customHeight="1" x14ac:dyDescent="0.2">
      <c r="B162" s="99" t="str">
        <f>IF(A162="","",IFERROR(INDEX('Dashboard Items'!$C$2:$C$495,MATCH(A162,'Dashboard Items'!$A$2:$A$495,0)),"ID not found"))</f>
        <v/>
      </c>
      <c r="C162" s="99" t="str">
        <f>IF(A162="","",IFERROR(INDEX('Dashboard Items'!$E$2:$E$495,MATCH(A162,'Dashboard Items'!$A$2:$A$495,0)),"ID not found"))</f>
        <v/>
      </c>
      <c r="E162" s="99" t="str">
        <f>IF(D162="","",IFERROR(INDEX('Dashboard Items'!$C$2:$C$495,MATCH(D162,'Dashboard Items'!$A$2:$A$495,0)),"ID not found"))</f>
        <v/>
      </c>
      <c r="F162" s="99" t="str">
        <f>IF(D162="","",IFERROR(INDEX('Dashboard Items'!$F$2:$F$495,MATCH(D162,'Dashboard Items'!$A$2:$A$495,0)),"ID not found"))</f>
        <v/>
      </c>
    </row>
    <row r="163" spans="2:6" ht="15" customHeight="1" x14ac:dyDescent="0.2">
      <c r="B163" s="99" t="str">
        <f>IF(A163="","",IFERROR(INDEX('Dashboard Items'!$C$2:$C$495,MATCH(A163,'Dashboard Items'!$A$2:$A$495,0)),"ID not found"))</f>
        <v/>
      </c>
      <c r="C163" s="99" t="str">
        <f>IF(A163="","",IFERROR(INDEX('Dashboard Items'!$E$2:$E$495,MATCH(A163,'Dashboard Items'!$A$2:$A$495,0)),"ID not found"))</f>
        <v/>
      </c>
      <c r="E163" s="99" t="str">
        <f>IF(D163="","",IFERROR(INDEX('Dashboard Items'!$C$2:$C$495,MATCH(D163,'Dashboard Items'!$A$2:$A$495,0)),"ID not found"))</f>
        <v/>
      </c>
      <c r="F163" s="99" t="str">
        <f>IF(D163="","",IFERROR(INDEX('Dashboard Items'!$F$2:$F$495,MATCH(D163,'Dashboard Items'!$A$2:$A$495,0)),"ID not found"))</f>
        <v/>
      </c>
    </row>
    <row r="164" spans="2:6" ht="15" customHeight="1" x14ac:dyDescent="0.2">
      <c r="B164" s="99" t="str">
        <f>IF(A164="","",IFERROR(INDEX('Dashboard Items'!$C$2:$C$495,MATCH(A164,'Dashboard Items'!$A$2:$A$495,0)),"ID not found"))</f>
        <v/>
      </c>
      <c r="C164" s="99" t="str">
        <f>IF(A164="","",IFERROR(INDEX('Dashboard Items'!$E$2:$E$495,MATCH(A164,'Dashboard Items'!$A$2:$A$495,0)),"ID not found"))</f>
        <v/>
      </c>
      <c r="E164" s="99" t="str">
        <f>IF(D164="","",IFERROR(INDEX('Dashboard Items'!$C$2:$C$495,MATCH(D164,'Dashboard Items'!$A$2:$A$495,0)),"ID not found"))</f>
        <v/>
      </c>
      <c r="F164" s="99" t="str">
        <f>IF(D164="","",IFERROR(INDEX('Dashboard Items'!$F$2:$F$495,MATCH(D164,'Dashboard Items'!$A$2:$A$495,0)),"ID not found"))</f>
        <v/>
      </c>
    </row>
    <row r="165" spans="2:6" ht="15" customHeight="1" x14ac:dyDescent="0.2">
      <c r="B165" s="99" t="str">
        <f>IF(A165="","",IFERROR(INDEX('Dashboard Items'!$C$2:$C$495,MATCH(A165,'Dashboard Items'!$A$2:$A$495,0)),"ID not found"))</f>
        <v/>
      </c>
      <c r="C165" s="99" t="str">
        <f>IF(A165="","",IFERROR(INDEX('Dashboard Items'!$E$2:$E$495,MATCH(A165,'Dashboard Items'!$A$2:$A$495,0)),"ID not found"))</f>
        <v/>
      </c>
      <c r="E165" s="99" t="str">
        <f>IF(D165="","",IFERROR(INDEX('Dashboard Items'!$C$2:$C$495,MATCH(D165,'Dashboard Items'!$A$2:$A$495,0)),"ID not found"))</f>
        <v/>
      </c>
      <c r="F165" s="99" t="str">
        <f>IF(D165="","",IFERROR(INDEX('Dashboard Items'!$F$2:$F$495,MATCH(D165,'Dashboard Items'!$A$2:$A$495,0)),"ID not found"))</f>
        <v/>
      </c>
    </row>
    <row r="166" spans="2:6" ht="15" customHeight="1" x14ac:dyDescent="0.2">
      <c r="B166" s="99" t="str">
        <f>IF(A166="","",IFERROR(INDEX('Dashboard Items'!$C$2:$C$495,MATCH(A166,'Dashboard Items'!$A$2:$A$495,0)),"ID not found"))</f>
        <v/>
      </c>
      <c r="C166" s="99" t="str">
        <f>IF(A166="","",IFERROR(INDEX('Dashboard Items'!$E$2:$E$495,MATCH(A166,'Dashboard Items'!$A$2:$A$495,0)),"ID not found"))</f>
        <v/>
      </c>
      <c r="E166" s="99" t="str">
        <f>IF(D166="","",IFERROR(INDEX('Dashboard Items'!$C$2:$C$495,MATCH(D166,'Dashboard Items'!$A$2:$A$495,0)),"ID not found"))</f>
        <v/>
      </c>
      <c r="F166" s="99" t="str">
        <f>IF(D166="","",IFERROR(INDEX('Dashboard Items'!$F$2:$F$495,MATCH(D166,'Dashboard Items'!$A$2:$A$495,0)),"ID not found"))</f>
        <v/>
      </c>
    </row>
    <row r="167" spans="2:6" ht="15" customHeight="1" x14ac:dyDescent="0.2">
      <c r="B167" s="99" t="str">
        <f>IF(A167="","",IFERROR(INDEX('Dashboard Items'!$C$2:$C$495,MATCH(A167,'Dashboard Items'!$A$2:$A$495,0)),"ID not found"))</f>
        <v/>
      </c>
      <c r="C167" s="99" t="str">
        <f>IF(A167="","",IFERROR(INDEX('Dashboard Items'!$E$2:$E$495,MATCH(A167,'Dashboard Items'!$A$2:$A$495,0)),"ID not found"))</f>
        <v/>
      </c>
      <c r="E167" s="99" t="str">
        <f>IF(D167="","",IFERROR(INDEX('Dashboard Items'!$C$2:$C$495,MATCH(D167,'Dashboard Items'!$A$2:$A$495,0)),"ID not found"))</f>
        <v/>
      </c>
      <c r="F167" s="99" t="str">
        <f>IF(D167="","",IFERROR(INDEX('Dashboard Items'!$F$2:$F$495,MATCH(D167,'Dashboard Items'!$A$2:$A$495,0)),"ID not found"))</f>
        <v/>
      </c>
    </row>
    <row r="168" spans="2:6" ht="15" customHeight="1" x14ac:dyDescent="0.2">
      <c r="B168" s="99" t="str">
        <f>IF(A168="","",IFERROR(INDEX('Dashboard Items'!$C$2:$C$495,MATCH(A168,'Dashboard Items'!$A$2:$A$495,0)),"ID not found"))</f>
        <v/>
      </c>
      <c r="C168" s="99" t="str">
        <f>IF(A168="","",IFERROR(INDEX('Dashboard Items'!$E$2:$E$495,MATCH(A168,'Dashboard Items'!$A$2:$A$495,0)),"ID not found"))</f>
        <v/>
      </c>
      <c r="E168" s="99" t="str">
        <f>IF(D168="","",IFERROR(INDEX('Dashboard Items'!$C$2:$C$495,MATCH(D168,'Dashboard Items'!$A$2:$A$495,0)),"ID not found"))</f>
        <v/>
      </c>
      <c r="F168" s="99" t="str">
        <f>IF(D168="","",IFERROR(INDEX('Dashboard Items'!$F$2:$F$495,MATCH(D168,'Dashboard Items'!$A$2:$A$495,0)),"ID not found"))</f>
        <v/>
      </c>
    </row>
    <row r="169" spans="2:6" ht="15" customHeight="1" x14ac:dyDescent="0.2">
      <c r="B169" s="99" t="str">
        <f>IF(A169="","",IFERROR(INDEX('Dashboard Items'!$C$2:$C$495,MATCH(A169,'Dashboard Items'!$A$2:$A$495,0)),"ID not found"))</f>
        <v/>
      </c>
      <c r="C169" s="99" t="str">
        <f>IF(A169="","",IFERROR(INDEX('Dashboard Items'!$E$2:$E$495,MATCH(A169,'Dashboard Items'!$A$2:$A$495,0)),"ID not found"))</f>
        <v/>
      </c>
      <c r="E169" s="99" t="str">
        <f>IF(D169="","",IFERROR(INDEX('Dashboard Items'!$C$2:$C$495,MATCH(D169,'Dashboard Items'!$A$2:$A$495,0)),"ID not found"))</f>
        <v/>
      </c>
      <c r="F169" s="99" t="str">
        <f>IF(D169="","",IFERROR(INDEX('Dashboard Items'!$F$2:$F$495,MATCH(D169,'Dashboard Items'!$A$2:$A$495,0)),"ID not found"))</f>
        <v/>
      </c>
    </row>
    <row r="170" spans="2:6" ht="15" customHeight="1" x14ac:dyDescent="0.2">
      <c r="B170" s="99" t="str">
        <f>IF(A170="","",IFERROR(INDEX('Dashboard Items'!$C$2:$C$495,MATCH(A170,'Dashboard Items'!$A$2:$A$495,0)),"ID not found"))</f>
        <v/>
      </c>
      <c r="C170" s="99" t="str">
        <f>IF(A170="","",IFERROR(INDEX('Dashboard Items'!$E$2:$E$495,MATCH(A170,'Dashboard Items'!$A$2:$A$495,0)),"ID not found"))</f>
        <v/>
      </c>
      <c r="E170" s="99" t="str">
        <f>IF(D170="","",IFERROR(INDEX('Dashboard Items'!$C$2:$C$495,MATCH(D170,'Dashboard Items'!$A$2:$A$495,0)),"ID not found"))</f>
        <v/>
      </c>
      <c r="F170" s="99" t="str">
        <f>IF(D170="","",IFERROR(INDEX('Dashboard Items'!$F$2:$F$495,MATCH(D170,'Dashboard Items'!$A$2:$A$495,0)),"ID not found"))</f>
        <v/>
      </c>
    </row>
    <row r="171" spans="2:6" ht="15" customHeight="1" x14ac:dyDescent="0.2">
      <c r="B171" s="99" t="str">
        <f>IF(A171="","",IFERROR(INDEX('Dashboard Items'!$C$2:$C$495,MATCH(A171,'Dashboard Items'!$A$2:$A$495,0)),"ID not found"))</f>
        <v/>
      </c>
      <c r="C171" s="99" t="str">
        <f>IF(A171="","",IFERROR(INDEX('Dashboard Items'!$E$2:$E$495,MATCH(A171,'Dashboard Items'!$A$2:$A$495,0)),"ID not found"))</f>
        <v/>
      </c>
      <c r="E171" s="99" t="str">
        <f>IF(D171="","",IFERROR(INDEX('Dashboard Items'!$C$2:$C$495,MATCH(D171,'Dashboard Items'!$A$2:$A$495,0)),"ID not found"))</f>
        <v/>
      </c>
      <c r="F171" s="99" t="str">
        <f>IF(D171="","",IFERROR(INDEX('Dashboard Items'!$F$2:$F$495,MATCH(D171,'Dashboard Items'!$A$2:$A$495,0)),"ID not found"))</f>
        <v/>
      </c>
    </row>
    <row r="172" spans="2:6" ht="15" customHeight="1" x14ac:dyDescent="0.2">
      <c r="B172" s="99" t="str">
        <f>IF(A172="","",IFERROR(INDEX('Dashboard Items'!$C$2:$C$495,MATCH(A172,'Dashboard Items'!$A$2:$A$495,0)),"ID not found"))</f>
        <v/>
      </c>
      <c r="C172" s="99" t="str">
        <f>IF(A172="","",IFERROR(INDEX('Dashboard Items'!$E$2:$E$495,MATCH(A172,'Dashboard Items'!$A$2:$A$495,0)),"ID not found"))</f>
        <v/>
      </c>
      <c r="E172" s="99" t="str">
        <f>IF(D172="","",IFERROR(INDEX('Dashboard Items'!$C$2:$C$495,MATCH(D172,'Dashboard Items'!$A$2:$A$495,0)),"ID not found"))</f>
        <v/>
      </c>
      <c r="F172" s="99" t="str">
        <f>IF(D172="","",IFERROR(INDEX('Dashboard Items'!$F$2:$F$495,MATCH(D172,'Dashboard Items'!$A$2:$A$495,0)),"ID not found"))</f>
        <v/>
      </c>
    </row>
    <row r="173" spans="2:6" ht="15" customHeight="1" x14ac:dyDescent="0.2">
      <c r="B173" s="99" t="str">
        <f>IF(A173="","",IFERROR(INDEX('Dashboard Items'!$C$2:$C$495,MATCH(A173,'Dashboard Items'!$A$2:$A$495,0)),"ID not found"))</f>
        <v/>
      </c>
      <c r="C173" s="99" t="str">
        <f>IF(A173="","",IFERROR(INDEX('Dashboard Items'!$E$2:$E$495,MATCH(A173,'Dashboard Items'!$A$2:$A$495,0)),"ID not found"))</f>
        <v/>
      </c>
      <c r="E173" s="99" t="str">
        <f>IF(D173="","",IFERROR(INDEX('Dashboard Items'!$C$2:$C$495,MATCH(D173,'Dashboard Items'!$A$2:$A$495,0)),"ID not found"))</f>
        <v/>
      </c>
      <c r="F173" s="99" t="str">
        <f>IF(D173="","",IFERROR(INDEX('Dashboard Items'!$F$2:$F$495,MATCH(D173,'Dashboard Items'!$A$2:$A$495,0)),"ID not found"))</f>
        <v/>
      </c>
    </row>
    <row r="174" spans="2:6" ht="15" customHeight="1" x14ac:dyDescent="0.2">
      <c r="B174" s="99" t="str">
        <f>IF(A174="","",IFERROR(INDEX('Dashboard Items'!$C$2:$C$495,MATCH(A174,'Dashboard Items'!$A$2:$A$495,0)),"ID not found"))</f>
        <v/>
      </c>
      <c r="C174" s="99" t="str">
        <f>IF(A174="","",IFERROR(INDEX('Dashboard Items'!$E$2:$E$495,MATCH(A174,'Dashboard Items'!$A$2:$A$495,0)),"ID not found"))</f>
        <v/>
      </c>
      <c r="E174" s="99" t="str">
        <f>IF(D174="","",IFERROR(INDEX('Dashboard Items'!$C$2:$C$495,MATCH(D174,'Dashboard Items'!$A$2:$A$495,0)),"ID not found"))</f>
        <v/>
      </c>
      <c r="F174" s="99" t="str">
        <f>IF(D174="","",IFERROR(INDEX('Dashboard Items'!$F$2:$F$495,MATCH(D174,'Dashboard Items'!$A$2:$A$495,0)),"ID not found"))</f>
        <v/>
      </c>
    </row>
    <row r="175" spans="2:6" ht="15" customHeight="1" x14ac:dyDescent="0.2">
      <c r="B175" s="99" t="str">
        <f>IF(A175="","",IFERROR(INDEX('Dashboard Items'!$C$2:$C$495,MATCH(A175,'Dashboard Items'!$A$2:$A$495,0)),"ID not found"))</f>
        <v/>
      </c>
      <c r="C175" s="99" t="str">
        <f>IF(A175="","",IFERROR(INDEX('Dashboard Items'!$E$2:$E$495,MATCH(A175,'Dashboard Items'!$A$2:$A$495,0)),"ID not found"))</f>
        <v/>
      </c>
      <c r="E175" s="99" t="str">
        <f>IF(D175="","",IFERROR(INDEX('Dashboard Items'!$C$2:$C$495,MATCH(D175,'Dashboard Items'!$A$2:$A$495,0)),"ID not found"))</f>
        <v/>
      </c>
      <c r="F175" s="99" t="str">
        <f>IF(D175="","",IFERROR(INDEX('Dashboard Items'!$F$2:$F$495,MATCH(D175,'Dashboard Items'!$A$2:$A$495,0)),"ID not found"))</f>
        <v/>
      </c>
    </row>
    <row r="176" spans="2:6" ht="15" customHeight="1" x14ac:dyDescent="0.2">
      <c r="B176" s="99" t="str">
        <f>IF(A176="","",IFERROR(INDEX('Dashboard Items'!$C$2:$C$495,MATCH(A176,'Dashboard Items'!$A$2:$A$495,0)),"ID not found"))</f>
        <v/>
      </c>
      <c r="C176" s="99" t="str">
        <f>IF(A176="","",IFERROR(INDEX('Dashboard Items'!$E$2:$E$495,MATCH(A176,'Dashboard Items'!$A$2:$A$495,0)),"ID not found"))</f>
        <v/>
      </c>
      <c r="E176" s="99" t="str">
        <f>IF(D176="","",IFERROR(INDEX('Dashboard Items'!$C$2:$C$495,MATCH(D176,'Dashboard Items'!$A$2:$A$495,0)),"ID not found"))</f>
        <v/>
      </c>
      <c r="F176" s="99" t="str">
        <f>IF(D176="","",IFERROR(INDEX('Dashboard Items'!$F$2:$F$495,MATCH(D176,'Dashboard Items'!$A$2:$A$495,0)),"ID not found"))</f>
        <v/>
      </c>
    </row>
    <row r="177" spans="2:6" ht="15" customHeight="1" x14ac:dyDescent="0.2">
      <c r="B177" s="99" t="str">
        <f>IF(A177="","",IFERROR(INDEX('Dashboard Items'!$C$2:$C$495,MATCH(A177,'Dashboard Items'!$A$2:$A$495,0)),"ID not found"))</f>
        <v/>
      </c>
      <c r="C177" s="99" t="str">
        <f>IF(A177="","",IFERROR(INDEX('Dashboard Items'!$E$2:$E$495,MATCH(A177,'Dashboard Items'!$A$2:$A$495,0)),"ID not found"))</f>
        <v/>
      </c>
      <c r="E177" s="99" t="str">
        <f>IF(D177="","",IFERROR(INDEX('Dashboard Items'!$C$2:$C$495,MATCH(D177,'Dashboard Items'!$A$2:$A$495,0)),"ID not found"))</f>
        <v/>
      </c>
      <c r="F177" s="99" t="str">
        <f>IF(D177="","",IFERROR(INDEX('Dashboard Items'!$F$2:$F$495,MATCH(D177,'Dashboard Items'!$A$2:$A$495,0)),"ID not found"))</f>
        <v/>
      </c>
    </row>
    <row r="178" spans="2:6" ht="15" customHeight="1" x14ac:dyDescent="0.2">
      <c r="B178" s="99" t="str">
        <f>IF(A178="","",IFERROR(INDEX('Dashboard Items'!$C$2:$C$495,MATCH(A178,'Dashboard Items'!$A$2:$A$495,0)),"ID not found"))</f>
        <v/>
      </c>
      <c r="C178" s="99" t="str">
        <f>IF(A178="","",IFERROR(INDEX('Dashboard Items'!$E$2:$E$495,MATCH(A178,'Dashboard Items'!$A$2:$A$495,0)),"ID not found"))</f>
        <v/>
      </c>
      <c r="E178" s="99" t="str">
        <f>IF(D178="","",IFERROR(INDEX('Dashboard Items'!$C$2:$C$495,MATCH(D178,'Dashboard Items'!$A$2:$A$495,0)),"ID not found"))</f>
        <v/>
      </c>
      <c r="F178" s="99" t="str">
        <f>IF(D178="","",IFERROR(INDEX('Dashboard Items'!$F$2:$F$495,MATCH(D178,'Dashboard Items'!$A$2:$A$495,0)),"ID not found"))</f>
        <v/>
      </c>
    </row>
    <row r="179" spans="2:6" ht="15" customHeight="1" x14ac:dyDescent="0.2">
      <c r="B179" s="99" t="str">
        <f>IF(A179="","",IFERROR(INDEX('Dashboard Items'!$C$2:$C$495,MATCH(A179,'Dashboard Items'!$A$2:$A$495,0)),"ID not found"))</f>
        <v/>
      </c>
      <c r="C179" s="99" t="str">
        <f>IF(A179="","",IFERROR(INDEX('Dashboard Items'!$E$2:$E$495,MATCH(A179,'Dashboard Items'!$A$2:$A$495,0)),"ID not found"))</f>
        <v/>
      </c>
      <c r="E179" s="99" t="str">
        <f>IF(D179="","",IFERROR(INDEX('Dashboard Items'!$C$2:$C$495,MATCH(D179,'Dashboard Items'!$A$2:$A$495,0)),"ID not found"))</f>
        <v/>
      </c>
      <c r="F179" s="99" t="str">
        <f>IF(D179="","",IFERROR(INDEX('Dashboard Items'!$F$2:$F$495,MATCH(D179,'Dashboard Items'!$A$2:$A$495,0)),"ID not found"))</f>
        <v/>
      </c>
    </row>
    <row r="180" spans="2:6" ht="15" customHeight="1" x14ac:dyDescent="0.2">
      <c r="B180" s="99" t="str">
        <f>IF(A180="","",IFERROR(INDEX('Dashboard Items'!$C$2:$C$495,MATCH(A180,'Dashboard Items'!$A$2:$A$495,0)),"ID not found"))</f>
        <v/>
      </c>
      <c r="C180" s="99" t="str">
        <f>IF(A180="","",IFERROR(INDEX('Dashboard Items'!$E$2:$E$495,MATCH(A180,'Dashboard Items'!$A$2:$A$495,0)),"ID not found"))</f>
        <v/>
      </c>
      <c r="E180" s="99" t="str">
        <f>IF(D180="","",IFERROR(INDEX('Dashboard Items'!$C$2:$C$495,MATCH(D180,'Dashboard Items'!$A$2:$A$495,0)),"ID not found"))</f>
        <v/>
      </c>
      <c r="F180" s="99" t="str">
        <f>IF(D180="","",IFERROR(INDEX('Dashboard Items'!$F$2:$F$495,MATCH(D180,'Dashboard Items'!$A$2:$A$495,0)),"ID not found"))</f>
        <v/>
      </c>
    </row>
    <row r="181" spans="2:6" ht="15" customHeight="1" x14ac:dyDescent="0.2">
      <c r="B181" s="99" t="str">
        <f>IF(A181="","",IFERROR(INDEX('Dashboard Items'!$C$2:$C$495,MATCH(A181,'Dashboard Items'!$A$2:$A$495,0)),"ID not found"))</f>
        <v/>
      </c>
      <c r="C181" s="99" t="str">
        <f>IF(A181="","",IFERROR(INDEX('Dashboard Items'!$E$2:$E$495,MATCH(A181,'Dashboard Items'!$A$2:$A$495,0)),"ID not found"))</f>
        <v/>
      </c>
      <c r="E181" s="99" t="str">
        <f>IF(D181="","",IFERROR(INDEX('Dashboard Items'!$C$2:$C$495,MATCH(D181,'Dashboard Items'!$A$2:$A$495,0)),"ID not found"))</f>
        <v/>
      </c>
      <c r="F181" s="99" t="str">
        <f>IF(D181="","",IFERROR(INDEX('Dashboard Items'!$F$2:$F$495,MATCH(D181,'Dashboard Items'!$A$2:$A$495,0)),"ID not found"))</f>
        <v/>
      </c>
    </row>
    <row r="182" spans="2:6" ht="15" customHeight="1" x14ac:dyDescent="0.2">
      <c r="B182" s="99" t="str">
        <f>IF(A182="","",IFERROR(INDEX('Dashboard Items'!$C$2:$C$495,MATCH(A182,'Dashboard Items'!$A$2:$A$495,0)),"ID not found"))</f>
        <v/>
      </c>
      <c r="C182" s="99" t="str">
        <f>IF(A182="","",IFERROR(INDEX('Dashboard Items'!$E$2:$E$495,MATCH(A182,'Dashboard Items'!$A$2:$A$495,0)),"ID not found"))</f>
        <v/>
      </c>
      <c r="E182" s="99" t="str">
        <f>IF(D182="","",IFERROR(INDEX('Dashboard Items'!$C$2:$C$495,MATCH(D182,'Dashboard Items'!$A$2:$A$495,0)),"ID not found"))</f>
        <v/>
      </c>
      <c r="F182" s="99" t="str">
        <f>IF(D182="","",IFERROR(INDEX('Dashboard Items'!$F$2:$F$495,MATCH(D182,'Dashboard Items'!$A$2:$A$495,0)),"ID not found"))</f>
        <v/>
      </c>
    </row>
    <row r="183" spans="2:6" ht="15" customHeight="1" x14ac:dyDescent="0.2">
      <c r="B183" s="99" t="str">
        <f>IF(A183="","",IFERROR(INDEX('Dashboard Items'!$C$2:$C$495,MATCH(A183,'Dashboard Items'!$A$2:$A$495,0)),"ID not found"))</f>
        <v/>
      </c>
      <c r="C183" s="99" t="str">
        <f>IF(A183="","",IFERROR(INDEX('Dashboard Items'!$E$2:$E$495,MATCH(A183,'Dashboard Items'!$A$2:$A$495,0)),"ID not found"))</f>
        <v/>
      </c>
      <c r="E183" s="99" t="str">
        <f>IF(D183="","",IFERROR(INDEX('Dashboard Items'!$C$2:$C$495,MATCH(D183,'Dashboard Items'!$A$2:$A$495,0)),"ID not found"))</f>
        <v/>
      </c>
      <c r="F183" s="99" t="str">
        <f>IF(D183="","",IFERROR(INDEX('Dashboard Items'!$F$2:$F$495,MATCH(D183,'Dashboard Items'!$A$2:$A$495,0)),"ID not found"))</f>
        <v/>
      </c>
    </row>
    <row r="184" spans="2:6" ht="15" customHeight="1" x14ac:dyDescent="0.2">
      <c r="B184" s="99" t="str">
        <f>IF(A184="","",IFERROR(INDEX('Dashboard Items'!$C$2:$C$495,MATCH(A184,'Dashboard Items'!$A$2:$A$495,0)),"ID not found"))</f>
        <v/>
      </c>
      <c r="C184" s="99" t="str">
        <f>IF(A184="","",IFERROR(INDEX('Dashboard Items'!$E$2:$E$495,MATCH(A184,'Dashboard Items'!$A$2:$A$495,0)),"ID not found"))</f>
        <v/>
      </c>
      <c r="E184" s="99" t="str">
        <f>IF(D184="","",IFERROR(INDEX('Dashboard Items'!$C$2:$C$495,MATCH(D184,'Dashboard Items'!$A$2:$A$495,0)),"ID not found"))</f>
        <v/>
      </c>
      <c r="F184" s="99" t="str">
        <f>IF(D184="","",IFERROR(INDEX('Dashboard Items'!$F$2:$F$495,MATCH(D184,'Dashboard Items'!$A$2:$A$495,0)),"ID not found"))</f>
        <v/>
      </c>
    </row>
    <row r="185" spans="2:6" ht="15" customHeight="1" x14ac:dyDescent="0.2">
      <c r="B185" s="99" t="str">
        <f>IF(A185="","",IFERROR(INDEX('Dashboard Items'!$C$2:$C$495,MATCH(A185,'Dashboard Items'!$A$2:$A$495,0)),"ID not found"))</f>
        <v/>
      </c>
      <c r="C185" s="99" t="str">
        <f>IF(A185="","",IFERROR(INDEX('Dashboard Items'!$E$2:$E$495,MATCH(A185,'Dashboard Items'!$A$2:$A$495,0)),"ID not found"))</f>
        <v/>
      </c>
      <c r="E185" s="99" t="str">
        <f>IF(D185="","",IFERROR(INDEX('Dashboard Items'!$C$2:$C$495,MATCH(D185,'Dashboard Items'!$A$2:$A$495,0)),"ID not found"))</f>
        <v/>
      </c>
      <c r="F185" s="99" t="str">
        <f>IF(D185="","",IFERROR(INDEX('Dashboard Items'!$F$2:$F$495,MATCH(D185,'Dashboard Items'!$A$2:$A$495,0)),"ID not found"))</f>
        <v/>
      </c>
    </row>
    <row r="186" spans="2:6" ht="15" customHeight="1" x14ac:dyDescent="0.2">
      <c r="B186" s="99" t="str">
        <f>IF(A186="","",IFERROR(INDEX('Dashboard Items'!$C$2:$C$495,MATCH(A186,'Dashboard Items'!$A$2:$A$495,0)),"ID not found"))</f>
        <v/>
      </c>
      <c r="C186" s="99" t="str">
        <f>IF(A186="","",IFERROR(INDEX('Dashboard Items'!$E$2:$E$495,MATCH(A186,'Dashboard Items'!$A$2:$A$495,0)),"ID not found"))</f>
        <v/>
      </c>
      <c r="E186" s="99" t="str">
        <f>IF(D186="","",IFERROR(INDEX('Dashboard Items'!$C$2:$C$495,MATCH(D186,'Dashboard Items'!$A$2:$A$495,0)),"ID not found"))</f>
        <v/>
      </c>
      <c r="F186" s="99" t="str">
        <f>IF(D186="","",IFERROR(INDEX('Dashboard Items'!$F$2:$F$495,MATCH(D186,'Dashboard Items'!$A$2:$A$495,0)),"ID not found"))</f>
        <v/>
      </c>
    </row>
    <row r="187" spans="2:6" ht="15" customHeight="1" x14ac:dyDescent="0.2">
      <c r="B187" s="99" t="str">
        <f>IF(A187="","",IFERROR(INDEX('Dashboard Items'!$C$2:$C$495,MATCH(A187,'Dashboard Items'!$A$2:$A$495,0)),"ID not found"))</f>
        <v/>
      </c>
      <c r="C187" s="99" t="str">
        <f>IF(A187="","",IFERROR(INDEX('Dashboard Items'!$E$2:$E$495,MATCH(A187,'Dashboard Items'!$A$2:$A$495,0)),"ID not found"))</f>
        <v/>
      </c>
      <c r="E187" s="99" t="str">
        <f>IF(D187="","",IFERROR(INDEX('Dashboard Items'!$C$2:$C$495,MATCH(D187,'Dashboard Items'!$A$2:$A$495,0)),"ID not found"))</f>
        <v/>
      </c>
      <c r="F187" s="99" t="str">
        <f>IF(D187="","",IFERROR(INDEX('Dashboard Items'!$F$2:$F$495,MATCH(D187,'Dashboard Items'!$A$2:$A$495,0)),"ID not found"))</f>
        <v/>
      </c>
    </row>
    <row r="188" spans="2:6" ht="15" customHeight="1" x14ac:dyDescent="0.2">
      <c r="B188" s="99" t="str">
        <f>IF(A188="","",IFERROR(INDEX('Dashboard Items'!$C$2:$C$495,MATCH(A188,'Dashboard Items'!$A$2:$A$495,0)),"ID not found"))</f>
        <v/>
      </c>
      <c r="C188" s="99" t="str">
        <f>IF(A188="","",IFERROR(INDEX('Dashboard Items'!$E$2:$E$495,MATCH(A188,'Dashboard Items'!$A$2:$A$495,0)),"ID not found"))</f>
        <v/>
      </c>
      <c r="E188" s="99" t="str">
        <f>IF(D188="","",IFERROR(INDEX('Dashboard Items'!$C$2:$C$495,MATCH(D188,'Dashboard Items'!$A$2:$A$495,0)),"ID not found"))</f>
        <v/>
      </c>
      <c r="F188" s="99" t="str">
        <f>IF(D188="","",IFERROR(INDEX('Dashboard Items'!$F$2:$F$495,MATCH(D188,'Dashboard Items'!$A$2:$A$495,0)),"ID not found"))</f>
        <v/>
      </c>
    </row>
    <row r="189" spans="2:6" ht="15" customHeight="1" x14ac:dyDescent="0.2">
      <c r="B189" s="99" t="str">
        <f>IF(A189="","",IFERROR(INDEX('Dashboard Items'!$C$2:$C$495,MATCH(A189,'Dashboard Items'!$A$2:$A$495,0)),"ID not found"))</f>
        <v/>
      </c>
      <c r="C189" s="99" t="str">
        <f>IF(A189="","",IFERROR(INDEX('Dashboard Items'!$E$2:$E$495,MATCH(A189,'Dashboard Items'!$A$2:$A$495,0)),"ID not found"))</f>
        <v/>
      </c>
      <c r="E189" s="99" t="str">
        <f>IF(D189="","",IFERROR(INDEX('Dashboard Items'!$C$2:$C$495,MATCH(D189,'Dashboard Items'!$A$2:$A$495,0)),"ID not found"))</f>
        <v/>
      </c>
      <c r="F189" s="99" t="str">
        <f>IF(D189="","",IFERROR(INDEX('Dashboard Items'!$F$2:$F$495,MATCH(D189,'Dashboard Items'!$A$2:$A$495,0)),"ID not found"))</f>
        <v/>
      </c>
    </row>
    <row r="190" spans="2:6" ht="15" customHeight="1" x14ac:dyDescent="0.2">
      <c r="B190" s="99" t="str">
        <f>IF(A190="","",IFERROR(INDEX('Dashboard Items'!$C$2:$C$495,MATCH(A190,'Dashboard Items'!$A$2:$A$495,0)),"ID not found"))</f>
        <v/>
      </c>
      <c r="C190" s="99" t="str">
        <f>IF(A190="","",IFERROR(INDEX('Dashboard Items'!$E$2:$E$495,MATCH(A190,'Dashboard Items'!$A$2:$A$495,0)),"ID not found"))</f>
        <v/>
      </c>
      <c r="E190" s="99" t="str">
        <f>IF(D190="","",IFERROR(INDEX('Dashboard Items'!$C$2:$C$495,MATCH(D190,'Dashboard Items'!$A$2:$A$495,0)),"ID not found"))</f>
        <v/>
      </c>
      <c r="F190" s="99" t="str">
        <f>IF(D190="","",IFERROR(INDEX('Dashboard Items'!$F$2:$F$495,MATCH(D190,'Dashboard Items'!$A$2:$A$495,0)),"ID not found"))</f>
        <v/>
      </c>
    </row>
    <row r="191" spans="2:6" ht="15" customHeight="1" x14ac:dyDescent="0.2">
      <c r="B191" s="99" t="str">
        <f>IF(A191="","",IFERROR(INDEX('Dashboard Items'!$C$2:$C$495,MATCH(A191,'Dashboard Items'!$A$2:$A$495,0)),"ID not found"))</f>
        <v/>
      </c>
      <c r="C191" s="99" t="str">
        <f>IF(A191="","",IFERROR(INDEX('Dashboard Items'!$E$2:$E$495,MATCH(A191,'Dashboard Items'!$A$2:$A$495,0)),"ID not found"))</f>
        <v/>
      </c>
      <c r="E191" s="99" t="str">
        <f>IF(D191="","",IFERROR(INDEX('Dashboard Items'!$C$2:$C$495,MATCH(D191,'Dashboard Items'!$A$2:$A$495,0)),"ID not found"))</f>
        <v/>
      </c>
      <c r="F191" s="99" t="str">
        <f>IF(D191="","",IFERROR(INDEX('Dashboard Items'!$F$2:$F$495,MATCH(D191,'Dashboard Items'!$A$2:$A$495,0)),"ID not found"))</f>
        <v/>
      </c>
    </row>
    <row r="192" spans="2:6" ht="15" customHeight="1" x14ac:dyDescent="0.2">
      <c r="B192" s="99" t="str">
        <f>IF(A192="","",IFERROR(INDEX('Dashboard Items'!$C$2:$C$495,MATCH(A192,'Dashboard Items'!$A$2:$A$495,0)),"ID not found"))</f>
        <v/>
      </c>
      <c r="C192" s="99" t="str">
        <f>IF(A192="","",IFERROR(INDEX('Dashboard Items'!$E$2:$E$495,MATCH(A192,'Dashboard Items'!$A$2:$A$495,0)),"ID not found"))</f>
        <v/>
      </c>
      <c r="E192" s="99" t="str">
        <f>IF(D192="","",IFERROR(INDEX('Dashboard Items'!$C$2:$C$495,MATCH(D192,'Dashboard Items'!$A$2:$A$495,0)),"ID not found"))</f>
        <v/>
      </c>
      <c r="F192" s="99" t="str">
        <f>IF(D192="","",IFERROR(INDEX('Dashboard Items'!$F$2:$F$495,MATCH(D192,'Dashboard Items'!$A$2:$A$495,0)),"ID not found"))</f>
        <v/>
      </c>
    </row>
    <row r="193" spans="2:6" ht="15" customHeight="1" x14ac:dyDescent="0.2">
      <c r="B193" s="99" t="str">
        <f>IF(A193="","",IFERROR(INDEX('Dashboard Items'!$C$2:$C$495,MATCH(A193,'Dashboard Items'!$A$2:$A$495,0)),"ID not found"))</f>
        <v/>
      </c>
      <c r="C193" s="99" t="str">
        <f>IF(A193="","",IFERROR(INDEX('Dashboard Items'!$E$2:$E$495,MATCH(A193,'Dashboard Items'!$A$2:$A$495,0)),"ID not found"))</f>
        <v/>
      </c>
      <c r="E193" s="99" t="str">
        <f>IF(D193="","",IFERROR(INDEX('Dashboard Items'!$C$2:$C$495,MATCH(D193,'Dashboard Items'!$A$2:$A$495,0)),"ID not found"))</f>
        <v/>
      </c>
      <c r="F193" s="99" t="str">
        <f>IF(D193="","",IFERROR(INDEX('Dashboard Items'!$F$2:$F$495,MATCH(D193,'Dashboard Items'!$A$2:$A$495,0)),"ID not found"))</f>
        <v/>
      </c>
    </row>
    <row r="194" spans="2:6" ht="15" customHeight="1" x14ac:dyDescent="0.2">
      <c r="B194" s="99" t="str">
        <f>IF(A194="","",IFERROR(INDEX('Dashboard Items'!$C$2:$C$495,MATCH(A194,'Dashboard Items'!$A$2:$A$495,0)),"ID not found"))</f>
        <v/>
      </c>
      <c r="C194" s="99" t="str">
        <f>IF(A194="","",IFERROR(INDEX('Dashboard Items'!$E$2:$E$495,MATCH(A194,'Dashboard Items'!$A$2:$A$495,0)),"ID not found"))</f>
        <v/>
      </c>
      <c r="E194" s="99" t="str">
        <f>IF(D194="","",IFERROR(INDEX('Dashboard Items'!$C$2:$C$495,MATCH(D194,'Dashboard Items'!$A$2:$A$495,0)),"ID not found"))</f>
        <v/>
      </c>
      <c r="F194" s="99" t="str">
        <f>IF(D194="","",IFERROR(INDEX('Dashboard Items'!$F$2:$F$495,MATCH(D194,'Dashboard Items'!$A$2:$A$495,0)),"ID not found"))</f>
        <v/>
      </c>
    </row>
    <row r="195" spans="2:6" ht="15" customHeight="1" x14ac:dyDescent="0.2">
      <c r="B195" s="99" t="str">
        <f>IF(A195="","",IFERROR(INDEX('Dashboard Items'!$C$2:$C$495,MATCH(A195,'Dashboard Items'!$A$2:$A$495,0)),"ID not found"))</f>
        <v/>
      </c>
      <c r="C195" s="99" t="str">
        <f>IF(A195="","",IFERROR(INDEX('Dashboard Items'!$E$2:$E$495,MATCH(A195,'Dashboard Items'!$A$2:$A$495,0)),"ID not found"))</f>
        <v/>
      </c>
      <c r="E195" s="99" t="str">
        <f>IF(D195="","",IFERROR(INDEX('Dashboard Items'!$C$2:$C$495,MATCH(D195,'Dashboard Items'!$A$2:$A$495,0)),"ID not found"))</f>
        <v/>
      </c>
      <c r="F195" s="99" t="str">
        <f>IF(D195="","",IFERROR(INDEX('Dashboard Items'!$F$2:$F$495,MATCH(D195,'Dashboard Items'!$A$2:$A$495,0)),"ID not found"))</f>
        <v/>
      </c>
    </row>
    <row r="196" spans="2:6" ht="15" customHeight="1" x14ac:dyDescent="0.2">
      <c r="B196" s="99" t="str">
        <f>IF(A196="","",IFERROR(INDEX('Dashboard Items'!$C$2:$C$495,MATCH(A196,'Dashboard Items'!$A$2:$A$495,0)),"ID not found"))</f>
        <v/>
      </c>
      <c r="C196" s="99" t="str">
        <f>IF(A196="","",IFERROR(INDEX('Dashboard Items'!$E$2:$E$495,MATCH(A196,'Dashboard Items'!$A$2:$A$495,0)),"ID not found"))</f>
        <v/>
      </c>
      <c r="E196" s="99" t="str">
        <f>IF(D196="","",IFERROR(INDEX('Dashboard Items'!$C$2:$C$495,MATCH(D196,'Dashboard Items'!$A$2:$A$495,0)),"ID not found"))</f>
        <v/>
      </c>
      <c r="F196" s="99" t="str">
        <f>IF(D196="","",IFERROR(INDEX('Dashboard Items'!$F$2:$F$495,MATCH(D196,'Dashboard Items'!$A$2:$A$495,0)),"ID not found"))</f>
        <v/>
      </c>
    </row>
    <row r="197" spans="2:6" ht="15" customHeight="1" x14ac:dyDescent="0.2">
      <c r="B197" s="99" t="str">
        <f>IF(A197="","",IFERROR(INDEX('Dashboard Items'!$C$2:$C$495,MATCH(A197,'Dashboard Items'!$A$2:$A$495,0)),"ID not found"))</f>
        <v/>
      </c>
      <c r="C197" s="99" t="str">
        <f>IF(A197="","",IFERROR(INDEX('Dashboard Items'!$E$2:$E$495,MATCH(A197,'Dashboard Items'!$A$2:$A$495,0)),"ID not found"))</f>
        <v/>
      </c>
      <c r="E197" s="99" t="str">
        <f>IF(D197="","",IFERROR(INDEX('Dashboard Items'!$C$2:$C$495,MATCH(D197,'Dashboard Items'!$A$2:$A$495,0)),"ID not found"))</f>
        <v/>
      </c>
      <c r="F197" s="99" t="str">
        <f>IF(D197="","",IFERROR(INDEX('Dashboard Items'!$F$2:$F$495,MATCH(D197,'Dashboard Items'!$A$2:$A$495,0)),"ID not found"))</f>
        <v/>
      </c>
    </row>
    <row r="198" spans="2:6" ht="15" customHeight="1" x14ac:dyDescent="0.2">
      <c r="B198" s="99" t="str">
        <f>IF(A198="","",IFERROR(INDEX('Dashboard Items'!$C$2:$C$495,MATCH(A198,'Dashboard Items'!$A$2:$A$495,0)),"ID not found"))</f>
        <v/>
      </c>
      <c r="C198" s="99" t="str">
        <f>IF(A198="","",IFERROR(INDEX('Dashboard Items'!$E$2:$E$495,MATCH(A198,'Dashboard Items'!$A$2:$A$495,0)),"ID not found"))</f>
        <v/>
      </c>
      <c r="E198" s="99" t="str">
        <f>IF(D198="","",IFERROR(INDEX('Dashboard Items'!$C$2:$C$495,MATCH(D198,'Dashboard Items'!$A$2:$A$495,0)),"ID not found"))</f>
        <v/>
      </c>
      <c r="F198" s="99" t="str">
        <f>IF(D198="","",IFERROR(INDEX('Dashboard Items'!$F$2:$F$495,MATCH(D198,'Dashboard Items'!$A$2:$A$495,0)),"ID not found"))</f>
        <v/>
      </c>
    </row>
    <row r="199" spans="2:6" ht="15" customHeight="1" x14ac:dyDescent="0.2">
      <c r="B199" s="99" t="str">
        <f>IF(A199="","",IFERROR(INDEX('Dashboard Items'!$C$2:$C$495,MATCH(A199,'Dashboard Items'!$A$2:$A$495,0)),"ID not found"))</f>
        <v/>
      </c>
      <c r="C199" s="99" t="str">
        <f>IF(A199="","",IFERROR(INDEX('Dashboard Items'!$E$2:$E$495,MATCH(A199,'Dashboard Items'!$A$2:$A$495,0)),"ID not found"))</f>
        <v/>
      </c>
      <c r="E199" s="99" t="str">
        <f>IF(D199="","",IFERROR(INDEX('Dashboard Items'!$C$2:$C$495,MATCH(D199,'Dashboard Items'!$A$2:$A$495,0)),"ID not found"))</f>
        <v/>
      </c>
      <c r="F199" s="99" t="str">
        <f>IF(D199="","",IFERROR(INDEX('Dashboard Items'!$F$2:$F$495,MATCH(D199,'Dashboard Items'!$A$2:$A$495,0)),"ID not found"))</f>
        <v/>
      </c>
    </row>
    <row r="200" spans="2:6" ht="15" customHeight="1" x14ac:dyDescent="0.2">
      <c r="B200" s="99" t="str">
        <f>IF(A200="","",IFERROR(INDEX('Dashboard Items'!$C$2:$C$495,MATCH(A200,'Dashboard Items'!$A$2:$A$495,0)),"ID not found"))</f>
        <v/>
      </c>
      <c r="C200" s="99" t="str">
        <f>IF(A200="","",IFERROR(INDEX('Dashboard Items'!$E$2:$E$495,MATCH(A200,'Dashboard Items'!$A$2:$A$495,0)),"ID not found"))</f>
        <v/>
      </c>
      <c r="E200" s="99" t="str">
        <f>IF(D200="","",IFERROR(INDEX('Dashboard Items'!$C$2:$C$495,MATCH(D200,'Dashboard Items'!$A$2:$A$495,0)),"ID not found"))</f>
        <v/>
      </c>
      <c r="F200" s="99"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2026-10-21T16:20:07Z</dcterms:modified>
  <dc:language>en-US</dc:language>
</cp:coreProperties>
</file>