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773DFC90-74E3-C544-A579-F0ED2DE44A48}" xr6:coauthVersionLast="47" xr6:coauthVersionMax="47" xr10:uidLastSave="{00000000-0000-0000-0000-000000000000}"/>
  <bookViews>
    <workbookView xWindow="-38400" yWindow="0" windowWidth="38400" windowHeight="21600" tabRatio="500" activeTab="3" xr2:uid="{00000000-000D-0000-FFFF-FFFF00000000}"/>
  </bookViews>
  <sheets>
    <sheet name="Use and Planning" sheetId="1" r:id="rId1"/>
    <sheet name="How Gauges Work" sheetId="2" r:id="rId2"/>
    <sheet name="KPI Catalog" sheetId="3" r:id="rId3"/>
    <sheet name="KPI Data" sheetId="4" r:id="rId4"/>
    <sheet name="Dashboard Items" sheetId="5" r:id="rId5"/>
    <sheet name="Objective Alignment" sheetId="6" r:id="rId6"/>
  </sheets>
  <definedNames>
    <definedName name="_xlnm._FilterDatabase" localSheetId="4" hidden="1">'Dashboard Items'!$A$1:$F$152</definedName>
    <definedName name="_xlnm._FilterDatabase" localSheetId="3" hidden="1">'KPI Data'!$A$1:$H$129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84" i="4" l="1"/>
  <c r="A285"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39" i="4"/>
  <c r="A240" i="4"/>
  <c r="A241" i="4"/>
  <c r="A242" i="4"/>
  <c r="A243" i="4"/>
  <c r="A244" i="4"/>
  <c r="A245" i="4"/>
  <c r="A246" i="4"/>
  <c r="A247" i="4"/>
  <c r="A248" i="4"/>
  <c r="A249" i="4"/>
  <c r="A250" i="4"/>
  <c r="A251" i="4"/>
  <c r="A252" i="4"/>
  <c r="A253" i="4"/>
  <c r="A254" i="4"/>
  <c r="A255" i="4"/>
  <c r="A256" i="4"/>
  <c r="A257" i="4"/>
  <c r="A258"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00" i="4"/>
  <c r="A201" i="4"/>
  <c r="A202" i="4"/>
  <c r="A203" i="4"/>
  <c r="A204" i="4"/>
  <c r="A205" i="4"/>
  <c r="A206" i="4"/>
  <c r="A207" i="4"/>
  <c r="A208" i="4"/>
  <c r="A209" i="4"/>
  <c r="A210" i="4"/>
  <c r="A211" i="4"/>
  <c r="A212" i="4"/>
  <c r="A213" i="4"/>
  <c r="A187" i="4"/>
  <c r="A188" i="4"/>
  <c r="A189" i="4"/>
  <c r="A190" i="4"/>
  <c r="A191" i="4"/>
  <c r="A192" i="4"/>
  <c r="A193" i="4"/>
  <c r="A194" i="4"/>
  <c r="A195" i="4"/>
  <c r="A196" i="4"/>
  <c r="A197" i="4"/>
  <c r="A198" i="4"/>
  <c r="A199" i="4"/>
  <c r="A179" i="4"/>
  <c r="A180" i="4"/>
  <c r="A181" i="4"/>
  <c r="A182" i="4"/>
  <c r="A183" i="4"/>
  <c r="A184" i="4"/>
  <c r="A185" i="4"/>
  <c r="A186" i="4"/>
  <c r="A178" i="4"/>
  <c r="F58" i="3" l="1"/>
  <c r="F63" i="3"/>
  <c r="F62" i="3"/>
  <c r="F61" i="3"/>
  <c r="F60" i="3"/>
  <c r="F59" i="3"/>
  <c r="F57" i="3"/>
  <c r="F56" i="3"/>
  <c r="F55" i="3"/>
  <c r="A63" i="3"/>
  <c r="A62" i="3"/>
  <c r="A61" i="3"/>
  <c r="A60" i="3"/>
  <c r="A59" i="3"/>
  <c r="A58" i="3"/>
  <c r="A57" i="3"/>
  <c r="A56" i="3"/>
  <c r="A55" i="3"/>
  <c r="A122" i="4"/>
  <c r="A123" i="4"/>
  <c r="A124" i="4"/>
  <c r="A125" i="4"/>
  <c r="A126" i="4"/>
  <c r="F200" i="6"/>
  <c r="E200" i="6"/>
  <c r="C200" i="6"/>
  <c r="B200" i="6"/>
  <c r="F199" i="6"/>
  <c r="E199" i="6"/>
  <c r="C199" i="6"/>
  <c r="B199" i="6"/>
  <c r="F198" i="6"/>
  <c r="E198" i="6"/>
  <c r="C198" i="6"/>
  <c r="B198" i="6"/>
  <c r="F197" i="6"/>
  <c r="E197" i="6"/>
  <c r="C197" i="6"/>
  <c r="B197" i="6"/>
  <c r="F196" i="6"/>
  <c r="E196" i="6"/>
  <c r="C196" i="6"/>
  <c r="B196" i="6"/>
  <c r="F195" i="6"/>
  <c r="E195" i="6"/>
  <c r="C195" i="6"/>
  <c r="B195" i="6"/>
  <c r="F194" i="6"/>
  <c r="E194" i="6"/>
  <c r="C194" i="6"/>
  <c r="B194" i="6"/>
  <c r="F193" i="6"/>
  <c r="E193" i="6"/>
  <c r="C193" i="6"/>
  <c r="B193" i="6"/>
  <c r="F192" i="6"/>
  <c r="E192" i="6"/>
  <c r="C192" i="6"/>
  <c r="B192" i="6"/>
  <c r="F191" i="6"/>
  <c r="E191" i="6"/>
  <c r="C191" i="6"/>
  <c r="B191" i="6"/>
  <c r="F190" i="6"/>
  <c r="E190" i="6"/>
  <c r="C190" i="6"/>
  <c r="B190" i="6"/>
  <c r="F189" i="6"/>
  <c r="E189" i="6"/>
  <c r="C189" i="6"/>
  <c r="B189" i="6"/>
  <c r="F188" i="6"/>
  <c r="E188" i="6"/>
  <c r="C188" i="6"/>
  <c r="B188" i="6"/>
  <c r="F187" i="6"/>
  <c r="E187" i="6"/>
  <c r="C187" i="6"/>
  <c r="B187" i="6"/>
  <c r="F186" i="6"/>
  <c r="E186" i="6"/>
  <c r="C186" i="6"/>
  <c r="B186" i="6"/>
  <c r="F185" i="6"/>
  <c r="E185" i="6"/>
  <c r="C185" i="6"/>
  <c r="B185" i="6"/>
  <c r="F184" i="6"/>
  <c r="E184" i="6"/>
  <c r="C184" i="6"/>
  <c r="B184" i="6"/>
  <c r="F183" i="6"/>
  <c r="E183" i="6"/>
  <c r="C183" i="6"/>
  <c r="B183" i="6"/>
  <c r="F182" i="6"/>
  <c r="E182" i="6"/>
  <c r="C182" i="6"/>
  <c r="B182" i="6"/>
  <c r="F181" i="6"/>
  <c r="E181" i="6"/>
  <c r="C181" i="6"/>
  <c r="B181" i="6"/>
  <c r="F180" i="6"/>
  <c r="E180" i="6"/>
  <c r="C180" i="6"/>
  <c r="B180" i="6"/>
  <c r="F179" i="6"/>
  <c r="E179" i="6"/>
  <c r="C179" i="6"/>
  <c r="B179" i="6"/>
  <c r="F178" i="6"/>
  <c r="E178" i="6"/>
  <c r="C178" i="6"/>
  <c r="B178" i="6"/>
  <c r="F177" i="6"/>
  <c r="E177" i="6"/>
  <c r="C177" i="6"/>
  <c r="B177" i="6"/>
  <c r="F176" i="6"/>
  <c r="E176" i="6"/>
  <c r="C176" i="6"/>
  <c r="B176" i="6"/>
  <c r="F175" i="6"/>
  <c r="E175" i="6"/>
  <c r="C175" i="6"/>
  <c r="B175" i="6"/>
  <c r="F174" i="6"/>
  <c r="E174" i="6"/>
  <c r="C174" i="6"/>
  <c r="B174" i="6"/>
  <c r="F173" i="6"/>
  <c r="E173" i="6"/>
  <c r="C173" i="6"/>
  <c r="B173" i="6"/>
  <c r="F172" i="6"/>
  <c r="E172" i="6"/>
  <c r="C172" i="6"/>
  <c r="B172" i="6"/>
  <c r="F171" i="6"/>
  <c r="E171" i="6"/>
  <c r="C171" i="6"/>
  <c r="B171" i="6"/>
  <c r="F170" i="6"/>
  <c r="E170" i="6"/>
  <c r="C170" i="6"/>
  <c r="B170" i="6"/>
  <c r="F169" i="6"/>
  <c r="E169" i="6"/>
  <c r="C169" i="6"/>
  <c r="B169" i="6"/>
  <c r="F168" i="6"/>
  <c r="E168" i="6"/>
  <c r="C168" i="6"/>
  <c r="B168" i="6"/>
  <c r="F167" i="6"/>
  <c r="E167" i="6"/>
  <c r="C167" i="6"/>
  <c r="B167" i="6"/>
  <c r="F166" i="6"/>
  <c r="E166" i="6"/>
  <c r="C166" i="6"/>
  <c r="B166" i="6"/>
  <c r="F165" i="6"/>
  <c r="E165" i="6"/>
  <c r="C165" i="6"/>
  <c r="B165" i="6"/>
  <c r="F164" i="6"/>
  <c r="E164" i="6"/>
  <c r="C164" i="6"/>
  <c r="B164" i="6"/>
  <c r="F163" i="6"/>
  <c r="E163" i="6"/>
  <c r="C163" i="6"/>
  <c r="B163" i="6"/>
  <c r="F162" i="6"/>
  <c r="E162" i="6"/>
  <c r="C162" i="6"/>
  <c r="B162" i="6"/>
  <c r="F161" i="6"/>
  <c r="E161" i="6"/>
  <c r="C161" i="6"/>
  <c r="B161" i="6"/>
  <c r="F160" i="6"/>
  <c r="E160" i="6"/>
  <c r="C160" i="6"/>
  <c r="B160" i="6"/>
  <c r="F159" i="6"/>
  <c r="E159" i="6"/>
  <c r="C159" i="6"/>
  <c r="B159" i="6"/>
  <c r="F158" i="6"/>
  <c r="E158" i="6"/>
  <c r="C158" i="6"/>
  <c r="B158" i="6"/>
  <c r="F157" i="6"/>
  <c r="E157" i="6"/>
  <c r="C157" i="6"/>
  <c r="B157" i="6"/>
  <c r="F156" i="6"/>
  <c r="E156" i="6"/>
  <c r="C156" i="6"/>
  <c r="B156" i="6"/>
  <c r="F155" i="6"/>
  <c r="E155" i="6"/>
  <c r="C155" i="6"/>
  <c r="B155" i="6"/>
  <c r="F154" i="6"/>
  <c r="E154" i="6"/>
  <c r="C154" i="6"/>
  <c r="B154" i="6"/>
  <c r="F153" i="6"/>
  <c r="E153" i="6"/>
  <c r="C153" i="6"/>
  <c r="B153" i="6"/>
  <c r="F152" i="6"/>
  <c r="E152" i="6"/>
  <c r="C152" i="6"/>
  <c r="B152" i="6"/>
  <c r="F151" i="6"/>
  <c r="E151" i="6"/>
  <c r="C151" i="6"/>
  <c r="B151" i="6"/>
  <c r="F150" i="6"/>
  <c r="E150" i="6"/>
  <c r="C150" i="6"/>
  <c r="B150" i="6"/>
  <c r="F149" i="6"/>
  <c r="E149" i="6"/>
  <c r="C149" i="6"/>
  <c r="B149" i="6"/>
  <c r="F148" i="6"/>
  <c r="E148" i="6"/>
  <c r="C148" i="6"/>
  <c r="B148" i="6"/>
  <c r="F147" i="6"/>
  <c r="E147" i="6"/>
  <c r="C147" i="6"/>
  <c r="B147" i="6"/>
  <c r="F146" i="6"/>
  <c r="E146" i="6"/>
  <c r="C146" i="6"/>
  <c r="B146" i="6"/>
  <c r="F145" i="6"/>
  <c r="E145" i="6"/>
  <c r="C145" i="6"/>
  <c r="B145" i="6"/>
  <c r="F144" i="6"/>
  <c r="E144" i="6"/>
  <c r="C144" i="6"/>
  <c r="B144" i="6"/>
  <c r="F143" i="6"/>
  <c r="E143" i="6"/>
  <c r="C143" i="6"/>
  <c r="B143" i="6"/>
  <c r="F142" i="6"/>
  <c r="E142" i="6"/>
  <c r="C142" i="6"/>
  <c r="B142" i="6"/>
  <c r="F141" i="6"/>
  <c r="E141" i="6"/>
  <c r="C141" i="6"/>
  <c r="B141" i="6"/>
  <c r="F140" i="6"/>
  <c r="E140" i="6"/>
  <c r="C140" i="6"/>
  <c r="B140" i="6"/>
  <c r="F139" i="6"/>
  <c r="E139" i="6"/>
  <c r="C139" i="6"/>
  <c r="B139" i="6"/>
  <c r="F138" i="6"/>
  <c r="E138" i="6"/>
  <c r="C138" i="6"/>
  <c r="B138" i="6"/>
  <c r="F137" i="6"/>
  <c r="E137" i="6"/>
  <c r="C137" i="6"/>
  <c r="B137" i="6"/>
  <c r="F136" i="6"/>
  <c r="E136" i="6"/>
  <c r="C136" i="6"/>
  <c r="B136" i="6"/>
  <c r="F135" i="6"/>
  <c r="E135" i="6"/>
  <c r="C135" i="6"/>
  <c r="B135" i="6"/>
  <c r="F134" i="6"/>
  <c r="E134" i="6"/>
  <c r="C134" i="6"/>
  <c r="B134" i="6"/>
  <c r="F133" i="6"/>
  <c r="E133" i="6"/>
  <c r="C133" i="6"/>
  <c r="B133" i="6"/>
  <c r="F132" i="6"/>
  <c r="E132" i="6"/>
  <c r="C132" i="6"/>
  <c r="B132" i="6"/>
  <c r="F131" i="6"/>
  <c r="E131" i="6"/>
  <c r="C131" i="6"/>
  <c r="B131" i="6"/>
  <c r="F130" i="6"/>
  <c r="E130" i="6"/>
  <c r="C130" i="6"/>
  <c r="B130" i="6"/>
  <c r="F129" i="6"/>
  <c r="E129" i="6"/>
  <c r="C129" i="6"/>
  <c r="B129" i="6"/>
  <c r="F128" i="6"/>
  <c r="E128" i="6"/>
  <c r="C128" i="6"/>
  <c r="B128" i="6"/>
  <c r="F127" i="6"/>
  <c r="E127" i="6"/>
  <c r="C127" i="6"/>
  <c r="B127" i="6"/>
  <c r="F126" i="6"/>
  <c r="E126" i="6"/>
  <c r="C126" i="6"/>
  <c r="B126" i="6"/>
  <c r="F125" i="6"/>
  <c r="E125" i="6"/>
  <c r="C125" i="6"/>
  <c r="B125" i="6"/>
  <c r="F124" i="6"/>
  <c r="E124" i="6"/>
  <c r="C124" i="6"/>
  <c r="B124" i="6"/>
  <c r="F123" i="6"/>
  <c r="E123" i="6"/>
  <c r="C123" i="6"/>
  <c r="B123" i="6"/>
  <c r="F122" i="6"/>
  <c r="E122" i="6"/>
  <c r="C122" i="6"/>
  <c r="B122" i="6"/>
  <c r="F121" i="6"/>
  <c r="E121" i="6"/>
  <c r="C121" i="6"/>
  <c r="B121" i="6"/>
  <c r="F120" i="6"/>
  <c r="E120" i="6"/>
  <c r="C120" i="6"/>
  <c r="B120" i="6"/>
  <c r="F119" i="6"/>
  <c r="E119" i="6"/>
  <c r="C119" i="6"/>
  <c r="B119" i="6"/>
  <c r="F118" i="6"/>
  <c r="E118" i="6"/>
  <c r="C118" i="6"/>
  <c r="B118" i="6"/>
  <c r="F117" i="6"/>
  <c r="E117" i="6"/>
  <c r="C117" i="6"/>
  <c r="B117" i="6"/>
  <c r="F116" i="6"/>
  <c r="E116" i="6"/>
  <c r="C116" i="6"/>
  <c r="B116" i="6"/>
  <c r="F115" i="6"/>
  <c r="E115" i="6"/>
  <c r="C115" i="6"/>
  <c r="B115" i="6"/>
  <c r="F114" i="6"/>
  <c r="E114" i="6"/>
  <c r="C114" i="6"/>
  <c r="B114" i="6"/>
  <c r="F113" i="6"/>
  <c r="E113" i="6"/>
  <c r="C113" i="6"/>
  <c r="B113" i="6"/>
  <c r="F112" i="6"/>
  <c r="E112" i="6"/>
  <c r="C112" i="6"/>
  <c r="B112" i="6"/>
  <c r="F111" i="6"/>
  <c r="E111" i="6"/>
  <c r="C111" i="6"/>
  <c r="B111" i="6"/>
  <c r="F110" i="6"/>
  <c r="E110" i="6"/>
  <c r="C110" i="6"/>
  <c r="B110" i="6"/>
  <c r="F109" i="6"/>
  <c r="E109" i="6"/>
  <c r="C109" i="6"/>
  <c r="B109" i="6"/>
  <c r="F108" i="6"/>
  <c r="E108" i="6"/>
  <c r="C108" i="6"/>
  <c r="B108" i="6"/>
  <c r="F107" i="6"/>
  <c r="E107" i="6"/>
  <c r="C107" i="6"/>
  <c r="B107" i="6"/>
  <c r="F106" i="6"/>
  <c r="E106" i="6"/>
  <c r="C106" i="6"/>
  <c r="B106" i="6"/>
  <c r="F105" i="6"/>
  <c r="E105" i="6"/>
  <c r="C105" i="6"/>
  <c r="B105" i="6"/>
  <c r="F104" i="6"/>
  <c r="E104" i="6"/>
  <c r="C104" i="6"/>
  <c r="B104" i="6"/>
  <c r="F103" i="6"/>
  <c r="E103" i="6"/>
  <c r="C103" i="6"/>
  <c r="B103" i="6"/>
  <c r="F102" i="6"/>
  <c r="E102" i="6"/>
  <c r="C102" i="6"/>
  <c r="B102" i="6"/>
  <c r="F101" i="6"/>
  <c r="E101" i="6"/>
  <c r="C101" i="6"/>
  <c r="B101" i="6"/>
  <c r="F100" i="6"/>
  <c r="E100" i="6"/>
  <c r="C100" i="6"/>
  <c r="B100" i="6"/>
  <c r="F99" i="6"/>
  <c r="E99" i="6"/>
  <c r="C99" i="6"/>
  <c r="B99" i="6"/>
  <c r="F98" i="6"/>
  <c r="E98" i="6"/>
  <c r="C98" i="6"/>
  <c r="B98" i="6"/>
  <c r="F97" i="6"/>
  <c r="E97" i="6"/>
  <c r="C97" i="6"/>
  <c r="B97" i="6"/>
  <c r="F96" i="6"/>
  <c r="E96" i="6"/>
  <c r="C96" i="6"/>
  <c r="B96" i="6"/>
  <c r="F95" i="6"/>
  <c r="E95" i="6"/>
  <c r="C95" i="6"/>
  <c r="B95" i="6"/>
  <c r="F94" i="6"/>
  <c r="E94" i="6"/>
  <c r="C94" i="6"/>
  <c r="B94" i="6"/>
  <c r="F93" i="6"/>
  <c r="E93" i="6"/>
  <c r="C93" i="6"/>
  <c r="B93" i="6"/>
  <c r="F92" i="6"/>
  <c r="E92" i="6"/>
  <c r="C92" i="6"/>
  <c r="B92" i="6"/>
  <c r="F91" i="6"/>
  <c r="E91" i="6"/>
  <c r="C91" i="6"/>
  <c r="B91" i="6"/>
  <c r="F90" i="6"/>
  <c r="E90" i="6"/>
  <c r="C90" i="6"/>
  <c r="B90" i="6"/>
  <c r="F89" i="6"/>
  <c r="E89" i="6"/>
  <c r="C89" i="6"/>
  <c r="B89" i="6"/>
  <c r="F88" i="6"/>
  <c r="E88" i="6"/>
  <c r="C88" i="6"/>
  <c r="B88" i="6"/>
  <c r="F87" i="6"/>
  <c r="E87" i="6"/>
  <c r="C87" i="6"/>
  <c r="B87" i="6"/>
  <c r="F86" i="6"/>
  <c r="E86" i="6"/>
  <c r="C86" i="6"/>
  <c r="B86" i="6"/>
  <c r="F85" i="6"/>
  <c r="E85" i="6"/>
  <c r="C85" i="6"/>
  <c r="B85" i="6"/>
  <c r="F84" i="6"/>
  <c r="E84" i="6"/>
  <c r="C84" i="6"/>
  <c r="B84" i="6"/>
  <c r="F83" i="6"/>
  <c r="E83" i="6"/>
  <c r="C83" i="6"/>
  <c r="B83" i="6"/>
  <c r="F82" i="6"/>
  <c r="E82" i="6"/>
  <c r="C82" i="6"/>
  <c r="B82" i="6"/>
  <c r="F81" i="6"/>
  <c r="E81" i="6"/>
  <c r="C81" i="6"/>
  <c r="B81" i="6"/>
  <c r="F80" i="6"/>
  <c r="E80" i="6"/>
  <c r="C80" i="6"/>
  <c r="B80" i="6"/>
  <c r="F79" i="6"/>
  <c r="E79" i="6"/>
  <c r="C79" i="6"/>
  <c r="B79" i="6"/>
  <c r="F78" i="6"/>
  <c r="E78" i="6"/>
  <c r="C78" i="6"/>
  <c r="B78" i="6"/>
  <c r="F77" i="6"/>
  <c r="E77" i="6"/>
  <c r="C77" i="6"/>
  <c r="B77" i="6"/>
  <c r="F76" i="6"/>
  <c r="E76" i="6"/>
  <c r="C76" i="6"/>
  <c r="B76" i="6"/>
  <c r="F75" i="6"/>
  <c r="E75" i="6"/>
  <c r="C75" i="6"/>
  <c r="B75" i="6"/>
  <c r="F74" i="6"/>
  <c r="E74" i="6"/>
  <c r="C74" i="6"/>
  <c r="B74" i="6"/>
  <c r="F73" i="6"/>
  <c r="E73" i="6"/>
  <c r="C73" i="6"/>
  <c r="B73" i="6"/>
  <c r="F72" i="6"/>
  <c r="E72" i="6"/>
  <c r="C72" i="6"/>
  <c r="B72" i="6"/>
  <c r="F71" i="6"/>
  <c r="E71" i="6"/>
  <c r="C71" i="6"/>
  <c r="B71" i="6"/>
  <c r="F70" i="6"/>
  <c r="E70" i="6"/>
  <c r="C70" i="6"/>
  <c r="B70" i="6"/>
  <c r="F69" i="6"/>
  <c r="E69" i="6"/>
  <c r="C69" i="6"/>
  <c r="B69" i="6"/>
  <c r="F68" i="6"/>
  <c r="E68" i="6"/>
  <c r="C68" i="6"/>
  <c r="B68" i="6"/>
  <c r="F67" i="6"/>
  <c r="E67" i="6"/>
  <c r="C67" i="6"/>
  <c r="B67" i="6"/>
  <c r="F66" i="6"/>
  <c r="E66" i="6"/>
  <c r="C66" i="6"/>
  <c r="B66" i="6"/>
  <c r="F65" i="6"/>
  <c r="E65" i="6"/>
  <c r="C65" i="6"/>
  <c r="B65" i="6"/>
  <c r="F64" i="6"/>
  <c r="E64" i="6"/>
  <c r="C64" i="6"/>
  <c r="B64" i="6"/>
  <c r="F63" i="6"/>
  <c r="E63" i="6"/>
  <c r="C63" i="6"/>
  <c r="B63" i="6"/>
  <c r="F62" i="6"/>
  <c r="E62" i="6"/>
  <c r="C62" i="6"/>
  <c r="B62" i="6"/>
  <c r="F61" i="6"/>
  <c r="E61" i="6"/>
  <c r="C61" i="6"/>
  <c r="B61" i="6"/>
  <c r="F60" i="6"/>
  <c r="E60" i="6"/>
  <c r="C60" i="6"/>
  <c r="B60" i="6"/>
  <c r="F59" i="6"/>
  <c r="E59" i="6"/>
  <c r="C59" i="6"/>
  <c r="B59" i="6"/>
  <c r="F58" i="6"/>
  <c r="E58" i="6"/>
  <c r="C58" i="6"/>
  <c r="B58" i="6"/>
  <c r="F57" i="6"/>
  <c r="E57" i="6"/>
  <c r="C57" i="6"/>
  <c r="B57" i="6"/>
  <c r="F56" i="6"/>
  <c r="E56" i="6"/>
  <c r="C56" i="6"/>
  <c r="B56" i="6"/>
  <c r="F55" i="6"/>
  <c r="E55" i="6"/>
  <c r="C55" i="6"/>
  <c r="B55" i="6"/>
  <c r="F54" i="6"/>
  <c r="E54" i="6"/>
  <c r="C54" i="6"/>
  <c r="B54" i="6"/>
  <c r="F53" i="6"/>
  <c r="E53" i="6"/>
  <c r="C53" i="6"/>
  <c r="B53" i="6"/>
  <c r="F52" i="6"/>
  <c r="E52" i="6"/>
  <c r="C52" i="6"/>
  <c r="B52" i="6"/>
  <c r="F51" i="6"/>
  <c r="E51" i="6"/>
  <c r="C51" i="6"/>
  <c r="B51" i="6"/>
  <c r="F50" i="6"/>
  <c r="E50" i="6"/>
  <c r="C50" i="6"/>
  <c r="B50" i="6"/>
  <c r="F49" i="6"/>
  <c r="E49" i="6"/>
  <c r="C49" i="6"/>
  <c r="B49" i="6"/>
  <c r="F48" i="6"/>
  <c r="E48" i="6"/>
  <c r="C48" i="6"/>
  <c r="B48" i="6"/>
  <c r="F47" i="6"/>
  <c r="E47" i="6"/>
  <c r="C47" i="6"/>
  <c r="B47" i="6"/>
  <c r="F46" i="6"/>
  <c r="E46" i="6"/>
  <c r="C46" i="6"/>
  <c r="B46" i="6"/>
  <c r="F45" i="6"/>
  <c r="E45" i="6"/>
  <c r="C45" i="6"/>
  <c r="B45" i="6"/>
  <c r="F44" i="6"/>
  <c r="E44" i="6"/>
  <c r="C44" i="6"/>
  <c r="B44" i="6"/>
  <c r="F43" i="6"/>
  <c r="E43" i="6"/>
  <c r="C43" i="6"/>
  <c r="B43" i="6"/>
  <c r="F42" i="6"/>
  <c r="E42" i="6"/>
  <c r="C42" i="6"/>
  <c r="B42" i="6"/>
  <c r="F41" i="6"/>
  <c r="E41" i="6"/>
  <c r="C41" i="6"/>
  <c r="B41" i="6"/>
  <c r="F40" i="6"/>
  <c r="E40" i="6"/>
  <c r="C40" i="6"/>
  <c r="B40" i="6"/>
  <c r="F39" i="6"/>
  <c r="E39" i="6"/>
  <c r="C39" i="6"/>
  <c r="B39" i="6"/>
  <c r="F38" i="6"/>
  <c r="E38" i="6"/>
  <c r="C38" i="6"/>
  <c r="B38" i="6"/>
  <c r="F37" i="6"/>
  <c r="E37" i="6"/>
  <c r="C37" i="6"/>
  <c r="B37" i="6"/>
  <c r="F36" i="6"/>
  <c r="E36" i="6"/>
  <c r="C36" i="6"/>
  <c r="B36" i="6"/>
  <c r="F35" i="6"/>
  <c r="E35" i="6"/>
  <c r="C35" i="6"/>
  <c r="B35" i="6"/>
  <c r="F34" i="6"/>
  <c r="E34" i="6"/>
  <c r="C34" i="6"/>
  <c r="B34" i="6"/>
  <c r="F33" i="6"/>
  <c r="E33" i="6"/>
  <c r="C33" i="6"/>
  <c r="B33" i="6"/>
  <c r="F32" i="6"/>
  <c r="E32" i="6"/>
  <c r="C32" i="6"/>
  <c r="B32" i="6"/>
  <c r="F31" i="6"/>
  <c r="E31" i="6"/>
  <c r="C31" i="6"/>
  <c r="B31" i="6"/>
  <c r="F30" i="6"/>
  <c r="E30" i="6"/>
  <c r="C30" i="6"/>
  <c r="B30" i="6"/>
  <c r="F29" i="6"/>
  <c r="E29" i="6"/>
  <c r="C29" i="6"/>
  <c r="B29" i="6"/>
  <c r="F28" i="6"/>
  <c r="E28" i="6"/>
  <c r="C28" i="6"/>
  <c r="B28" i="6"/>
  <c r="F27" i="6"/>
  <c r="E27" i="6"/>
  <c r="C27" i="6"/>
  <c r="B27" i="6"/>
  <c r="F26" i="6"/>
  <c r="E26" i="6"/>
  <c r="C26" i="6"/>
  <c r="B26" i="6"/>
  <c r="F25" i="6"/>
  <c r="E25" i="6"/>
  <c r="C25" i="6"/>
  <c r="B25" i="6"/>
  <c r="F24" i="6"/>
  <c r="E24" i="6"/>
  <c r="C24" i="6"/>
  <c r="B24" i="6"/>
  <c r="F23" i="6"/>
  <c r="E23" i="6"/>
  <c r="C23" i="6"/>
  <c r="B23" i="6"/>
  <c r="F22" i="6"/>
  <c r="E22" i="6"/>
  <c r="C22" i="6"/>
  <c r="B22" i="6"/>
  <c r="F21" i="6"/>
  <c r="E21" i="6"/>
  <c r="C21" i="6"/>
  <c r="B21" i="6"/>
  <c r="F20" i="6"/>
  <c r="E20" i="6"/>
  <c r="C20" i="6"/>
  <c r="B20" i="6"/>
  <c r="F19" i="6"/>
  <c r="E19" i="6"/>
  <c r="C19" i="6"/>
  <c r="B19" i="6"/>
  <c r="F18" i="6"/>
  <c r="E18" i="6"/>
  <c r="C18" i="6"/>
  <c r="B18" i="6"/>
  <c r="F17" i="6"/>
  <c r="E17" i="6"/>
  <c r="C17" i="6"/>
  <c r="B17" i="6"/>
  <c r="F16" i="6"/>
  <c r="E16" i="6"/>
  <c r="C16" i="6"/>
  <c r="B16" i="6"/>
  <c r="F15" i="6"/>
  <c r="E15" i="6"/>
  <c r="C15" i="6"/>
  <c r="B15" i="6"/>
  <c r="F14" i="6"/>
  <c r="E14" i="6"/>
  <c r="C14" i="6"/>
  <c r="B14" i="6"/>
  <c r="F13" i="6"/>
  <c r="E13" i="6"/>
  <c r="C13" i="6"/>
  <c r="B13" i="6"/>
  <c r="F12" i="6"/>
  <c r="E12" i="6"/>
  <c r="C12" i="6"/>
  <c r="B12" i="6"/>
  <c r="F11" i="6"/>
  <c r="E11" i="6"/>
  <c r="C11" i="6"/>
  <c r="B11" i="6"/>
  <c r="F10" i="6"/>
  <c r="E10" i="6"/>
  <c r="C10" i="6"/>
  <c r="B10" i="6"/>
  <c r="F9" i="6"/>
  <c r="E9" i="6"/>
  <c r="C9" i="6"/>
  <c r="B9" i="6"/>
  <c r="F8" i="6"/>
  <c r="E8" i="6"/>
  <c r="C8" i="6"/>
  <c r="B8" i="6"/>
  <c r="F7" i="6"/>
  <c r="E7" i="6"/>
  <c r="C7" i="6"/>
  <c r="B7" i="6"/>
  <c r="F6" i="6"/>
  <c r="E6" i="6"/>
  <c r="C6" i="6"/>
  <c r="B6" i="6"/>
  <c r="F5" i="6"/>
  <c r="E5" i="6"/>
  <c r="C5" i="6"/>
  <c r="B5" i="6"/>
  <c r="F4" i="6"/>
  <c r="E4" i="6"/>
  <c r="C4" i="6"/>
  <c r="B4" i="6"/>
  <c r="F3" i="6"/>
  <c r="E3" i="6"/>
  <c r="C3" i="6"/>
  <c r="B3" i="6"/>
  <c r="F2" i="6"/>
  <c r="E2" i="6"/>
  <c r="C2" i="6"/>
  <c r="B2" i="6"/>
  <c r="A177" i="4"/>
  <c r="A176" i="4"/>
  <c r="A175" i="4"/>
  <c r="A174" i="4"/>
  <c r="A173" i="4"/>
  <c r="A172" i="4"/>
  <c r="A171" i="4"/>
  <c r="A170" i="4"/>
  <c r="A169"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F143" i="4" a="1"/>
  <c r="F143" i="4" s="1"/>
  <c r="A143" i="4"/>
  <c r="A142" i="4"/>
  <c r="F141" i="4" a="1"/>
  <c r="F141" i="4" s="1"/>
  <c r="A141" i="4"/>
  <c r="A140" i="4"/>
  <c r="A139" i="4"/>
  <c r="A138" i="4"/>
  <c r="A137" i="4"/>
  <c r="F136" i="4" a="1"/>
  <c r="F136" i="4" s="1"/>
  <c r="A136" i="4"/>
  <c r="F135" i="4" a="1"/>
  <c r="F135" i="4" s="1"/>
  <c r="A135" i="4"/>
  <c r="F134" i="4" a="1"/>
  <c r="F134" i="4" s="1"/>
  <c r="A134" i="4"/>
  <c r="A133" i="4"/>
  <c r="A132" i="4"/>
  <c r="A131" i="4"/>
  <c r="A130" i="4"/>
  <c r="A129" i="4"/>
  <c r="A128" i="4"/>
  <c r="A127"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A6" i="4"/>
  <c r="A5" i="4"/>
  <c r="A4" i="4"/>
  <c r="A3" i="4"/>
  <c r="A2" i="4"/>
  <c r="U305" i="3"/>
  <c r="H305" i="3"/>
  <c r="F305" i="3"/>
  <c r="U304" i="3"/>
  <c r="H304" i="3"/>
  <c r="F304" i="3"/>
  <c r="U303" i="3"/>
  <c r="H303" i="3"/>
  <c r="F303" i="3"/>
  <c r="U302" i="3"/>
  <c r="H302" i="3"/>
  <c r="F302" i="3"/>
  <c r="U301" i="3"/>
  <c r="H301" i="3"/>
  <c r="F301" i="3"/>
  <c r="U300" i="3"/>
  <c r="H300" i="3"/>
  <c r="F300" i="3"/>
  <c r="U299" i="3"/>
  <c r="H299" i="3"/>
  <c r="F299" i="3"/>
  <c r="U298" i="3"/>
  <c r="H298" i="3"/>
  <c r="F298" i="3"/>
  <c r="U297" i="3"/>
  <c r="H297" i="3"/>
  <c r="F297" i="3"/>
  <c r="U296" i="3"/>
  <c r="H296" i="3"/>
  <c r="F296" i="3"/>
  <c r="U295" i="3"/>
  <c r="H295" i="3"/>
  <c r="F295" i="3"/>
  <c r="U294" i="3"/>
  <c r="H294" i="3"/>
  <c r="F294" i="3"/>
  <c r="U293" i="3"/>
  <c r="H293" i="3"/>
  <c r="F293" i="3"/>
  <c r="U292" i="3"/>
  <c r="H292" i="3"/>
  <c r="F292" i="3"/>
  <c r="U291" i="3"/>
  <c r="H291" i="3"/>
  <c r="F291" i="3"/>
  <c r="U290" i="3"/>
  <c r="H290" i="3"/>
  <c r="F290" i="3"/>
  <c r="U289" i="3"/>
  <c r="H289" i="3"/>
  <c r="F289" i="3"/>
  <c r="U288" i="3"/>
  <c r="H288" i="3"/>
  <c r="F288" i="3"/>
  <c r="U287" i="3"/>
  <c r="H287" i="3"/>
  <c r="F287" i="3"/>
  <c r="U286" i="3"/>
  <c r="H286" i="3"/>
  <c r="F286" i="3"/>
  <c r="U285" i="3"/>
  <c r="H285" i="3"/>
  <c r="F285" i="3"/>
  <c r="U284" i="3"/>
  <c r="H284" i="3"/>
  <c r="F284" i="3"/>
  <c r="U283" i="3"/>
  <c r="H283" i="3"/>
  <c r="F283" i="3"/>
  <c r="U282" i="3"/>
  <c r="H282" i="3"/>
  <c r="F282" i="3"/>
  <c r="U281" i="3"/>
  <c r="H281" i="3"/>
  <c r="F281" i="3"/>
  <c r="U280" i="3"/>
  <c r="H280" i="3"/>
  <c r="F280" i="3"/>
  <c r="U279" i="3"/>
  <c r="H279" i="3"/>
  <c r="F279" i="3"/>
  <c r="U278" i="3"/>
  <c r="H278" i="3"/>
  <c r="F278" i="3"/>
  <c r="U277" i="3"/>
  <c r="H277" i="3"/>
  <c r="F277" i="3"/>
  <c r="U276" i="3"/>
  <c r="H276" i="3"/>
  <c r="F276" i="3"/>
  <c r="U275" i="3"/>
  <c r="H275" i="3"/>
  <c r="F275" i="3"/>
  <c r="U274" i="3"/>
  <c r="H274" i="3"/>
  <c r="F274" i="3"/>
  <c r="U273" i="3"/>
  <c r="H273" i="3"/>
  <c r="F273" i="3"/>
  <c r="U272" i="3"/>
  <c r="H272" i="3"/>
  <c r="F272" i="3"/>
  <c r="U271" i="3"/>
  <c r="H271" i="3"/>
  <c r="F271" i="3"/>
  <c r="U270" i="3"/>
  <c r="H270" i="3"/>
  <c r="F270" i="3"/>
  <c r="U269" i="3"/>
  <c r="H269" i="3"/>
  <c r="F269" i="3"/>
  <c r="U268" i="3"/>
  <c r="H268" i="3"/>
  <c r="F268" i="3"/>
  <c r="U267" i="3"/>
  <c r="H267" i="3"/>
  <c r="F267" i="3"/>
  <c r="U266" i="3"/>
  <c r="H266" i="3"/>
  <c r="F266" i="3"/>
  <c r="U265" i="3"/>
  <c r="H265" i="3"/>
  <c r="F265" i="3"/>
  <c r="U264" i="3"/>
  <c r="H264" i="3"/>
  <c r="F264" i="3"/>
  <c r="U263" i="3"/>
  <c r="H263" i="3"/>
  <c r="F263" i="3"/>
  <c r="U262" i="3"/>
  <c r="H262" i="3"/>
  <c r="F262" i="3"/>
  <c r="U261" i="3"/>
  <c r="H261" i="3"/>
  <c r="F261" i="3"/>
  <c r="U260" i="3"/>
  <c r="H260" i="3"/>
  <c r="F260" i="3"/>
  <c r="U259" i="3"/>
  <c r="H259" i="3"/>
  <c r="F259" i="3"/>
  <c r="U258" i="3"/>
  <c r="H258" i="3"/>
  <c r="F258" i="3"/>
  <c r="U257" i="3"/>
  <c r="H257" i="3"/>
  <c r="F257" i="3"/>
  <c r="U256" i="3"/>
  <c r="H256" i="3"/>
  <c r="F256" i="3"/>
  <c r="U255" i="3"/>
  <c r="H255" i="3"/>
  <c r="F255" i="3"/>
  <c r="U254" i="3"/>
  <c r="H254" i="3"/>
  <c r="F254" i="3"/>
  <c r="U253" i="3"/>
  <c r="H253" i="3"/>
  <c r="F253" i="3"/>
  <c r="U252" i="3"/>
  <c r="H252" i="3"/>
  <c r="F252" i="3"/>
  <c r="U251" i="3"/>
  <c r="H251" i="3"/>
  <c r="F251" i="3"/>
  <c r="U250" i="3"/>
  <c r="H250" i="3"/>
  <c r="F250" i="3"/>
  <c r="U249" i="3"/>
  <c r="H249" i="3"/>
  <c r="F249" i="3"/>
  <c r="U248" i="3"/>
  <c r="H248" i="3"/>
  <c r="F248" i="3"/>
  <c r="U247" i="3"/>
  <c r="H247" i="3"/>
  <c r="F247" i="3"/>
  <c r="U246" i="3"/>
  <c r="H246" i="3"/>
  <c r="F246" i="3"/>
  <c r="U245" i="3"/>
  <c r="H245" i="3"/>
  <c r="F245" i="3"/>
  <c r="U244" i="3"/>
  <c r="H244" i="3"/>
  <c r="F244" i="3"/>
  <c r="U243" i="3"/>
  <c r="H243" i="3"/>
  <c r="F243" i="3"/>
  <c r="U242" i="3"/>
  <c r="H242" i="3"/>
  <c r="F242" i="3"/>
  <c r="U241" i="3"/>
  <c r="H241" i="3"/>
  <c r="F241" i="3"/>
  <c r="U240" i="3"/>
  <c r="H240" i="3"/>
  <c r="F240" i="3"/>
  <c r="U239" i="3"/>
  <c r="H239" i="3"/>
  <c r="F239" i="3"/>
  <c r="U238" i="3"/>
  <c r="H238" i="3"/>
  <c r="F238" i="3"/>
  <c r="U237" i="3"/>
  <c r="H237" i="3"/>
  <c r="F237" i="3"/>
  <c r="U236" i="3"/>
  <c r="H236" i="3"/>
  <c r="F236" i="3"/>
  <c r="U235" i="3"/>
  <c r="H235" i="3"/>
  <c r="F235" i="3"/>
  <c r="U234" i="3"/>
  <c r="H234" i="3"/>
  <c r="F234" i="3"/>
  <c r="U233" i="3"/>
  <c r="H233" i="3"/>
  <c r="F233" i="3"/>
  <c r="U232" i="3"/>
  <c r="H232" i="3"/>
  <c r="F232" i="3"/>
  <c r="U231" i="3"/>
  <c r="H231" i="3"/>
  <c r="F231" i="3"/>
  <c r="U230" i="3"/>
  <c r="H230" i="3"/>
  <c r="F230" i="3"/>
  <c r="U229" i="3"/>
  <c r="H229" i="3"/>
  <c r="F229" i="3"/>
  <c r="U228" i="3"/>
  <c r="H228" i="3"/>
  <c r="F228" i="3"/>
  <c r="U227" i="3"/>
  <c r="H227" i="3"/>
  <c r="F227" i="3"/>
  <c r="U226" i="3"/>
  <c r="H226" i="3"/>
  <c r="F226" i="3"/>
  <c r="U225" i="3"/>
  <c r="H225" i="3"/>
  <c r="F225" i="3"/>
  <c r="U224" i="3"/>
  <c r="H224" i="3"/>
  <c r="F224" i="3"/>
  <c r="U223" i="3"/>
  <c r="H223" i="3"/>
  <c r="F223" i="3"/>
  <c r="U222" i="3"/>
  <c r="H222" i="3"/>
  <c r="F222" i="3"/>
  <c r="U221" i="3"/>
  <c r="H221" i="3"/>
  <c r="F221" i="3"/>
  <c r="U220" i="3"/>
  <c r="H220" i="3"/>
  <c r="F220" i="3"/>
  <c r="U219" i="3"/>
  <c r="H219" i="3"/>
  <c r="F219" i="3"/>
  <c r="U218" i="3"/>
  <c r="H218" i="3"/>
  <c r="F218" i="3"/>
  <c r="U217" i="3"/>
  <c r="H217" i="3"/>
  <c r="F217" i="3"/>
  <c r="U216" i="3"/>
  <c r="H216" i="3"/>
  <c r="F216" i="3"/>
  <c r="U215" i="3"/>
  <c r="H215" i="3"/>
  <c r="F215" i="3"/>
  <c r="U214" i="3"/>
  <c r="H214" i="3"/>
  <c r="F214" i="3"/>
  <c r="U213" i="3"/>
  <c r="H213" i="3"/>
  <c r="F213" i="3"/>
  <c r="U212" i="3"/>
  <c r="H212" i="3"/>
  <c r="F212" i="3"/>
  <c r="U211" i="3"/>
  <c r="H211" i="3"/>
  <c r="F211" i="3"/>
  <c r="U210" i="3"/>
  <c r="H210" i="3"/>
  <c r="F210" i="3"/>
  <c r="U209" i="3"/>
  <c r="H209" i="3"/>
  <c r="F209" i="3"/>
  <c r="U208" i="3"/>
  <c r="H208" i="3"/>
  <c r="F208" i="3"/>
  <c r="U207" i="3"/>
  <c r="H207" i="3"/>
  <c r="F207" i="3"/>
  <c r="U206" i="3"/>
  <c r="H206" i="3"/>
  <c r="F206" i="3"/>
  <c r="U205" i="3"/>
  <c r="H205" i="3"/>
  <c r="F205" i="3"/>
  <c r="U204" i="3"/>
  <c r="H204" i="3"/>
  <c r="F204" i="3"/>
  <c r="U203" i="3"/>
  <c r="H203" i="3"/>
  <c r="F203" i="3"/>
  <c r="U202" i="3"/>
  <c r="H202" i="3"/>
  <c r="F202" i="3"/>
  <c r="U201" i="3"/>
  <c r="H201" i="3"/>
  <c r="F201" i="3"/>
  <c r="U200" i="3"/>
  <c r="H200" i="3"/>
  <c r="F200" i="3"/>
  <c r="U199" i="3"/>
  <c r="H199" i="3"/>
  <c r="F199" i="3"/>
  <c r="U198" i="3"/>
  <c r="H198" i="3"/>
  <c r="F198" i="3"/>
  <c r="U197" i="3"/>
  <c r="H197" i="3"/>
  <c r="F197" i="3"/>
  <c r="U196" i="3"/>
  <c r="H196" i="3"/>
  <c r="F196" i="3"/>
  <c r="U195" i="3"/>
  <c r="H195" i="3"/>
  <c r="F195" i="3"/>
  <c r="U194" i="3"/>
  <c r="H194" i="3"/>
  <c r="F194" i="3"/>
  <c r="U193" i="3"/>
  <c r="H193" i="3"/>
  <c r="F193" i="3"/>
  <c r="U192" i="3"/>
  <c r="H192" i="3"/>
  <c r="F192" i="3"/>
  <c r="U191" i="3"/>
  <c r="H191" i="3"/>
  <c r="F191" i="3"/>
  <c r="U190" i="3"/>
  <c r="H190" i="3"/>
  <c r="F190" i="3"/>
  <c r="U189" i="3"/>
  <c r="H189" i="3"/>
  <c r="F189" i="3"/>
  <c r="U188" i="3"/>
  <c r="H188" i="3"/>
  <c r="F188" i="3"/>
  <c r="U187" i="3"/>
  <c r="H187" i="3"/>
  <c r="F187" i="3"/>
  <c r="U186" i="3"/>
  <c r="H186" i="3"/>
  <c r="F186" i="3"/>
  <c r="U185" i="3"/>
  <c r="H185" i="3"/>
  <c r="F185" i="3"/>
  <c r="U184" i="3"/>
  <c r="H184" i="3"/>
  <c r="F184" i="3"/>
  <c r="U183" i="3"/>
  <c r="H183" i="3"/>
  <c r="F183" i="3"/>
  <c r="U182" i="3"/>
  <c r="H182" i="3"/>
  <c r="F182" i="3"/>
  <c r="U181" i="3"/>
  <c r="H181" i="3"/>
  <c r="F181" i="3"/>
  <c r="U180" i="3"/>
  <c r="H180" i="3"/>
  <c r="F180" i="3"/>
  <c r="U179" i="3"/>
  <c r="H179" i="3"/>
  <c r="F179" i="3"/>
  <c r="U178" i="3"/>
  <c r="H178" i="3"/>
  <c r="F178" i="3"/>
  <c r="U177" i="3"/>
  <c r="H177" i="3"/>
  <c r="F177" i="3"/>
  <c r="U176" i="3"/>
  <c r="H176" i="3"/>
  <c r="F176" i="3"/>
  <c r="U175" i="3"/>
  <c r="H175" i="3"/>
  <c r="F175" i="3"/>
  <c r="U174" i="3"/>
  <c r="H174" i="3"/>
  <c r="F174" i="3"/>
  <c r="U173" i="3"/>
  <c r="H173" i="3"/>
  <c r="F173" i="3"/>
  <c r="U172" i="3"/>
  <c r="H172" i="3"/>
  <c r="F172" i="3"/>
  <c r="U171" i="3"/>
  <c r="H171" i="3"/>
  <c r="F171" i="3"/>
  <c r="U170" i="3"/>
  <c r="H170" i="3"/>
  <c r="F170" i="3"/>
  <c r="U169" i="3"/>
  <c r="H169" i="3"/>
  <c r="F169" i="3"/>
  <c r="U168" i="3"/>
  <c r="H168" i="3"/>
  <c r="F168" i="3"/>
  <c r="U167" i="3"/>
  <c r="H167" i="3"/>
  <c r="F167" i="3"/>
  <c r="U166" i="3"/>
  <c r="H166" i="3"/>
  <c r="F166" i="3"/>
  <c r="U165" i="3"/>
  <c r="H165" i="3"/>
  <c r="F165" i="3"/>
  <c r="U164" i="3"/>
  <c r="H164" i="3"/>
  <c r="F164" i="3"/>
  <c r="U163" i="3"/>
  <c r="H163" i="3"/>
  <c r="F163" i="3"/>
  <c r="U162" i="3"/>
  <c r="H162" i="3"/>
  <c r="F162" i="3"/>
  <c r="U161" i="3"/>
  <c r="H161" i="3"/>
  <c r="F161" i="3"/>
  <c r="U160" i="3"/>
  <c r="H160" i="3"/>
  <c r="F160" i="3"/>
  <c r="U159" i="3"/>
  <c r="H159" i="3"/>
  <c r="F159" i="3"/>
  <c r="U158" i="3"/>
  <c r="H158" i="3"/>
  <c r="F158" i="3"/>
  <c r="U157" i="3"/>
  <c r="H157" i="3"/>
  <c r="F157" i="3"/>
  <c r="U156" i="3"/>
  <c r="H156" i="3"/>
  <c r="F156" i="3"/>
  <c r="U155" i="3"/>
  <c r="H155" i="3"/>
  <c r="F155" i="3"/>
  <c r="U154" i="3"/>
  <c r="H154" i="3"/>
  <c r="F154" i="3"/>
  <c r="U153" i="3"/>
  <c r="H153" i="3"/>
  <c r="F153" i="3"/>
  <c r="U152" i="3"/>
  <c r="H152" i="3"/>
  <c r="F152" i="3"/>
  <c r="U151" i="3"/>
  <c r="H151" i="3"/>
  <c r="F151" i="3"/>
  <c r="U150" i="3"/>
  <c r="H150" i="3"/>
  <c r="F150" i="3"/>
  <c r="U149" i="3"/>
  <c r="H149" i="3"/>
  <c r="F149" i="3"/>
  <c r="U148" i="3"/>
  <c r="H148" i="3"/>
  <c r="F148" i="3"/>
  <c r="U147" i="3"/>
  <c r="H147" i="3"/>
  <c r="F147" i="3"/>
  <c r="U146" i="3"/>
  <c r="H146" i="3"/>
  <c r="F146" i="3"/>
  <c r="U145" i="3"/>
  <c r="H145" i="3"/>
  <c r="F145" i="3"/>
  <c r="U144" i="3"/>
  <c r="H144" i="3"/>
  <c r="F144" i="3"/>
  <c r="U143" i="3"/>
  <c r="H143" i="3"/>
  <c r="F143" i="3"/>
  <c r="U142" i="3"/>
  <c r="H142" i="3"/>
  <c r="F142" i="3"/>
  <c r="U141" i="3"/>
  <c r="H141" i="3"/>
  <c r="F141" i="3"/>
  <c r="U140" i="3"/>
  <c r="H140" i="3"/>
  <c r="F140" i="3"/>
  <c r="U139" i="3"/>
  <c r="H139" i="3"/>
  <c r="F139" i="3"/>
  <c r="U138" i="3"/>
  <c r="H138" i="3"/>
  <c r="F138" i="3"/>
  <c r="U137" i="3"/>
  <c r="H137" i="3"/>
  <c r="F137" i="3"/>
  <c r="U136" i="3"/>
  <c r="H136" i="3"/>
  <c r="F136" i="3"/>
  <c r="U135" i="3"/>
  <c r="H135" i="3"/>
  <c r="F135" i="3"/>
  <c r="U134" i="3"/>
  <c r="H134" i="3"/>
  <c r="F134" i="3"/>
  <c r="U133" i="3"/>
  <c r="H133" i="3"/>
  <c r="F133" i="3"/>
  <c r="U132" i="3"/>
  <c r="H132" i="3"/>
  <c r="F132" i="3"/>
  <c r="U131" i="3"/>
  <c r="H131" i="3"/>
  <c r="F131" i="3"/>
  <c r="U130" i="3"/>
  <c r="H130" i="3"/>
  <c r="F130" i="3"/>
  <c r="U129" i="3"/>
  <c r="H129" i="3"/>
  <c r="F129" i="3"/>
  <c r="U128" i="3"/>
  <c r="H128" i="3"/>
  <c r="F128" i="3"/>
  <c r="U127" i="3"/>
  <c r="H127" i="3"/>
  <c r="F127" i="3"/>
  <c r="U126" i="3"/>
  <c r="H126" i="3"/>
  <c r="F126" i="3"/>
  <c r="U125" i="3"/>
  <c r="H125" i="3"/>
  <c r="F125" i="3"/>
  <c r="U124" i="3"/>
  <c r="H124" i="3"/>
  <c r="F124" i="3"/>
  <c r="U123" i="3"/>
  <c r="H123" i="3"/>
  <c r="F123" i="3"/>
  <c r="U122" i="3"/>
  <c r="H122" i="3"/>
  <c r="F122" i="3"/>
  <c r="U121" i="3"/>
  <c r="H121" i="3"/>
  <c r="F121" i="3"/>
  <c r="U120" i="3"/>
  <c r="H120" i="3"/>
  <c r="F120" i="3"/>
  <c r="U119" i="3"/>
  <c r="H119" i="3"/>
  <c r="F119" i="3"/>
  <c r="U118" i="3"/>
  <c r="H118" i="3"/>
  <c r="F118" i="3"/>
  <c r="U117" i="3"/>
  <c r="H117" i="3"/>
  <c r="F117" i="3"/>
  <c r="U116" i="3"/>
  <c r="H116" i="3"/>
  <c r="F116" i="3"/>
  <c r="U115" i="3"/>
  <c r="H115" i="3"/>
  <c r="F115" i="3"/>
  <c r="U114" i="3"/>
  <c r="H114" i="3"/>
  <c r="F114" i="3"/>
  <c r="U113" i="3"/>
  <c r="H113" i="3"/>
  <c r="F113" i="3"/>
  <c r="U112" i="3"/>
  <c r="H112" i="3"/>
  <c r="F112" i="3"/>
  <c r="U111" i="3"/>
  <c r="H111" i="3"/>
  <c r="F111" i="3"/>
  <c r="U110" i="3"/>
  <c r="H110" i="3"/>
  <c r="F110" i="3"/>
  <c r="U109" i="3"/>
  <c r="H109" i="3"/>
  <c r="F109" i="3"/>
  <c r="U108" i="3"/>
  <c r="H108" i="3"/>
  <c r="F108" i="3"/>
  <c r="U107" i="3"/>
  <c r="H107" i="3"/>
  <c r="F107" i="3"/>
  <c r="A107" i="3"/>
  <c r="U106" i="3"/>
  <c r="H106" i="3"/>
  <c r="F106" i="3"/>
  <c r="A106" i="3"/>
  <c r="U105" i="3"/>
  <c r="H105" i="3"/>
  <c r="F105" i="3"/>
  <c r="A105" i="3"/>
  <c r="U104" i="3"/>
  <c r="H104" i="3"/>
  <c r="F104" i="3"/>
  <c r="A104" i="3"/>
  <c r="U103" i="3"/>
  <c r="H103" i="3"/>
  <c r="F103" i="3"/>
  <c r="A103" i="3"/>
  <c r="U102" i="3"/>
  <c r="H102" i="3"/>
  <c r="F102" i="3"/>
  <c r="A102" i="3"/>
  <c r="U101" i="3"/>
  <c r="H101" i="3"/>
  <c r="F101" i="3"/>
  <c r="A101" i="3"/>
  <c r="U100" i="3"/>
  <c r="H100" i="3"/>
  <c r="F100" i="3"/>
  <c r="A100" i="3"/>
  <c r="U99" i="3"/>
  <c r="H99" i="3"/>
  <c r="F99" i="3"/>
  <c r="A99" i="3"/>
  <c r="U98" i="3"/>
  <c r="H98" i="3"/>
  <c r="F98" i="3"/>
  <c r="A98" i="3"/>
  <c r="U97" i="3"/>
  <c r="H97" i="3"/>
  <c r="F97" i="3"/>
  <c r="A97" i="3"/>
  <c r="U96" i="3"/>
  <c r="H96" i="3"/>
  <c r="F96" i="3"/>
  <c r="A96" i="3"/>
  <c r="U95" i="3"/>
  <c r="H95" i="3"/>
  <c r="F95" i="3"/>
  <c r="A95" i="3"/>
  <c r="U94" i="3"/>
  <c r="H94" i="3"/>
  <c r="F94" i="3"/>
  <c r="A94" i="3"/>
  <c r="U93" i="3"/>
  <c r="H93" i="3"/>
  <c r="F93" i="3"/>
  <c r="A93" i="3"/>
  <c r="U92" i="3"/>
  <c r="H92" i="3"/>
  <c r="F92" i="3"/>
  <c r="A92" i="3"/>
  <c r="U91" i="3"/>
  <c r="H91" i="3"/>
  <c r="F91" i="3"/>
  <c r="A91" i="3"/>
  <c r="U90" i="3"/>
  <c r="H90" i="3"/>
  <c r="F90" i="3"/>
  <c r="A90" i="3"/>
  <c r="U89" i="3"/>
  <c r="H89" i="3"/>
  <c r="F89" i="3"/>
  <c r="A89" i="3"/>
  <c r="U88" i="3"/>
  <c r="H88" i="3"/>
  <c r="F88" i="3"/>
  <c r="A88" i="3"/>
  <c r="U87" i="3"/>
  <c r="H87" i="3"/>
  <c r="F87" i="3"/>
  <c r="A87" i="3"/>
  <c r="U86" i="3"/>
  <c r="H86" i="3"/>
  <c r="F86" i="3"/>
  <c r="A86" i="3"/>
  <c r="U85" i="3"/>
  <c r="H85" i="3"/>
  <c r="F85" i="3"/>
  <c r="A85" i="3"/>
  <c r="U84" i="3"/>
  <c r="H84" i="3"/>
  <c r="F84" i="3"/>
  <c r="A84" i="3"/>
  <c r="U83" i="3"/>
  <c r="H83" i="3"/>
  <c r="F83" i="3"/>
  <c r="A83" i="3"/>
  <c r="U82" i="3"/>
  <c r="H82" i="3"/>
  <c r="F82" i="3"/>
  <c r="A82" i="3"/>
  <c r="U81" i="3"/>
  <c r="H81" i="3"/>
  <c r="F81" i="3"/>
  <c r="A81" i="3"/>
  <c r="U80" i="3"/>
  <c r="H80" i="3"/>
  <c r="F80" i="3"/>
  <c r="A80" i="3"/>
  <c r="U79" i="3"/>
  <c r="H79" i="3"/>
  <c r="F79" i="3"/>
  <c r="A79" i="3"/>
  <c r="U78" i="3"/>
  <c r="H78" i="3"/>
  <c r="F78" i="3"/>
  <c r="A78" i="3"/>
  <c r="U77" i="3"/>
  <c r="H77" i="3"/>
  <c r="F77" i="3"/>
  <c r="A77" i="3"/>
  <c r="U76" i="3"/>
  <c r="H76" i="3"/>
  <c r="F76" i="3"/>
  <c r="A76" i="3"/>
  <c r="U75" i="3"/>
  <c r="H75" i="3"/>
  <c r="F75" i="3"/>
  <c r="A75" i="3"/>
  <c r="U74" i="3"/>
  <c r="H74" i="3"/>
  <c r="F74" i="3"/>
  <c r="A74" i="3"/>
  <c r="U73" i="3"/>
  <c r="H73" i="3"/>
  <c r="F73" i="3"/>
  <c r="A73" i="3"/>
  <c r="U72" i="3"/>
  <c r="H72" i="3"/>
  <c r="F72" i="3"/>
  <c r="A72" i="3"/>
  <c r="U71" i="3"/>
  <c r="H71" i="3"/>
  <c r="F71" i="3"/>
  <c r="A71" i="3"/>
  <c r="U70" i="3"/>
  <c r="H70" i="3"/>
  <c r="F70" i="3"/>
  <c r="A70" i="3"/>
  <c r="U69" i="3"/>
  <c r="H69" i="3"/>
  <c r="F69" i="3"/>
  <c r="A69" i="3"/>
  <c r="U68" i="3"/>
  <c r="H68" i="3"/>
  <c r="F68" i="3"/>
  <c r="A68" i="3"/>
  <c r="U67" i="3"/>
  <c r="H67" i="3"/>
  <c r="F67" i="3"/>
  <c r="A67" i="3"/>
  <c r="U66" i="3"/>
  <c r="H66" i="3"/>
  <c r="F66" i="3"/>
  <c r="A66" i="3"/>
  <c r="U65" i="3"/>
  <c r="H65" i="3"/>
  <c r="F65" i="3"/>
  <c r="A65" i="3"/>
  <c r="U64" i="3"/>
  <c r="H64" i="3"/>
  <c r="F64" i="3"/>
  <c r="A64" i="3"/>
  <c r="U54" i="3"/>
  <c r="H54" i="3"/>
  <c r="F54" i="3"/>
  <c r="A54" i="3"/>
  <c r="U53" i="3"/>
  <c r="H53" i="3"/>
  <c r="F53" i="3"/>
  <c r="A53" i="3"/>
  <c r="U52" i="3"/>
  <c r="H52" i="3"/>
  <c r="F52" i="3"/>
  <c r="A52" i="3"/>
  <c r="U51" i="3"/>
  <c r="H51" i="3"/>
  <c r="F51" i="3"/>
  <c r="A51" i="3"/>
  <c r="U50" i="3"/>
  <c r="H50" i="3"/>
  <c r="F50" i="3"/>
  <c r="A50" i="3"/>
  <c r="U49" i="3"/>
  <c r="H49" i="3"/>
  <c r="F49" i="3"/>
  <c r="A49" i="3"/>
  <c r="U48" i="3"/>
  <c r="H48" i="3"/>
  <c r="F48" i="3"/>
  <c r="A48" i="3"/>
  <c r="U47" i="3"/>
  <c r="F47" i="3"/>
  <c r="A47" i="3"/>
  <c r="U46" i="3"/>
  <c r="H46" i="3"/>
  <c r="F46" i="3"/>
  <c r="A46" i="3"/>
  <c r="U45" i="3"/>
  <c r="H45" i="3"/>
  <c r="F45" i="3"/>
  <c r="A45" i="3"/>
  <c r="U44" i="3"/>
  <c r="H44" i="3"/>
  <c r="F44" i="3"/>
  <c r="A44" i="3"/>
  <c r="U43" i="3"/>
  <c r="H43" i="3"/>
  <c r="F43" i="3"/>
  <c r="A43" i="3"/>
  <c r="U42" i="3"/>
  <c r="H42" i="3"/>
  <c r="F42" i="3"/>
  <c r="A42" i="3"/>
  <c r="U41" i="3"/>
  <c r="H41" i="3"/>
  <c r="F41" i="3"/>
  <c r="A41" i="3"/>
  <c r="U40" i="3"/>
  <c r="H40" i="3"/>
  <c r="F40" i="3"/>
  <c r="A40" i="3"/>
  <c r="U39" i="3"/>
  <c r="H39" i="3"/>
  <c r="F39" i="3"/>
  <c r="A39" i="3"/>
  <c r="U38" i="3"/>
  <c r="H38" i="3"/>
  <c r="F38" i="3"/>
  <c r="A38" i="3"/>
  <c r="U37" i="3"/>
  <c r="H37" i="3"/>
  <c r="F37" i="3"/>
  <c r="A37" i="3"/>
  <c r="U36" i="3"/>
  <c r="H36" i="3"/>
  <c r="F36" i="3"/>
  <c r="A36" i="3"/>
  <c r="U35" i="3"/>
  <c r="H35" i="3"/>
  <c r="F35" i="3"/>
  <c r="A35" i="3"/>
  <c r="U34" i="3"/>
  <c r="H34" i="3"/>
  <c r="F34" i="3"/>
  <c r="A34" i="3"/>
  <c r="U33" i="3"/>
  <c r="H33" i="3"/>
  <c r="F33" i="3"/>
  <c r="A33" i="3"/>
  <c r="U32" i="3"/>
  <c r="H32" i="3"/>
  <c r="F32" i="3"/>
  <c r="A32" i="3"/>
  <c r="U31" i="3"/>
  <c r="H31" i="3"/>
  <c r="F31" i="3"/>
  <c r="A31" i="3"/>
  <c r="U30" i="3"/>
  <c r="H30" i="3"/>
  <c r="F30" i="3"/>
  <c r="A30" i="3"/>
  <c r="U29" i="3"/>
  <c r="H29" i="3"/>
  <c r="F29" i="3"/>
  <c r="A29" i="3"/>
  <c r="U28" i="3"/>
  <c r="H28" i="3"/>
  <c r="F28" i="3"/>
  <c r="A28" i="3"/>
  <c r="U27" i="3"/>
  <c r="H27" i="3"/>
  <c r="F27" i="3"/>
  <c r="A27" i="3"/>
  <c r="U26" i="3"/>
  <c r="H26" i="3"/>
  <c r="F26" i="3"/>
  <c r="A26" i="3"/>
  <c r="U25" i="3"/>
  <c r="H25" i="3"/>
  <c r="F25" i="3"/>
  <c r="A25" i="3"/>
  <c r="U24" i="3"/>
  <c r="H24" i="3"/>
  <c r="F24" i="3"/>
  <c r="A24" i="3"/>
  <c r="U23" i="3"/>
  <c r="H23" i="3"/>
  <c r="F23" i="3"/>
  <c r="A23" i="3"/>
  <c r="U22" i="3"/>
  <c r="H22" i="3"/>
  <c r="F22" i="3"/>
  <c r="A22" i="3"/>
  <c r="U21" i="3"/>
  <c r="H21" i="3"/>
  <c r="F21" i="3"/>
  <c r="A21" i="3"/>
  <c r="U20" i="3"/>
  <c r="H20" i="3"/>
  <c r="F20" i="3"/>
  <c r="A20" i="3"/>
  <c r="U19" i="3"/>
  <c r="H19" i="3"/>
  <c r="F19" i="3"/>
  <c r="A19" i="3"/>
  <c r="U18" i="3"/>
  <c r="H18" i="3"/>
  <c r="F18" i="3"/>
  <c r="A18" i="3"/>
  <c r="U17" i="3"/>
  <c r="H17" i="3"/>
  <c r="F17" i="3"/>
  <c r="A17" i="3"/>
  <c r="U16" i="3"/>
  <c r="H16" i="3"/>
  <c r="F16" i="3"/>
  <c r="A16" i="3"/>
  <c r="U15" i="3"/>
  <c r="H15" i="3"/>
  <c r="F15" i="3"/>
  <c r="A15" i="3"/>
  <c r="U14" i="3"/>
  <c r="H14" i="3"/>
  <c r="F14" i="3"/>
  <c r="A14" i="3"/>
  <c r="U13" i="3"/>
  <c r="H13" i="3"/>
  <c r="F13" i="3"/>
  <c r="A13" i="3"/>
  <c r="U12" i="3"/>
  <c r="H12" i="3"/>
  <c r="F12" i="3"/>
  <c r="A12" i="3"/>
  <c r="U11" i="3"/>
  <c r="H11" i="3"/>
  <c r="F11" i="3"/>
  <c r="A11" i="3"/>
  <c r="U10" i="3"/>
  <c r="H10" i="3"/>
  <c r="F10" i="3"/>
  <c r="A10" i="3"/>
  <c r="U9" i="3"/>
  <c r="H9" i="3"/>
  <c r="F9" i="3"/>
  <c r="A9" i="3"/>
  <c r="U8" i="3"/>
  <c r="H8" i="3"/>
  <c r="F8" i="3"/>
  <c r="A8" i="3"/>
  <c r="U7" i="3"/>
  <c r="H7" i="3"/>
  <c r="F7" i="3"/>
  <c r="A7" i="3"/>
  <c r="U6" i="3"/>
  <c r="H6" i="3"/>
  <c r="F6" i="3"/>
  <c r="A6" i="3"/>
  <c r="U5" i="3"/>
  <c r="H5" i="3"/>
  <c r="F5" i="3"/>
  <c r="A5" i="3"/>
  <c r="U4" i="3"/>
  <c r="H4" i="3"/>
  <c r="F4" i="3"/>
  <c r="A4" i="3"/>
  <c r="U3" i="3"/>
  <c r="H3" i="3"/>
  <c r="F3" i="3"/>
  <c r="A3" i="3"/>
  <c r="U2" i="3"/>
  <c r="H2" i="3"/>
  <c r="F2" i="3"/>
  <c r="A2" i="3"/>
  <c r="B12" i="1" l="1"/>
  <c r="B14" i="1"/>
  <c r="B2" i="1"/>
  <c r="B5" i="1"/>
  <c r="B16" i="1"/>
  <c r="B7" i="1"/>
  <c r="B17" i="1"/>
  <c r="B15" i="1"/>
  <c r="B6" i="1"/>
  <c r="B8" i="1"/>
  <c r="B9" i="1"/>
  <c r="B10" i="1"/>
  <c r="B11" i="1"/>
  <c r="B3" i="1"/>
  <c r="B13" i="1"/>
  <c r="B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30" authorId="0" shapeId="0" xr:uid="{00000000-0006-0000-0000-000001000000}">
      <text>
        <r>
          <rPr>
            <sz val="10"/>
            <color rgb="FF000000"/>
            <rFont val="Arial"/>
            <family val="2"/>
          </rPr>
          <t xml:space="preserve">Lord, Mary Cathryn:
</t>
        </r>
        <r>
          <rPr>
            <sz val="10"/>
            <color rgb="FF000000"/>
            <rFont val="Arial"/>
            <family val="2"/>
          </rPr>
          <t xml:space="preserve">
</t>
        </r>
        <r>
          <rPr>
            <sz val="10"/>
            <color rgb="FF000000"/>
            <rFont val="Arial"/>
            <family val="2"/>
          </rPr>
          <t xml:space="preserve">
</t>
        </r>
        <r>
          <rPr>
            <sz val="10"/>
            <color rgb="FF000000"/>
            <rFont val="Arial"/>
            <family val="2"/>
          </rPr>
          <t xml:space="preserve">Need approval for:
</t>
        </r>
        <r>
          <rPr>
            <sz val="10"/>
            <color rgb="FF000000"/>
            <rFont val="Arial"/>
            <family val="2"/>
          </rPr>
          <t xml:space="preserve">- Key Services on external dashoard for obj level
</t>
        </r>
        <r>
          <rPr>
            <sz val="10"/>
            <color rgb="FF000000"/>
            <rFont val="Arial"/>
            <family val="2"/>
          </rPr>
          <t>- No program names listed on external dashboard at all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O1" authorId="0" shapeId="0" xr:uid="{00000000-0006-0000-0200-000001000000}">
      <text>
        <r>
          <rPr>
            <sz val="10"/>
            <rFont val="Arial"/>
            <family val="2"/>
          </rPr>
          <t>KPIs shown at a Key Service (Level = Key Service, or Also Show Under has a ks… ID): No = shown but not counted in the gauges; blank or Yes = counted.
Program KPIs: Yes = sets the Program's status chip.</t>
        </r>
      </text>
    </comment>
    <comment ref="U1" authorId="0" shapeId="0" xr:uid="{00000000-0006-0000-0200-000002000000}">
      <text>
        <r>
          <rPr>
            <sz val="10"/>
            <rFont val="Arial"/>
            <family val="2"/>
          </rPr>
          <t>Shows what this KPI does on the dashboard, from Level and Drives Status. Don't type here.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34" authorId="0" shapeId="0" xr:uid="{00000000-0006-0000-0300-000001000000}">
      <text>
        <r>
          <rPr>
            <sz val="10"/>
            <rFont val="Arial"/>
            <family val="2"/>
          </rPr>
          <t>Lord, Mary Cathryn:
Increase year over year formula</t>
        </r>
      </text>
    </comment>
    <comment ref="F135" authorId="0" shapeId="0" xr:uid="{00000000-0006-0000-0300-000002000000}">
      <text>
        <r>
          <rPr>
            <sz val="10"/>
            <rFont val="Arial"/>
            <family val="2"/>
          </rPr>
          <t>Lord, Mary Cathryn:
Increase year over year formula</t>
        </r>
      </text>
    </comment>
    <comment ref="F136" authorId="0" shapeId="0" xr:uid="{00000000-0006-0000-0300-000003000000}">
      <text>
        <r>
          <rPr>
            <sz val="10"/>
            <rFont val="Arial"/>
            <family val="2"/>
          </rPr>
          <t>Lord, Mary Cathryn:
Increase year over year formula</t>
        </r>
      </text>
    </comment>
    <comment ref="F141" authorId="0" shapeId="0" xr:uid="{00000000-0006-0000-0300-000004000000}">
      <text>
        <r>
          <rPr>
            <sz val="10"/>
            <rFont val="Arial"/>
            <family val="2"/>
          </rPr>
          <t>Lord, Mary Cathryn:
Remain flat formula</t>
        </r>
      </text>
    </comment>
    <comment ref="F143" authorId="0" shapeId="0" xr:uid="{00000000-0006-0000-0300-000005000000}">
      <text>
        <r>
          <rPr>
            <sz val="10"/>
            <rFont val="Arial"/>
            <family val="2"/>
          </rPr>
          <t>Lord, Mary Cathryn:
2% year over year increase formula</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400-000001000000}">
      <text>
        <r>
          <rPr>
            <sz val="10"/>
            <rFont val="Arial"/>
            <family val="2"/>
          </rPr>
          <t>Goal and Objective definitions are council-adopted wording from the City of Durango 2024 Strategic Plan (pages 5-10), copied verbatim. Do not edit them.
Optional for Work Systems and Key Services.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500-000001000000}">
      <text>
        <r>
          <rPr>
            <sz val="10"/>
            <color rgb="FF000000"/>
            <rFont val="Arial"/>
            <family val="2"/>
          </rPr>
          <t>Type a Key Service ID (ks…). One row per Key Service + Objective pair; a Key Service that supports three Objectives gets three rows.</t>
        </r>
      </text>
    </comment>
    <comment ref="D1" authorId="0" shapeId="0" xr:uid="{00000000-0006-0000-0500-000002000000}">
      <text>
        <r>
          <rPr>
            <sz val="10"/>
            <color rgb="FF000000"/>
            <rFont val="Arial"/>
            <family val="2"/>
          </rPr>
          <t>Type an Objective ID (ob…).</t>
        </r>
      </text>
    </comment>
  </commentList>
</comments>
</file>

<file path=xl/sharedStrings.xml><?xml version="1.0" encoding="utf-8"?>
<sst xmlns="http://schemas.openxmlformats.org/spreadsheetml/2006/main" count="2479" uniqueCount="734">
  <si>
    <t>Dept</t>
  </si>
  <si>
    <t>KPI count</t>
  </si>
  <si>
    <t>All cataloged?</t>
  </si>
  <si>
    <t>All data entered?</t>
  </si>
  <si>
    <t>Benchmark/ target entered?</t>
  </si>
  <si>
    <t>Narrative added?</t>
  </si>
  <si>
    <t>Visual confirmation from dep?</t>
  </si>
  <si>
    <t>PD</t>
  </si>
  <si>
    <t>HR</t>
  </si>
  <si>
    <t>CLERK</t>
  </si>
  <si>
    <t>LIB</t>
  </si>
  <si>
    <t>TRAN</t>
  </si>
  <si>
    <t>PIO</t>
  </si>
  <si>
    <t>IT</t>
  </si>
  <si>
    <t>AIR</t>
  </si>
  <si>
    <t>CAO</t>
  </si>
  <si>
    <t>CMO</t>
  </si>
  <si>
    <t>OE</t>
  </si>
  <si>
    <t>COMDEV</t>
  </si>
  <si>
    <t>FIN</t>
  </si>
  <si>
    <t>PROSP</t>
  </si>
  <si>
    <t>PW</t>
  </si>
  <si>
    <t>How the dashboard gauges work</t>
  </si>
  <si>
    <t>Goal Area view</t>
  </si>
  <si>
    <t>Goal (gauge) → Objective (definition + gauge) → the Key Services aligned to it. No Programs are shown in this view.</t>
  </si>
  <si>
    <t>Work System view</t>
  </si>
  <si>
    <t>Work System (gauge) → Key Service (gauge) → Programs (status chip, expandable to their KPIs).</t>
  </si>
  <si>
    <t>What a gauge measures</t>
  </si>
  <si>
    <t>The share of Key Service KPIs meeting their target: (KPIs On Track + At Risk) ÷ (KPIs with a result).</t>
  </si>
  <si>
    <t>Which KPIs count</t>
  </si>
  <si>
    <t>KPIs shown at a Key Service: Level is Key Service, or Also Show Under names a Key Service ID (ks…). Drives Status = No leaves a KPI out. Other Program KPIs never count toward a gauge; they only set their Program's status chip.</t>
  </si>
  <si>
    <t>Meeting the target</t>
  </si>
  <si>
    <t>On Track or At Risk = meeting. Off Track = not meeting. Thresholds come from On Track Within % and Off Track Beyond % in the KPI Catalog.</t>
  </si>
  <si>
    <t>Not yet counted</t>
  </si>
  <si>
    <t>A KPI with no data, no target (or benchmark, if Status Based On says Benchmark), or only segment rows is listed as awaiting results and left out of the percentage.</t>
  </si>
  <si>
    <t>Key Service gauge</t>
  </si>
  <si>
    <t>Its own Key Service KPIs.</t>
  </si>
  <si>
    <t>Work System gauge</t>
  </si>
  <si>
    <t>All Key Service KPIs of the Key Services in that Work System.</t>
  </si>
  <si>
    <t>Objective gauge</t>
  </si>
  <si>
    <t>All Key Service KPIs of the Key Services aligned to that Objective (Objective Alignment sheet).</t>
  </si>
  <si>
    <t>Goal gauge</t>
  </si>
  <si>
    <t>All Key Service KPIs of the Key Services aligned to any of the Goal's Objectives. A KPI is counted once even if its Key Service supports several of the Goal's Objectives.</t>
  </si>
  <si>
    <t>Where things are entered</t>
  </si>
  <si>
    <t>KPI Catalog: KPIs and their Level. KPI Data: values and targets. Dashboard Items: names and Objective definitions (Description). Objective Alignment: which Key Services support which Objectives.</t>
  </si>
  <si>
    <t>KPI ID</t>
  </si>
  <si>
    <t>KPI Name</t>
  </si>
  <si>
    <t>Level</t>
  </si>
  <si>
    <t>Dashboard Item ID</t>
  </si>
  <si>
    <t>Item Name (auto)</t>
  </si>
  <si>
    <t>Also Show Under</t>
  </si>
  <si>
    <t>Also Under (auto)</t>
  </si>
  <si>
    <t>Unit</t>
  </si>
  <si>
    <t>Decimals</t>
  </si>
  <si>
    <t>Higher Is Better</t>
  </si>
  <si>
    <t>Status Based On</t>
  </si>
  <si>
    <t>On Track Within %</t>
  </si>
  <si>
    <t>Off Track Beyond %</t>
  </si>
  <si>
    <t>Drives Status</t>
  </si>
  <si>
    <t>Update Frequency</t>
  </si>
  <si>
    <t>Owner</t>
  </si>
  <si>
    <t>Source</t>
  </si>
  <si>
    <t>Description</t>
  </si>
  <si>
    <t>Footnote</t>
  </si>
  <si>
    <t>Gauge Role (auto)</t>
  </si>
  <si>
    <t>HR-EMPENG</t>
  </si>
  <si>
    <t>Employee engagement score</t>
  </si>
  <si>
    <t>Key Service</t>
  </si>
  <si>
    <t>ks5</t>
  </si>
  <si>
    <t>ob18</t>
  </si>
  <si>
    <t>percent</t>
  </si>
  <si>
    <t>Yes</t>
  </si>
  <si>
    <t>Target</t>
  </si>
  <si>
    <t>Every 2 years</t>
  </si>
  <si>
    <t>HR Director</t>
  </si>
  <si>
    <t>Employee Survey</t>
  </si>
  <si>
    <t>Overall engagement score from the City employee survey, compared with the survey benchmark.</t>
  </si>
  <si>
    <t>HR-TIMETOHIRE</t>
  </si>
  <si>
    <t>Hiring: time to hire from NeoGov</t>
  </si>
  <si>
    <t>p24</t>
  </si>
  <si>
    <t>Safety / Risk Administrator</t>
  </si>
  <si>
    <t>HR-TURNRATE</t>
  </si>
  <si>
    <t>Retain &amp; develop: turnover rate by voluntary and involuntary</t>
  </si>
  <si>
    <t>HR-CFT</t>
  </si>
  <si>
    <t>CFT participation</t>
  </si>
  <si>
    <t>Program</t>
  </si>
  <si>
    <t>p22</t>
  </si>
  <si>
    <t>HR-TUITIONREIMB</t>
  </si>
  <si>
    <t>Utilization of tuition reimbursement program</t>
  </si>
  <si>
    <t>HR-PROFDEV</t>
  </si>
  <si>
    <t>Utilization of professional development budget</t>
  </si>
  <si>
    <t>HR-JOBPOSTVIEW</t>
  </si>
  <si>
    <t>Attracting: job posting view</t>
  </si>
  <si>
    <t>No</t>
  </si>
  <si>
    <t>HR-APPPERREC</t>
  </si>
  <si>
    <t>Attracting: applications per recruitment</t>
  </si>
  <si>
    <t>HR-TRAFFICSOURCE</t>
  </si>
  <si>
    <t>Attracting: traffic source data</t>
  </si>
  <si>
    <t>HR-OFFICERACC</t>
  </si>
  <si>
    <t>Hiring: offer acceptance rate</t>
  </si>
  <si>
    <t>HR-VACRATE</t>
  </si>
  <si>
    <t>Retain &amp; develop: vacancy rate</t>
  </si>
  <si>
    <t>HR-RETENTION</t>
  </si>
  <si>
    <t>Retain &amp; develop: 1st year retention</t>
  </si>
  <si>
    <t>HR-INTPROMO</t>
  </si>
  <si>
    <t>Retain &amp; Develop: Internal promotion rate</t>
  </si>
  <si>
    <t>HR-COMPANDBEN</t>
  </si>
  <si>
    <t>Exit survey: satisfaction with compensation and benefits</t>
  </si>
  <si>
    <t>p25</t>
  </si>
  <si>
    <t>HR-DOTCOMPSCORE</t>
  </si>
  <si>
    <t>DOT Compliance Score (employees with CDLs)</t>
  </si>
  <si>
    <t>p27</t>
  </si>
  <si>
    <t>HR-EMOD</t>
  </si>
  <si>
    <t>EMOD (experience modification) for Work Comp - annually from Pinnacol, score dictates premium</t>
  </si>
  <si>
    <t>HR-LOSSRUNREPORT</t>
  </si>
  <si>
    <t>Work Comp (loss run report?)</t>
  </si>
  <si>
    <t>HR-PROPCASCLAIM</t>
  </si>
  <si>
    <t>Property casualty claims (by department, dollar amount)</t>
  </si>
  <si>
    <t>HR-ACCREVBOARD</t>
  </si>
  <si>
    <t>Accident Review Board - Average or cumulative severity?</t>
  </si>
  <si>
    <t>HR-SAFETYTRAINING</t>
  </si>
  <si>
    <t>Safety Training</t>
  </si>
  <si>
    <t>IT-UPTIME</t>
  </si>
  <si>
    <t>Network uptime</t>
  </si>
  <si>
    <t>p30</t>
  </si>
  <si>
    <t>ks7, ob14</t>
  </si>
  <si>
    <t>Every year</t>
  </si>
  <si>
    <t>IT Director</t>
  </si>
  <si>
    <t>Solar Winds</t>
  </si>
  <si>
    <t>IT-PITSURV</t>
  </si>
  <si>
    <t>Point in time help desk survey</t>
  </si>
  <si>
    <t>p34</t>
  </si>
  <si>
    <t>ks7</t>
  </si>
  <si>
    <t>SysAid</t>
  </si>
  <si>
    <t>IT-TIXSLA</t>
  </si>
  <si>
    <t>Help desk ticket SLA compliance</t>
  </si>
  <si>
    <t>IT-PHISHRATE</t>
  </si>
  <si>
    <t>Organization phish prone rate</t>
  </si>
  <si>
    <t>p31</t>
  </si>
  <si>
    <t>Every Quarter</t>
  </si>
  <si>
    <t>KnowBe4</t>
  </si>
  <si>
    <t>LIB-CIRCULATION</t>
  </si>
  <si>
    <t>Total circulation (physical and digital)</t>
  </si>
  <si>
    <t>p82</t>
  </si>
  <si>
    <t>ks17</t>
  </si>
  <si>
    <t>number</t>
  </si>
  <si>
    <t>Every Year</t>
  </si>
  <si>
    <t>Library Director</t>
  </si>
  <si>
    <t>LIB-VISITS</t>
  </si>
  <si>
    <t>Visitation</t>
  </si>
  <si>
    <t>p83</t>
  </si>
  <si>
    <t>LIB-ROOMRENTALS</t>
  </si>
  <si>
    <t>Program room rentals</t>
  </si>
  <si>
    <t>LIB-COMPANDWIFI</t>
  </si>
  <si>
    <t>Unique wireless use and Total Computer Use</t>
  </si>
  <si>
    <t>LIB-REFQUEST</t>
  </si>
  <si>
    <t>Reference questions</t>
  </si>
  <si>
    <t>p84</t>
  </si>
  <si>
    <t>LIB-SOCIALENG</t>
  </si>
  <si>
    <t>Total social media user engagement</t>
  </si>
  <si>
    <t>p85</t>
  </si>
  <si>
    <t>LIB-PATRONPPROG</t>
  </si>
  <si>
    <t>Patron per program</t>
  </si>
  <si>
    <t>LIB-PROGATTEND</t>
  </si>
  <si>
    <t>Total program attendance</t>
  </si>
  <si>
    <t>LIB-OUTREACHCON</t>
  </si>
  <si>
    <t>Total outreach contacts</t>
  </si>
  <si>
    <t>CLERK-CLICKTHRURATE</t>
  </si>
  <si>
    <t>Click through rate on City's election landing page</t>
  </si>
  <si>
    <t>p8</t>
  </si>
  <si>
    <t>CLERK-QRESPRATE</t>
  </si>
  <si>
    <t>Response rate for public election related questions</t>
  </si>
  <si>
    <t>CLERK-VOTERTURNOUT</t>
  </si>
  <si>
    <t>Voter turnout (%)</t>
  </si>
  <si>
    <t>ks2</t>
  </si>
  <si>
    <t>CLERK-LOGICTEST</t>
  </si>
  <si>
    <t>Logic and accuracy test</t>
  </si>
  <si>
    <t>CLERK-CORARESPRATE</t>
  </si>
  <si>
    <t>Records request response rate</t>
  </si>
  <si>
    <t>p7</t>
  </si>
  <si>
    <t>CLERK-AGENDAPOST</t>
  </si>
  <si>
    <t>Agenda posting time</t>
  </si>
  <si>
    <t>p6</t>
  </si>
  <si>
    <t>CLERK-LIQMARJLIC</t>
  </si>
  <si>
    <t>Liquor and marijuana license turnaround</t>
  </si>
  <si>
    <t>p29</t>
  </si>
  <si>
    <t>CLERK-BIZLIC</t>
  </si>
  <si>
    <t>Business license turnaround time</t>
  </si>
  <si>
    <t>CLERK-SPECCOURT</t>
  </si>
  <si>
    <t># cases resolved through graduating from specialty court</t>
  </si>
  <si>
    <t>p58</t>
  </si>
  <si>
    <t>ks12</t>
  </si>
  <si>
    <t>PIO-ENGRATE</t>
  </si>
  <si>
    <t>p12</t>
  </si>
  <si>
    <t>ks3</t>
  </si>
  <si>
    <t>Public Information Officer</t>
  </si>
  <si>
    <t>Instagram, Facebook, LinkedIn, TikTok</t>
  </si>
  <si>
    <t>PIO-SEECLICKFIX</t>
  </si>
  <si>
    <t>See Click Fix requests</t>
  </si>
  <si>
    <t>p11</t>
  </si>
  <si>
    <t>PIO-VIEWERSHIP</t>
  </si>
  <si>
    <t>Website views + social media post link clicks + news letter open rate</t>
  </si>
  <si>
    <t>PIO-AUDIENCEGROWTH</t>
  </si>
  <si>
    <t>TRAN-VACRATE</t>
  </si>
  <si>
    <t>Vacany rate data collection</t>
  </si>
  <si>
    <t>p75</t>
  </si>
  <si>
    <t>ks14</t>
  </si>
  <si>
    <t>Parking Manager</t>
  </si>
  <si>
    <t>TRAN-COMPSCORE</t>
  </si>
  <si>
    <t>Parking compliance count for the central business district</t>
  </si>
  <si>
    <t>TRAN-CITATIONCLOSE</t>
  </si>
  <si>
    <t>Reasons for citations closure</t>
  </si>
  <si>
    <t>TRAN-WINDSHIELDRATE</t>
  </si>
  <si>
    <t>Citation payment rate</t>
  </si>
  <si>
    <t>TRAN-BIKEPEDCOUNT</t>
  </si>
  <si>
    <t>Bi-annual bike and pedestrian counts</t>
  </si>
  <si>
    <t>p71</t>
  </si>
  <si>
    <t>TRAN-CRASHDATA</t>
  </si>
  <si>
    <t>Crash data</t>
  </si>
  <si>
    <t>Multimodal Manager</t>
  </si>
  <si>
    <t>TRAN-BIKEANDSWLINFT</t>
  </si>
  <si>
    <t>Linear feet/miles of bike lanes and sidewalks by road classification</t>
  </si>
  <si>
    <t>PROS-PROP123</t>
  </si>
  <si>
    <t>Building Permits Issued Under Prop 123</t>
  </si>
  <si>
    <t>p37</t>
  </si>
  <si>
    <t>Prosperity Officer</t>
  </si>
  <si>
    <t>Benchmark is the goal of 99 by 2029</t>
  </si>
  <si>
    <t>PROS-RESBUILPERMIT</t>
  </si>
  <si>
    <t>Total Residential Budilding Permits</t>
  </si>
  <si>
    <t>PROS-REGULATEDUNITS</t>
  </si>
  <si>
    <t>Total Regulated Affordable Housing Units</t>
  </si>
  <si>
    <t>ks8</t>
  </si>
  <si>
    <t>PROS-GRANTAWARDED</t>
  </si>
  <si>
    <t>Number of grants awarded Annually</t>
  </si>
  <si>
    <t>p100</t>
  </si>
  <si>
    <t>PROS-LOCALSPEND</t>
  </si>
  <si>
    <t>Local Spend from grants awarded Annually</t>
  </si>
  <si>
    <t>PROS-URAINCOME</t>
  </si>
  <si>
    <t>Annual URA Income as a rate of growth - broken out individually by URA and total</t>
  </si>
  <si>
    <t>ks9</t>
  </si>
  <si>
    <t>PROS-OCCRATE</t>
  </si>
  <si>
    <t>Occupancy Rate (Year over Year Quarterly)</t>
  </si>
  <si>
    <t>PROS-VISITORSPEND</t>
  </si>
  <si>
    <t>Visitor Spend (Annual Year over Year)</t>
  </si>
  <si>
    <t>p40</t>
  </si>
  <si>
    <t>PROS-NIGHTONTOUR</t>
  </si>
  <si>
    <t>Total Nights on Tour Sales (annual)</t>
  </si>
  <si>
    <t>PROS-WELCOMECENT</t>
  </si>
  <si>
    <t>Welcome Center Door Count</t>
  </si>
  <si>
    <t>PROS-ALLCOMMEVENTS</t>
  </si>
  <si>
    <t>All community events - segmented by total, produced and serviced.</t>
  </si>
  <si>
    <t>ks20</t>
  </si>
  <si>
    <t>p98</t>
  </si>
  <si>
    <t>PROS-PERMITNUM</t>
  </si>
  <si>
    <t>Number of Permits Issued (Activity, Parks, Banners)</t>
  </si>
  <si>
    <t>PROS-COMMSURVEY</t>
  </si>
  <si>
    <t>Comm survey- have you attended an event?</t>
  </si>
  <si>
    <t>PD-VIOLENTPROPCRIME</t>
  </si>
  <si>
    <t>Violent/property crime trend</t>
  </si>
  <si>
    <t>ks11</t>
  </si>
  <si>
    <t>Chief of Police</t>
  </si>
  <si>
    <t>PD-TRAFFICINJURY</t>
  </si>
  <si>
    <t xml:space="preserve">Traffic injury trend </t>
  </si>
  <si>
    <t>PD-FATALCRASH</t>
  </si>
  <si>
    <t>Fatal crash trend</t>
  </si>
  <si>
    <t>PD-RESPONSETIME</t>
  </si>
  <si>
    <t>Response time - segmented into 911 and non emergent response</t>
  </si>
  <si>
    <t>p49,p104</t>
  </si>
  <si>
    <t>PD-CALLVOLUME</t>
  </si>
  <si>
    <t xml:space="preserve">Call volume - officer initiated vs citizen initiated </t>
  </si>
  <si>
    <t>PD-CRIMECLEARANCE</t>
  </si>
  <si>
    <t xml:space="preserve">Crime clearance rate - solvability by type. ticket, arrest, transfer out, etc. </t>
  </si>
  <si>
    <t>PD-WILDLIFETRENDS</t>
  </si>
  <si>
    <t>Wildlife trends by type</t>
  </si>
  <si>
    <t>p54</t>
  </si>
  <si>
    <t>PD-COMPLAINTS</t>
  </si>
  <si>
    <t>Complaints (dog off leash in certain parks, ART, e-bikes, etc.) AND TRENDS</t>
  </si>
  <si>
    <t>PD-CITATIONS</t>
  </si>
  <si>
    <t>Citations Issued by kind (brings down number of incidents, traffic accidents, etc.)</t>
  </si>
  <si>
    <t>PD-CORECASES</t>
  </si>
  <si>
    <t>Total cases (CORE)</t>
  </si>
  <si>
    <t>PD-SAFETOTELL</t>
  </si>
  <si>
    <t>Time to view case for Safe to Tell (could segment by type or solvability) - criminal vs school administrative issue</t>
  </si>
  <si>
    <t>PD-INCIDENTS</t>
  </si>
  <si>
    <t xml:space="preserve">Total incidents - officer initiatied/proactivity vs dispatch call for service by incident type? - outcome would be more proactivity. </t>
  </si>
  <si>
    <t>p49</t>
  </si>
  <si>
    <t>PD-PROACTIVETIME</t>
  </si>
  <si>
    <t>Proactive vs reactive time</t>
  </si>
  <si>
    <t>PD-OFFICERINITIATED</t>
  </si>
  <si>
    <t>Officer initiated activity</t>
  </si>
  <si>
    <t>PD-DUIARRESTS</t>
  </si>
  <si>
    <t>DUI Arrests</t>
  </si>
  <si>
    <t>PD-DIGITALFORENSICS</t>
  </si>
  <si>
    <t>Digital forensics processing (internal and external) - includes devices for other agencies</t>
  </si>
  <si>
    <t>p102</t>
  </si>
  <si>
    <t>PD-CASECLOSURERATE</t>
  </si>
  <si>
    <t>Case Closure Rate by clearance code (cleared by arrest, inactive, etc.) - solvability percent - amount that ended in arrest vs the rest</t>
  </si>
  <si>
    <t>PD-FELONYREVIEWS</t>
  </si>
  <si>
    <t>In custody felony reviews - increase in felony arrests by patrol</t>
  </si>
  <si>
    <t>PD-CORAREQEUESTS</t>
  </si>
  <si>
    <t>CORA Requests Processed within specified time frame - PD specific</t>
  </si>
  <si>
    <t>PD-EVIDENCEFORDA</t>
  </si>
  <si>
    <t>Evidence Processed vs Discovery for DA (ratio)</t>
  </si>
  <si>
    <t>PD-CASESPROCESSED</t>
  </si>
  <si>
    <t>Cases/Records Processed trending (can compare to calls for service)</t>
  </si>
  <si>
    <t>PD-PROPERTYRECTIME</t>
  </si>
  <si>
    <t>Total Hours each property/records employee was spending per officer</t>
  </si>
  <si>
    <t>PD-BGROUNDSVHIRED</t>
  </si>
  <si>
    <t>Backgrounds Completed vs people hired</t>
  </si>
  <si>
    <t>PD-DRONEASAFR</t>
  </si>
  <si>
    <t>Drone as first responder</t>
  </si>
  <si>
    <t>p104</t>
  </si>
  <si>
    <t>911-DISPATCHTIME</t>
  </si>
  <si>
    <t xml:space="preserve">911 Answer Times; </t>
  </si>
  <si>
    <t>p101</t>
  </si>
  <si>
    <t>911-QAQC</t>
  </si>
  <si>
    <t xml:space="preserve">Quality Assurance; </t>
  </si>
  <si>
    <t>911-NFPADROPTIME</t>
  </si>
  <si>
    <t xml:space="preserve">NFPA Drop Times; </t>
  </si>
  <si>
    <t>911-COMPLAINTRES</t>
  </si>
  <si>
    <t>Complaint Resolution</t>
  </si>
  <si>
    <t>911-COMSATISFACTION</t>
  </si>
  <si>
    <t>Community Satisfaction</t>
  </si>
  <si>
    <t>911-SERVICEUPTIME</t>
  </si>
  <si>
    <t xml:space="preserve">911 Services uptime (could roll up to system wide uptime under IT services); </t>
  </si>
  <si>
    <t>911-STAFFING</t>
  </si>
  <si>
    <t>Staffing metrics: Vacancy, turnover, internal promotion?</t>
  </si>
  <si>
    <t>Period</t>
  </si>
  <si>
    <t>Segment</t>
  </si>
  <si>
    <t>Value</t>
  </si>
  <si>
    <t>Benchmark</t>
  </si>
  <si>
    <t>Note</t>
  </si>
  <si>
    <t>X</t>
  </si>
  <si>
    <t>2022</t>
  </si>
  <si>
    <t>Full-time employees only</t>
  </si>
  <si>
    <t>2024</t>
  </si>
  <si>
    <t>2026</t>
  </si>
  <si>
    <t>Full-time</t>
  </si>
  <si>
    <t>PT/Seasonal</t>
  </si>
  <si>
    <t>2020</t>
  </si>
  <si>
    <t>2021</t>
  </si>
  <si>
    <t>2023</t>
  </si>
  <si>
    <t>2025</t>
  </si>
  <si>
    <t>Minor</t>
  </si>
  <si>
    <t>Normal</t>
  </si>
  <si>
    <t>Urgent</t>
  </si>
  <si>
    <t>Critical</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</si>
  <si>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</si>
  <si>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</si>
  <si>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</si>
  <si>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</si>
  <si>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</si>
  <si>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</si>
  <si>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</si>
  <si>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</si>
  <si>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</si>
  <si>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</si>
  <si>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</si>
  <si>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</si>
  <si>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</si>
  <si>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</si>
  <si>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</si>
  <si>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</si>
  <si>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</si>
  <si>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</si>
  <si>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</si>
  <si>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</si>
  <si>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Total</t>
  </si>
  <si>
    <t>Digital</t>
  </si>
  <si>
    <t>Physical</t>
  </si>
  <si>
    <t>Instagram</t>
  </si>
  <si>
    <t>Facebook</t>
  </si>
  <si>
    <t>TikTok</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</si>
  <si>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</si>
  <si>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</si>
  <si>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</si>
  <si>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</si>
  <si>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</si>
  <si>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</si>
  <si>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</si>
  <si>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</si>
  <si>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</si>
  <si>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</si>
  <si>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</si>
  <si>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</si>
  <si>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</si>
  <si>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</si>
  <si>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</si>
  <si>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</si>
  <si>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</si>
  <si>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</si>
  <si>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</si>
  <si>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City Clerk &amp; Records Management</t>
  </si>
  <si>
    <t>Public Information &amp; Community Engagement</t>
  </si>
  <si>
    <t>ks4</t>
  </si>
  <si>
    <t>Financial Management &amp; Accountability</t>
  </si>
  <si>
    <t>Human Resources &amp; Workforce Development</t>
  </si>
  <si>
    <t>ks6</t>
  </si>
  <si>
    <t>Legal Services</t>
  </si>
  <si>
    <t>Information Technology Services</t>
  </si>
  <si>
    <t>Community Development &amp; Planning</t>
  </si>
  <si>
    <t>Economic Prosperity &amp; Business Support</t>
  </si>
  <si>
    <t>ks10</t>
  </si>
  <si>
    <t>Sustainability &amp; Environmental Stewardship</t>
  </si>
  <si>
    <t>Public Safety Services</t>
  </si>
  <si>
    <t>Municipal Court</t>
  </si>
  <si>
    <t>ks13</t>
  </si>
  <si>
    <t>Public Works &amp; Municipal Services</t>
  </si>
  <si>
    <t>Transit Services</t>
  </si>
  <si>
    <t>ks15</t>
  </si>
  <si>
    <t>Asset Management</t>
  </si>
  <si>
    <t>ks16</t>
  </si>
  <si>
    <t>Airport Operations</t>
  </si>
  <si>
    <t>Library &amp; Learning Services</t>
  </si>
  <si>
    <t>ks18</t>
  </si>
  <si>
    <t>Parks &amp; Open Space Management</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</si>
  <si>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</si>
  <si>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</si>
  <si>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</si>
  <si>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</si>
  <si>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</si>
  <si>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</si>
  <si>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</si>
  <si>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</si>
  <si>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</si>
  <si>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</si>
  <si>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</si>
  <si>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Records Management</t>
  </si>
  <si>
    <t>Elections Administration</t>
  </si>
  <si>
    <t>Council/Board Support</t>
  </si>
  <si>
    <t>Licensing</t>
  </si>
  <si>
    <t>Public Outreach</t>
  </si>
  <si>
    <t>Social Media</t>
  </si>
  <si>
    <t>p13</t>
  </si>
  <si>
    <t>Community Engagement Initiatives</t>
  </si>
  <si>
    <t>p15</t>
  </si>
  <si>
    <t>Budgeting and Forecasting</t>
  </si>
  <si>
    <t>p16</t>
  </si>
  <si>
    <t>Grants Management</t>
  </si>
  <si>
    <t>p17</t>
  </si>
  <si>
    <t>Procurement</t>
  </si>
  <si>
    <t>p97</t>
  </si>
  <si>
    <t>Contract Management</t>
  </si>
  <si>
    <t>Vendor Management</t>
  </si>
  <si>
    <t>p18</t>
  </si>
  <si>
    <t>Accounting and Reporting</t>
  </si>
  <si>
    <t>p21</t>
  </si>
  <si>
    <t>Revenue Collection</t>
  </si>
  <si>
    <t>p99</t>
  </si>
  <si>
    <t>Financial Compliance</t>
  </si>
  <si>
    <t>Learning and Development</t>
  </si>
  <si>
    <t>Recruitment and Retention</t>
  </si>
  <si>
    <t>Compensation and Benefits</t>
  </si>
  <si>
    <t>p26</t>
  </si>
  <si>
    <t>Legal Counsel</t>
  </si>
  <si>
    <t>Risk Management</t>
  </si>
  <si>
    <t>p28</t>
  </si>
  <si>
    <t>Code Compliance</t>
  </si>
  <si>
    <t>Network and Infrastructure Management</t>
  </si>
  <si>
    <t>Cybersecurity</t>
  </si>
  <si>
    <t>p32</t>
  </si>
  <si>
    <t>Business Applications Support</t>
  </si>
  <si>
    <t>p33</t>
  </si>
  <si>
    <t>GIS</t>
  </si>
  <si>
    <t>Help Desk</t>
  </si>
  <si>
    <t>p35</t>
  </si>
  <si>
    <t>Long Range Comprehensive Planning</t>
  </si>
  <si>
    <t>p36</t>
  </si>
  <si>
    <t>Development Review and Permitting (Inspections)</t>
  </si>
  <si>
    <t>Housing Initiatives</t>
  </si>
  <si>
    <t>p38</t>
  </si>
  <si>
    <t>Historical Preservation</t>
  </si>
  <si>
    <t>Community Investments, Partnerships, and Grant Making</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</si>
  <si>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</si>
  <si>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</si>
  <si>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</si>
  <si>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</si>
  <si>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</si>
  <si>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</si>
  <si>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</si>
  <si>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</si>
  <si>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</si>
  <si>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</si>
  <si>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</si>
  <si>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</si>
  <si>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</si>
  <si>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Police Patrol</t>
  </si>
  <si>
    <t>p50</t>
  </si>
  <si>
    <t>Criminal Investigations</t>
  </si>
  <si>
    <t>911 Emergency Services</t>
  </si>
  <si>
    <t>Administrative Public Safety Services</t>
  </si>
  <si>
    <t>p51</t>
  </si>
  <si>
    <t>Emergency Management</t>
  </si>
  <si>
    <t>p103</t>
  </si>
  <si>
    <t>Code Enforcement</t>
  </si>
  <si>
    <t>p52</t>
  </si>
  <si>
    <t>Ranger Program</t>
  </si>
  <si>
    <t>p53</t>
  </si>
  <si>
    <t>Community Policing Programs</t>
  </si>
  <si>
    <t>Aircraft Rescue and Firefighting</t>
  </si>
  <si>
    <t>Public Safety Technology NG (NextGen) 911 Technologies</t>
  </si>
  <si>
    <t>p105</t>
  </si>
  <si>
    <t>Animal Control</t>
  </si>
  <si>
    <t>p55</t>
  </si>
  <si>
    <t>Municipal Court Administration</t>
  </si>
  <si>
    <t>p56</t>
  </si>
  <si>
    <t>Traffic Court</t>
  </si>
  <si>
    <t>p59</t>
  </si>
  <si>
    <t>Juvenile Court</t>
  </si>
  <si>
    <t>p57</t>
  </si>
  <si>
    <t>Criminal Court</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</si>
  <si>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</si>
  <si>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</si>
  <si>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</si>
  <si>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</si>
  <si>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</si>
  <si>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</si>
  <si>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</si>
  <si>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</si>
  <si>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</si>
  <si>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</si>
  <si>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</si>
  <si>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</si>
  <si>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</si>
  <si>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</si>
  <si>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</si>
  <si>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</si>
  <si>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</si>
  <si>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</si>
  <si>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</si>
  <si>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</si>
  <si>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</si>
  <si>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</si>
  <si>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</si>
  <si>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</si>
  <si>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Multimodal Programs</t>
  </si>
  <si>
    <t>p72</t>
  </si>
  <si>
    <t>Microtransit</t>
  </si>
  <si>
    <t>p73</t>
  </si>
  <si>
    <t>Transit Planning</t>
  </si>
  <si>
    <t>p74</t>
  </si>
  <si>
    <t>Fare Administration</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</si>
  <si>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</si>
  <si>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</si>
  <si>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</si>
  <si>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</si>
  <si>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</si>
  <si>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</si>
  <si>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</si>
  <si>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</si>
  <si>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</si>
  <si>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</si>
  <si>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</si>
  <si>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</si>
  <si>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</si>
  <si>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</si>
  <si>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</si>
  <si>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</si>
  <si>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</si>
  <si>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</si>
  <si>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</si>
  <si>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</si>
  <si>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</si>
  <si>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</si>
  <si>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</si>
  <si>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</si>
  <si>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</si>
  <si>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Circulation Services</t>
  </si>
  <si>
    <t>Digital Learning</t>
  </si>
  <si>
    <t>Youth Learning Programs</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</si>
  <si>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</si>
  <si>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</si>
  <si>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</si>
  <si>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</si>
  <si>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</si>
  <si>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</si>
  <si>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</si>
  <si>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</si>
  <si>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</si>
  <si>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</si>
  <si>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</si>
  <si>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</si>
  <si>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</si>
  <si>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</si>
  <si>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</si>
  <si>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</si>
  <si>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</si>
  <si>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</si>
  <si>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</si>
  <si>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</si>
  <si>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</si>
  <si>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</si>
  <si>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</si>
  <si>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</si>
  <si>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</si>
  <si>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</si>
  <si>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</si>
  <si>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</si>
  <si>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</si>
  <si>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</si>
  <si>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</si>
  <si>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</si>
  <si>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</si>
  <si>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</si>
  <si>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</si>
  <si>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g1</t>
  </si>
  <si>
    <t>Goal</t>
  </si>
  <si>
    <t>Organizational Stewardship</t>
  </si>
  <si>
    <t>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</si>
  <si>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g2</t>
  </si>
  <si>
    <t>Innovative Housing and Economic Development</t>
  </si>
  <si>
    <t>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</si>
  <si>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g3</t>
  </si>
  <si>
    <t>Safety &amp; Quality of Life</t>
  </si>
  <si>
    <t>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</si>
  <si>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g4</t>
  </si>
  <si>
    <t>Reliable Infrastructure and Community Connectivity</t>
  </si>
  <si>
    <t>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</si>
  <si>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g5</t>
  </si>
  <si>
    <t>Engaged and Informed Community</t>
  </si>
  <si>
    <t>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</si>
  <si>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g6</t>
  </si>
  <si>
    <t>Strategic Workforce Development</t>
  </si>
  <si>
    <t>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</si>
  <si>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ob1</t>
  </si>
  <si>
    <t>Objective</t>
  </si>
  <si>
    <t>1.1 Financial Sustainability and Innovation</t>
  </si>
  <si>
    <t>Ensure a financially sustainable and innovation-led framework that thrives on building effective partnerships to alleviate city costs, and harnesses the power of technology for efficiency.</t>
  </si>
  <si>
    <t>ob2</t>
  </si>
  <si>
    <t>1.2 Community Partnerships and Inclusion</t>
  </si>
  <si>
    <t>Foster strong community group partnerships through effective communication and a commitment to diversity, equity, and inclusivity efforts while focusing on increased accessibility of services for underserved communities.</t>
  </si>
  <si>
    <t>ob3</t>
  </si>
  <si>
    <t>1.3 Environmental Stewardship</t>
  </si>
  <si>
    <t>Advance a systematic approach toward environmental sustainability through focused efforts to conserve resources and mitigate environmental stressors by meeting or exceeding local, state, and national standards.</t>
  </si>
  <si>
    <t>ob4</t>
  </si>
  <si>
    <t>2.1 Affordable, Multigenerational Housing</t>
  </si>
  <si>
    <t>Cultivate innovative housing solutions and partnerships to advance the development of a variety of housing options to support a multigenerational and mixed-income community by narrowing the gap between income levels and housing affordability.</t>
  </si>
  <si>
    <t>ob5</t>
  </si>
  <si>
    <t>2.2 Economic Growth and Entrepreneurship</t>
  </si>
  <si>
    <t>Stimulate economic progress and resiliency through strategic collaboration, nurturing entrepreneurship and supporting business growth through well-designed City services and programs.</t>
  </si>
  <si>
    <t>ob6</t>
  </si>
  <si>
    <t>2.3 Community Character and Investments</t>
  </si>
  <si>
    <t>Preserve and enhance Durango’s distinctive appeal and competitive edge as an attractive community by engaging in community-driven planning, strategic infrastructure investments, and partnerships between the public and private sectors.</t>
  </si>
  <si>
    <t>ob7</t>
  </si>
  <si>
    <t>3.1 Public Safety and Emergency Services</t>
  </si>
  <si>
    <t>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</si>
  <si>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ob8</t>
  </si>
  <si>
    <t>3.2 Arts, Culture, and Recreation</t>
  </si>
  <si>
    <t>Provide sustainable and inclusive arts, literacy, culture, and recreation opportunities by listening to the community’s diverse needs.</t>
  </si>
  <si>
    <t>ob9</t>
  </si>
  <si>
    <t>3.3 Parks, Trails and Natural Lands</t>
  </si>
  <si>
    <t>Continue the ongoing maintenance, preservation, and acquisition of quality parks, trails, and natural lands.</t>
  </si>
  <si>
    <t>ob10</t>
  </si>
  <si>
    <t>4.1 Safe, Accessible Mobility</t>
  </si>
  <si>
    <t>Provide consistently safe, reliable, and accessible mobility and transportation services throughout the community.</t>
  </si>
  <si>
    <t>ob11</t>
  </si>
  <si>
    <t>4.2 Transportation Infrastructure Investment</t>
  </si>
  <si>
    <t>Invest in transportation and infrastructure systems that maximize safety, mobility, innovation, accessibility, and user satisfaction.</t>
  </si>
  <si>
    <t>ob12</t>
  </si>
  <si>
    <t>4.3 Water and Wastewater Systems</t>
  </si>
  <si>
    <t>Uphold a continuous, high-efficiency system for managing water, wastewater, and stormwater systems that adhere to strict compliance with environmental regulations.</t>
  </si>
  <si>
    <t>ob13</t>
  </si>
  <si>
    <t>4.4 Airport and Aviation Hubs</t>
  </si>
  <si>
    <t>Maintain and enhance DRO’s status as the key regional hub for aviation services by delivering safe, efficient, and sustainable airport operations and promoting a competitive airline environment.</t>
  </si>
  <si>
    <t>ob14</t>
  </si>
  <si>
    <t>4.5 Reliable and Secure IT Infrastrucutre</t>
  </si>
  <si>
    <t>Provide resources supporting maintenance, expansion, and ensuring reliable and secure IT infrastructure management.</t>
  </si>
  <si>
    <t>ob15</t>
  </si>
  <si>
    <t>4.6 City surface Transit and Right of Way</t>
  </si>
  <si>
    <t>Continue planned expansion of City surface transportation system and maintain existing assets within Right of Way</t>
  </si>
  <si>
    <t>ob16</t>
  </si>
  <si>
    <t>5.1 Civic and Engaged Communication</t>
  </si>
  <si>
    <t>Champion a systematic approach where community engagement, education, outreach and communication thrive as cornerstones of civic involvement.</t>
  </si>
  <si>
    <t>ob17</t>
  </si>
  <si>
    <t>5.2 Open and Accessible Information Communication</t>
  </si>
  <si>
    <t>Cultivate and leverage communication systems through convenient, open, and accessible information.</t>
  </si>
  <si>
    <t>6.1 Employee Growth and Retention</t>
  </si>
  <si>
    <t>Foster a workplace culture designed to attract and retain diverse, skilled and engaged staff members, which enhances employee satisfaction, engagement and performance by offering an environment reflective of the City’s commitment to excellence and strategic alignment.</t>
  </si>
  <si>
    <t>ob19</t>
  </si>
  <si>
    <t>6.2 Comprehensive Career Progression Strategy</t>
  </si>
  <si>
    <t>Ensure a comprehensive career progression strategy that readies employees for key roles and leadership positions in alignment with the City’s long-term goals.</t>
  </si>
  <si>
    <t>ob20</t>
  </si>
  <si>
    <t>6.3 Workforce Preparedness and Optimization</t>
  </si>
  <si>
    <t>Facilitate workforce preparedness through management of City processes, capacity and capability, ensuring optimization of staff skill levels designed to meet operational needs and evolving municipal demands.</t>
  </si>
  <si>
    <t>This list mirrors data.json as of 14 October 2026. Goal and Objective descriptions are council-adopted wording from the 2024 Strategic Plan; do not edit them.</t>
  </si>
  <si>
    <t>Key Service ID</t>
  </si>
  <si>
    <t>Key Service (auto)</t>
  </si>
  <si>
    <t>Work System (auto)</t>
  </si>
  <si>
    <t>Objective ID</t>
  </si>
  <si>
    <t>Objective (auto)</t>
  </si>
  <si>
    <t>Goal (auto)</t>
  </si>
  <si>
    <t>Social media engagement rate (FB, IG, TT)</t>
  </si>
  <si>
    <t>Social media audience growth (GB, IG, TT)</t>
  </si>
  <si>
    <t>Need KS metrics id's</t>
  </si>
  <si>
    <t>maintain</t>
  </si>
  <si>
    <t>Data been asked for?</t>
  </si>
  <si>
    <t>KPI's Selected?</t>
  </si>
  <si>
    <t>TRAN-RIDERSHIP</t>
  </si>
  <si>
    <t>Ridership (segmented by route)</t>
  </si>
  <si>
    <t>Customer Satisfaction Ridership Survey</t>
  </si>
  <si>
    <t>Vehicle Mileage and hours total alongside cost</t>
  </si>
  <si>
    <t>Trips Delivered/ ridership by type</t>
  </si>
  <si>
    <t>met demand</t>
  </si>
  <si>
    <t>Destination and Origin</t>
  </si>
  <si>
    <t>Transit Dependency</t>
  </si>
  <si>
    <t>Pass type</t>
  </si>
  <si>
    <t>Farebox Revenue</t>
  </si>
  <si>
    <t>TRAN-CUSTSAT</t>
  </si>
  <si>
    <t>TRAN-MILEAGE</t>
  </si>
  <si>
    <t>TRAN-TRIPDELIVER</t>
  </si>
  <si>
    <t>TRAN-METDEMAND</t>
  </si>
  <si>
    <t>TRAN-DESTANDORIGIN</t>
  </si>
  <si>
    <t>TRAN-DEPENDENCY</t>
  </si>
  <si>
    <t>TRAN-PASSTYPE</t>
  </si>
  <si>
    <t>TRAN-FAREBOX</t>
  </si>
  <si>
    <t>2015</t>
  </si>
  <si>
    <t>2018</t>
  </si>
  <si>
    <t>2019</t>
  </si>
  <si>
    <t>Counts homes with a formal affordability agreement on record with the City, by the year each property was completed. Mixed-income developments count only their income-restricted units. Another 114+ units are planned through City partnerships but not yet built.</t>
  </si>
  <si>
    <t>2009</t>
  </si>
  <si>
    <t>2011</t>
  </si>
  <si>
    <t>2013</t>
  </si>
  <si>
    <t>2017</t>
  </si>
  <si>
    <t>E. 2nd Ave. and E. 15th St.</t>
  </si>
  <si>
    <t>E. 32nd St. and N. Main Ave.</t>
  </si>
  <si>
    <t>CR 250 and Florida Rd.</t>
  </si>
  <si>
    <t>E. 3rd Ave./E. 15th St./Florida Rd.</t>
  </si>
  <si>
    <t>W. 3rd St. &amp; W. Park Ave.</t>
  </si>
  <si>
    <t>22nd St. and N. Main Ave.</t>
  </si>
  <si>
    <t>Camino del Rio and 9th St.</t>
  </si>
  <si>
    <t>Three Srpings Blvd @ Hwy160</t>
  </si>
  <si>
    <t>E. College Dr. and E. 8th Ave.</t>
  </si>
  <si>
    <t>HAWK @ W. 12st St. &amp; Camino del rio</t>
  </si>
  <si>
    <t>E. 8th Ave and E. 3rd 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</si>
</sst>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sz val="10"/>
      <name val="Arial"/>
      <family val="2"/>
    </font>
    <font>
      <sz val="11"/>
      <color theme="0"/>
      <name val="Calibri"/>
      <family val="2"/>
      <charset val="1"/>
    </font>
    <font>
      <sz val="11"/>
      <color theme="3"/>
      <name val="Calibri"/>
      <family val="2"/>
      <charset val="1"/>
    </font>
    <font>
      <sz val="10"/>
      <color rgb="FF14181F"/>
      <name val="Calibri"/>
      <family val="2"/>
      <charset val="1"/>
    </font>
    <font>
      <b/>
      <sz val="14"/>
      <color rgb="FF006A53"/>
      <name val="Arial"/>
      <family val="2"/>
    </font>
    <font>
      <b/>
      <sz val="10"/>
      <name val="Arial"/>
      <family val="2"/>
    </font>
    <font>
      <sz val="10"/>
      <name val="Arial"/>
      <family val="2"/>
    </font>
    <font>
      <b/>
      <sz val="10"/>
      <color rgb="FFFFFFFF"/>
      <name val="Arial"/>
      <family val="2"/>
      <charset val="1"/>
    </font>
    <font>
      <b/>
      <sz val="10"/>
      <color rgb="FFFFFFFF"/>
      <name val="Arial"/>
      <family val="2"/>
    </font>
    <font>
      <sz val="10"/>
      <name val="Arial"/>
      <family val="2"/>
      <charset val="1"/>
    </font>
    <font>
      <sz val="12"/>
      <color rgb="FF000000"/>
      <name val="Calibri"/>
      <family val="2"/>
      <charset val="1"/>
    </font>
    <font>
      <sz val="10"/>
      <color rgb="FF5B6B67"/>
      <name val="Arial"/>
      <family val="2"/>
      <charset val="1"/>
    </font>
    <font>
      <sz val="10"/>
      <color rgb="FF5B6B67"/>
      <name val="Arial"/>
      <family val="2"/>
    </font>
    <font>
      <i/>
      <sz val="10"/>
      <name val="Arial"/>
      <family val="2"/>
    </font>
    <font>
      <sz val="10"/>
      <color rgb="FF000000"/>
      <name val="Arial"/>
      <family val="2"/>
    </font>
    <font>
      <sz val="10"/>
      <name val="Trebuchet MS"/>
      <family val="2"/>
    </font>
  </fonts>
  <fills count="17">
    <fill>
      <patternFill patternType="none"/>
    </fill>
    <fill>
      <patternFill patternType="gray125"/>
    </fill>
    <fill>
      <patternFill patternType="solid">
        <fgColor theme="3"/>
        <bgColor rgb="FF003366"/>
      </patternFill>
    </fill>
    <fill>
      <patternFill patternType="solid">
        <fgColor rgb="FF92D050"/>
        <bgColor rgb="FF969696"/>
      </patternFill>
    </fill>
    <fill>
      <patternFill patternType="solid">
        <fgColor rgb="FF006A53"/>
        <bgColor rgb="FF008080"/>
      </patternFill>
    </fill>
    <fill>
      <patternFill patternType="solid">
        <fgColor theme="9" tint="0.79989013336588644"/>
        <bgColor rgb="FFFDE9D9"/>
      </patternFill>
    </fill>
    <fill>
      <patternFill patternType="solid">
        <fgColor rgb="FFFDE9D9"/>
        <bgColor rgb="FFFDEADA"/>
      </patternFill>
    </fill>
    <fill>
      <patternFill patternType="solid">
        <fgColor theme="8" tint="0.79989013336588644"/>
        <bgColor rgb="FFDCE6F2"/>
      </patternFill>
    </fill>
    <fill>
      <patternFill patternType="solid">
        <fgColor theme="7" tint="0.79989013336588644"/>
        <bgColor rgb="FFDCE6F2"/>
      </patternFill>
    </fill>
    <fill>
      <patternFill patternType="solid">
        <fgColor theme="6" tint="0.79989013336588644"/>
        <bgColor rgb="FFEAF2EF"/>
      </patternFill>
    </fill>
    <fill>
      <patternFill patternType="solid">
        <fgColor theme="5" tint="0.79989013336588644"/>
        <bgColor rgb="FFE6E0EC"/>
      </patternFill>
    </fill>
    <fill>
      <patternFill patternType="solid">
        <fgColor theme="4" tint="0.79989013336588644"/>
        <bgColor rgb="FFDBEEF4"/>
      </patternFill>
    </fill>
    <fill>
      <patternFill patternType="solid">
        <fgColor theme="3" tint="0.79989013336588644"/>
        <bgColor rgb="FFDCE6F2"/>
      </patternFill>
    </fill>
    <fill>
      <patternFill patternType="solid">
        <fgColor theme="2" tint="-9.9978637043366805E-2"/>
        <bgColor rgb="FFF2DCDB"/>
      </patternFill>
    </fill>
    <fill>
      <patternFill patternType="solid">
        <fgColor rgb="FFEAF2EF"/>
        <bgColor rgb="FFEBF1DE"/>
      </patternFill>
    </fill>
    <fill>
      <patternFill patternType="solid">
        <fgColor rgb="FFFFFF00"/>
        <bgColor rgb="FFE6E0EC"/>
      </patternFill>
    </fill>
    <fill>
      <patternFill patternType="solid">
        <fgColor theme="5" tint="0.79998168889431442"/>
        <bgColor rgb="FFE6E0EC"/>
      </patternFill>
    </fill>
  </fills>
  <borders count="2">
    <border>
      <left/>
      <right/>
      <top/>
      <bottom/>
      <diagonal/>
    </border>
    <border>
      <left style="thin">
        <color indexed="64"/>
      </left>
      <right style="thin">
        <color indexed="64"/>
      </right>
      <top/>
      <bottom/>
      <diagonal/>
    </border>
  </borders>
  <cellStyleXfs count="1">
    <xf numFmtId="0" fontId="0" fillId="0" borderId="0"/>
  </cellStyleXfs>
  <cellXfs count="88">
    <xf numFmtId="0" fontId="0" fillId="0" borderId="0" xfId="0"/>
    <xf numFmtId="0" fontId="0" fillId="0" borderId="0" xfId="0" applyAlignment="1">
      <alignment horizontal="center"/>
    </xf>
    <xf numFmtId="0" fontId="2" fillId="2" borderId="0" xfId="0" applyFont="1" applyFill="1" applyAlignment="1">
      <alignment horizontal="center"/>
    </xf>
    <xf numFmtId="0" fontId="2" fillId="2" borderId="0" xfId="0" applyFont="1" applyFill="1"/>
    <xf numFmtId="0" fontId="3" fillId="0" borderId="0" xfId="0" applyFont="1" applyAlignment="1">
      <alignment horizontal="center"/>
    </xf>
    <xf numFmtId="0" fontId="4" fillId="0" borderId="0" xfId="0" applyFont="1" applyAlignment="1">
      <alignment horizontal="center"/>
    </xf>
    <xf numFmtId="0" fontId="0" fillId="3" borderId="0" xfId="0" applyFill="1"/>
    <xf numFmtId="0" fontId="5" fillId="0" borderId="0" xfId="0" applyFont="1"/>
    <xf numFmtId="0" fontId="6" fillId="0" borderId="0" xfId="0" applyFont="1"/>
    <xf numFmtId="0" fontId="7" fillId="0" borderId="0" xfId="0" applyFont="1" applyAlignment="1">
      <alignment vertical="top" wrapText="1"/>
    </xf>
    <xf numFmtId="0" fontId="0" fillId="0" borderId="0" xfId="0" applyAlignment="1">
      <alignment horizontal="left"/>
    </xf>
    <xf numFmtId="0" fontId="8" fillId="4" borderId="0" xfId="0" applyFont="1" applyFill="1" applyAlignment="1">
      <alignment horizontal="left" vertical="center"/>
    </xf>
    <xf numFmtId="0" fontId="9" fillId="4" borderId="0" xfId="0" applyFont="1" applyFill="1" applyAlignment="1">
      <alignment vertical="center" wrapText="1"/>
    </xf>
    <xf numFmtId="0" fontId="10" fillId="5" borderId="0" xfId="0" applyFont="1" applyFill="1" applyAlignment="1">
      <alignment horizontal="left" vertical="top"/>
    </xf>
    <xf numFmtId="0" fontId="11" fillId="5" borderId="0" xfId="0" applyFont="1" applyFill="1" applyAlignment="1">
      <alignment horizontal="left"/>
    </xf>
    <xf numFmtId="0" fontId="12" fillId="5" borderId="0" xfId="0" applyFont="1" applyFill="1" applyAlignment="1">
      <alignment horizontal="left" vertical="top"/>
    </xf>
    <xf numFmtId="49" fontId="10" fillId="5" borderId="0" xfId="0" applyNumberFormat="1" applyFont="1" applyFill="1" applyAlignment="1">
      <alignment horizontal="left" vertical="top"/>
    </xf>
    <xf numFmtId="0" fontId="13" fillId="0" borderId="0" xfId="0" applyFont="1"/>
    <xf numFmtId="0" fontId="0" fillId="5" borderId="0" xfId="0" applyFill="1" applyAlignment="1">
      <alignment horizontal="left"/>
    </xf>
    <xf numFmtId="0" fontId="10" fillId="6" borderId="0" xfId="0" applyFont="1" applyFill="1" applyAlignment="1">
      <alignment horizontal="left" vertical="top"/>
    </xf>
    <xf numFmtId="0" fontId="10" fillId="5" borderId="0" xfId="0" applyFont="1" applyFill="1" applyAlignment="1">
      <alignment vertical="top" wrapText="1"/>
    </xf>
    <xf numFmtId="0" fontId="10" fillId="7" borderId="0" xfId="0" applyFont="1" applyFill="1" applyAlignment="1">
      <alignment horizontal="left" vertical="top"/>
    </xf>
    <xf numFmtId="0" fontId="11" fillId="7" borderId="0" xfId="0" applyFont="1" applyFill="1" applyAlignment="1">
      <alignment horizontal="left"/>
    </xf>
    <xf numFmtId="0" fontId="12" fillId="7" borderId="0" xfId="0" applyFont="1" applyFill="1" applyAlignment="1">
      <alignment horizontal="left" vertical="top"/>
    </xf>
    <xf numFmtId="49" fontId="10" fillId="7" borderId="0" xfId="0" applyNumberFormat="1" applyFont="1" applyFill="1" applyAlignment="1">
      <alignment horizontal="left" vertical="top"/>
    </xf>
    <xf numFmtId="0" fontId="0" fillId="7" borderId="0" xfId="0" applyFill="1" applyAlignment="1">
      <alignment horizontal="left"/>
    </xf>
    <xf numFmtId="0" fontId="10" fillId="8" borderId="0" xfId="0" applyFont="1" applyFill="1" applyAlignment="1">
      <alignment horizontal="left" vertical="top"/>
    </xf>
    <xf numFmtId="0" fontId="11" fillId="8" borderId="0" xfId="0" applyFont="1" applyFill="1" applyAlignment="1">
      <alignment horizontal="left"/>
    </xf>
    <xf numFmtId="0" fontId="12" fillId="8" borderId="0" xfId="0" applyFont="1" applyFill="1" applyAlignment="1">
      <alignment horizontal="left" vertical="top"/>
    </xf>
    <xf numFmtId="49" fontId="10" fillId="8" borderId="0" xfId="0" applyNumberFormat="1" applyFont="1" applyFill="1" applyAlignment="1">
      <alignment horizontal="left" vertical="top"/>
    </xf>
    <xf numFmtId="0" fontId="0" fillId="8" borderId="0" xfId="0" applyFill="1" applyAlignment="1">
      <alignment horizontal="left"/>
    </xf>
    <xf numFmtId="0" fontId="10" fillId="9" borderId="0" xfId="0" applyFont="1" applyFill="1" applyAlignment="1">
      <alignment horizontal="left" vertical="top"/>
    </xf>
    <xf numFmtId="0" fontId="11" fillId="9" borderId="0" xfId="0" applyFont="1" applyFill="1" applyAlignment="1">
      <alignment horizontal="left"/>
    </xf>
    <xf numFmtId="0" fontId="12" fillId="9" borderId="0" xfId="0" applyFont="1" applyFill="1" applyAlignment="1">
      <alignment horizontal="left" vertical="top"/>
    </xf>
    <xf numFmtId="49" fontId="10" fillId="9" borderId="0" xfId="0" applyNumberFormat="1" applyFont="1" applyFill="1" applyAlignment="1">
      <alignment horizontal="left" vertical="top"/>
    </xf>
    <xf numFmtId="0" fontId="0" fillId="9" borderId="0" xfId="0" applyFill="1" applyAlignment="1">
      <alignment horizontal="left"/>
    </xf>
    <xf numFmtId="0" fontId="10" fillId="10" borderId="0" xfId="0" applyFont="1" applyFill="1" applyAlignment="1">
      <alignment horizontal="left" vertical="top"/>
    </xf>
    <xf numFmtId="0" fontId="12" fillId="10" borderId="0" xfId="0" applyFont="1" applyFill="1" applyAlignment="1">
      <alignment horizontal="left" vertical="top"/>
    </xf>
    <xf numFmtId="49" fontId="10" fillId="10" borderId="0" xfId="0" applyNumberFormat="1" applyFont="1" applyFill="1" applyAlignment="1">
      <alignment horizontal="left" vertical="top"/>
    </xf>
    <xf numFmtId="0" fontId="0" fillId="10" borderId="0" xfId="0" applyFill="1" applyAlignment="1">
      <alignment horizontal="left"/>
    </xf>
    <xf numFmtId="0" fontId="10" fillId="11" borderId="0" xfId="0" applyFont="1" applyFill="1" applyAlignment="1">
      <alignment horizontal="left" vertical="top"/>
    </xf>
    <xf numFmtId="0" fontId="12" fillId="11" borderId="0" xfId="0" applyFont="1" applyFill="1" applyAlignment="1">
      <alignment horizontal="left" vertical="top"/>
    </xf>
    <xf numFmtId="49" fontId="10" fillId="11" borderId="0" xfId="0" applyNumberFormat="1" applyFont="1" applyFill="1" applyAlignment="1">
      <alignment horizontal="left" vertical="top"/>
    </xf>
    <xf numFmtId="0" fontId="0" fillId="11" borderId="0" xfId="0" applyFill="1" applyAlignment="1">
      <alignment horizontal="left"/>
    </xf>
    <xf numFmtId="0" fontId="0" fillId="12" borderId="0" xfId="0" applyFill="1" applyAlignment="1">
      <alignment horizontal="left"/>
    </xf>
    <xf numFmtId="0" fontId="10" fillId="12" borderId="0" xfId="0" applyFont="1" applyFill="1" applyAlignment="1">
      <alignment horizontal="left" vertical="top"/>
    </xf>
    <xf numFmtId="0" fontId="11" fillId="12" borderId="0" xfId="0" applyFont="1" applyFill="1" applyAlignment="1">
      <alignment horizontal="left"/>
    </xf>
    <xf numFmtId="0" fontId="12" fillId="12" borderId="0" xfId="0" applyFont="1" applyFill="1" applyAlignment="1">
      <alignment horizontal="left" vertical="top"/>
    </xf>
    <xf numFmtId="49" fontId="10" fillId="12" borderId="0" xfId="0" applyNumberFormat="1" applyFont="1" applyFill="1" applyAlignment="1">
      <alignment horizontal="left" vertical="top"/>
    </xf>
    <xf numFmtId="0" fontId="0" fillId="13" borderId="0" xfId="0" applyFill="1" applyAlignment="1">
      <alignment horizontal="left"/>
    </xf>
    <xf numFmtId="0" fontId="10" fillId="13" borderId="0" xfId="0" applyFont="1" applyFill="1" applyAlignment="1">
      <alignment horizontal="left" vertical="top"/>
    </xf>
    <xf numFmtId="0" fontId="11" fillId="13" borderId="0" xfId="0" applyFont="1" applyFill="1"/>
    <xf numFmtId="0" fontId="12" fillId="13" borderId="0" xfId="0" applyFont="1" applyFill="1" applyAlignment="1">
      <alignment horizontal="left" vertical="top"/>
    </xf>
    <xf numFmtId="49" fontId="10" fillId="13" borderId="0" xfId="0" applyNumberFormat="1" applyFont="1" applyFill="1" applyAlignment="1">
      <alignment horizontal="left" vertical="top"/>
    </xf>
    <xf numFmtId="0" fontId="11" fillId="5" borderId="0" xfId="0" applyFont="1" applyFill="1" applyAlignment="1">
      <alignment wrapText="1"/>
    </xf>
    <xf numFmtId="0" fontId="11" fillId="5" borderId="0" xfId="0" applyFont="1" applyFill="1"/>
    <xf numFmtId="0" fontId="10" fillId="0" borderId="0" xfId="0" applyFont="1" applyAlignment="1">
      <alignment horizontal="left" vertical="top"/>
    </xf>
    <xf numFmtId="0" fontId="12" fillId="14" borderId="0" xfId="0" applyFont="1" applyFill="1" applyAlignment="1">
      <alignment horizontal="left" vertical="top"/>
    </xf>
    <xf numFmtId="49" fontId="10" fillId="0" borderId="0" xfId="0" applyNumberFormat="1" applyFont="1" applyAlignment="1">
      <alignment horizontal="left" vertical="top"/>
    </xf>
    <xf numFmtId="0" fontId="8" fillId="4" borderId="0" xfId="0" applyFont="1" applyFill="1" applyAlignment="1">
      <alignment vertical="center" wrapText="1"/>
    </xf>
    <xf numFmtId="0" fontId="8" fillId="4" borderId="0" xfId="0" applyFont="1" applyFill="1" applyAlignment="1">
      <alignment wrapText="1"/>
    </xf>
    <xf numFmtId="0" fontId="10" fillId="9" borderId="0" xfId="0" applyFont="1" applyFill="1" applyAlignment="1">
      <alignment vertical="top" wrapText="1"/>
    </xf>
    <xf numFmtId="0" fontId="10" fillId="9" borderId="0" xfId="0" applyFont="1" applyFill="1" applyAlignment="1">
      <alignment horizontal="center" vertical="top" wrapText="1"/>
    </xf>
    <xf numFmtId="0" fontId="10" fillId="5" borderId="0" xfId="0" applyFont="1" applyFill="1" applyAlignment="1">
      <alignment horizontal="center" vertical="top" wrapText="1"/>
    </xf>
    <xf numFmtId="0" fontId="10" fillId="7" borderId="0" xfId="0" applyFont="1" applyFill="1" applyAlignment="1">
      <alignment vertical="top"/>
    </xf>
    <xf numFmtId="0" fontId="10" fillId="7" borderId="0" xfId="0" applyFont="1" applyFill="1"/>
    <xf numFmtId="49" fontId="10" fillId="7" borderId="0" xfId="0" applyNumberFormat="1" applyFont="1" applyFill="1" applyAlignment="1">
      <alignment horizontal="center" vertical="top"/>
    </xf>
    <xf numFmtId="0" fontId="10" fillId="7" borderId="0" xfId="0" applyFont="1" applyFill="1" applyAlignment="1">
      <alignment horizontal="center" vertical="top"/>
    </xf>
    <xf numFmtId="0" fontId="10" fillId="7" borderId="0" xfId="0" applyFont="1" applyFill="1" applyAlignment="1">
      <alignment vertical="top" wrapText="1"/>
    </xf>
    <xf numFmtId="0" fontId="0" fillId="7" borderId="0" xfId="0" applyFill="1"/>
    <xf numFmtId="0" fontId="0" fillId="7" borderId="0" xfId="0" applyFill="1" applyAlignment="1">
      <alignment horizontal="center"/>
    </xf>
    <xf numFmtId="0" fontId="10" fillId="7" borderId="0" xfId="0" applyFont="1" applyFill="1" applyAlignment="1">
      <alignment horizontal="center" vertical="top" wrapText="1"/>
    </xf>
    <xf numFmtId="0" fontId="10" fillId="8" borderId="0" xfId="0" applyFont="1" applyFill="1" applyAlignment="1">
      <alignment wrapText="1"/>
    </xf>
    <xf numFmtId="0" fontId="10" fillId="8" borderId="0" xfId="0" applyFont="1" applyFill="1" applyAlignment="1">
      <alignment horizontal="center" wrapText="1"/>
    </xf>
    <xf numFmtId="0" fontId="10" fillId="10" borderId="0" xfId="0" applyFont="1" applyFill="1" applyAlignment="1">
      <alignment wrapText="1"/>
    </xf>
    <xf numFmtId="0" fontId="10" fillId="10" borderId="0" xfId="0" applyFont="1" applyFill="1" applyAlignment="1">
      <alignment horizontal="center" wrapText="1"/>
    </xf>
    <xf numFmtId="49" fontId="10" fillId="11" borderId="0" xfId="0" applyNumberFormat="1" applyFont="1" applyFill="1" applyAlignment="1">
      <alignment vertical="top"/>
    </xf>
    <xf numFmtId="49" fontId="10" fillId="11" borderId="0" xfId="0" applyNumberFormat="1" applyFont="1" applyFill="1" applyAlignment="1">
      <alignment horizontal="center" vertical="top"/>
    </xf>
    <xf numFmtId="0" fontId="10" fillId="0" borderId="0" xfId="0" applyFont="1"/>
    <xf numFmtId="49" fontId="10" fillId="0" borderId="0" xfId="0" applyNumberFormat="1" applyFont="1" applyAlignment="1">
      <alignment horizontal="center" vertical="top"/>
    </xf>
    <xf numFmtId="0" fontId="10" fillId="0" borderId="0" xfId="0" applyFont="1" applyAlignment="1">
      <alignment horizontal="center" vertical="top"/>
    </xf>
    <xf numFmtId="0" fontId="10" fillId="0" borderId="0" xfId="0" applyFont="1" applyAlignment="1">
      <alignment vertical="top" wrapText="1"/>
    </xf>
    <xf numFmtId="0" fontId="7" fillId="0" borderId="0" xfId="0" applyFont="1"/>
    <xf numFmtId="0" fontId="14" fillId="0" borderId="0" xfId="0" applyFont="1"/>
    <xf numFmtId="0" fontId="10" fillId="15" borderId="0" xfId="0" applyFont="1" applyFill="1" applyAlignment="1">
      <alignment horizontal="center" wrapText="1"/>
    </xf>
    <xf numFmtId="0" fontId="10" fillId="16" borderId="0" xfId="0" applyFont="1" applyFill="1" applyAlignment="1">
      <alignment horizontal="center" wrapText="1"/>
    </xf>
    <xf numFmtId="16" fontId="0" fillId="3" borderId="0" xfId="0" applyNumberFormat="1" applyFill="1"/>
    <xf numFmtId="0" fontId="16" fillId="0" borderId="1" xfId="0" applyFont="1" applyBorder="1"/>
  </cellXfs>
  <cellStyles count="1">
    <cellStyle name="Normal" xfId="0" builtinId="0"/>
  </cellStyles>
  <dxfs count="1">
    <dxf>
      <font>
        <b val="0"/>
        <i val="0"/>
        <strike val="0"/>
        <condense val="0"/>
        <extend val="0"/>
        <outline val="0"/>
        <shadow val="0"/>
        <u val="none"/>
        <vertAlign val="baseline"/>
        <sz val="10"/>
        <color rgb="FF14181F"/>
        <name val="Calibri"/>
        <family val="2"/>
        <charset val="1"/>
        <scheme val="none"/>
      </font>
      <alignment horizontal="center"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DDD9C3"/>
      <rgbColor rgb="FF808080"/>
      <rgbColor rgb="FF9999FF"/>
      <rgbColor rgb="FF993366"/>
      <rgbColor rgb="FFEBF1DE"/>
      <rgbColor rgb="FFDBEEF4"/>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AF2EF"/>
      <rgbColor rgb="FFDCE6F2"/>
      <rgbColor rgb="FFFDEADA"/>
      <rgbColor rgb="FFE6E0EC"/>
      <rgbColor rgb="FFFDE9D9"/>
      <rgbColor rgb="FFCC99FF"/>
      <rgbColor rgb="FFF2DCDB"/>
      <rgbColor rgb="FF3366FF"/>
      <rgbColor rgb="FF33CCCC"/>
      <rgbColor rgb="FF92D050"/>
      <rgbColor rgb="FFFFCC00"/>
      <rgbColor rgb="FFFF9900"/>
      <rgbColor rgb="FFFF6600"/>
      <rgbColor rgb="FF5B6B67"/>
      <rgbColor rgb="FF969696"/>
      <rgbColor rgb="FF003366"/>
      <rgbColor rgb="FF339966"/>
      <rgbColor rgb="FF14181F"/>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17" totalsRowShown="0">
  <autoFilter ref="A1:I17" xr:uid="{00000000-0009-0000-0100-000001000000}"/>
  <tableColumns count="9">
    <tableColumn id="1" xr3:uid="{00000000-0010-0000-0000-000001000000}" name="Dept"/>
    <tableColumn id="2" xr3:uid="{00000000-0010-0000-0000-000002000000}" name="KPI count"/>
    <tableColumn id="9" xr3:uid="{DCE4C95D-89C8-FE46-8DE5-2D3E68C0C89A}" name="KPI's Selected?" dataDxfId="0"/>
    <tableColumn id="3" xr3:uid="{00000000-0010-0000-0000-000003000000}" name="All cataloged?"/>
    <tableColumn id="8" xr3:uid="{18ACBE41-D014-5844-B48E-78594A1364F8}" name="Data been asked for?"/>
    <tableColumn id="4" xr3:uid="{00000000-0010-0000-0000-000004000000}" name="All data entered?"/>
    <tableColumn id="5" xr3:uid="{00000000-0010-0000-0000-000005000000}" name="Benchmark/ target entered?"/>
    <tableColumn id="6" xr3:uid="{00000000-0010-0000-0000-000006000000}" name="Narrative added?"/>
    <tableColumn id="7" xr3:uid="{00000000-0010-0000-0000-000007000000}" name="Visual confirmation from d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0"/>
  <sheetViews>
    <sheetView zoomScaleNormal="100" workbookViewId="0">
      <selection activeCell="C12" sqref="C12"/>
    </sheetView>
  </sheetViews>
  <sheetFormatPr baseColWidth="10" defaultColWidth="8.6640625" defaultRowHeight="15" x14ac:dyDescent="0.2"/>
  <cols>
    <col min="1" max="1" width="9.33203125" style="1" customWidth="1"/>
    <col min="2" max="2" width="10.83203125" style="1" customWidth="1"/>
    <col min="3" max="3" width="17.1640625" style="1" bestFit="1" customWidth="1"/>
    <col min="4" max="4" width="16" bestFit="1" customWidth="1"/>
    <col min="5" max="5" width="19.1640625" bestFit="1" customWidth="1"/>
    <col min="6" max="6" width="16.83203125" customWidth="1"/>
    <col min="7" max="7" width="25.5" customWidth="1"/>
    <col min="8" max="8" width="16.6640625" customWidth="1"/>
    <col min="9" max="9" width="26.6640625" customWidth="1"/>
  </cols>
  <sheetData>
    <row r="1" spans="1:9" x14ac:dyDescent="0.2">
      <c r="A1" s="2" t="s">
        <v>0</v>
      </c>
      <c r="B1" s="2" t="s">
        <v>1</v>
      </c>
      <c r="C1" s="2" t="s">
        <v>696</v>
      </c>
      <c r="D1" s="3" t="s">
        <v>2</v>
      </c>
      <c r="E1" s="3" t="s">
        <v>695</v>
      </c>
      <c r="F1" s="3" t="s">
        <v>3</v>
      </c>
      <c r="G1" s="3" t="s">
        <v>4</v>
      </c>
      <c r="H1" s="3" t="s">
        <v>5</v>
      </c>
      <c r="I1" s="3" t="s">
        <v>6</v>
      </c>
    </row>
    <row r="2" spans="1:9" x14ac:dyDescent="0.2">
      <c r="A2" s="4" t="s">
        <v>7</v>
      </c>
      <c r="B2" s="5">
        <f>COUNTIF('KPI Catalog'!A:A, A2)</f>
        <v>24</v>
      </c>
      <c r="C2" s="5"/>
      <c r="D2" s="6"/>
    </row>
    <row r="3" spans="1:9" x14ac:dyDescent="0.2">
      <c r="A3" s="4" t="s">
        <v>8</v>
      </c>
      <c r="B3" s="5">
        <f>COUNTIF('KPI Catalog'!A:A, A3)</f>
        <v>20</v>
      </c>
      <c r="C3" s="5"/>
      <c r="D3" s="6"/>
    </row>
    <row r="4" spans="1:9" x14ac:dyDescent="0.2">
      <c r="A4" s="4" t="s">
        <v>9</v>
      </c>
      <c r="B4" s="5">
        <f>COUNTIF('KPI Catalog'!A:A, A4)</f>
        <v>9</v>
      </c>
      <c r="C4" s="5"/>
    </row>
    <row r="5" spans="1:9" x14ac:dyDescent="0.2">
      <c r="A5" s="4" t="s">
        <v>10</v>
      </c>
      <c r="B5" s="5">
        <f>COUNTIF('KPI Catalog'!A:A, A5)</f>
        <v>9</v>
      </c>
      <c r="C5" s="5"/>
    </row>
    <row r="6" spans="1:9" x14ac:dyDescent="0.2">
      <c r="A6" s="4">
        <v>911</v>
      </c>
      <c r="B6" s="5">
        <f>COUNTIF('KPI Catalog'!A:A, A6)</f>
        <v>7</v>
      </c>
      <c r="C6" s="6"/>
      <c r="D6" s="6"/>
    </row>
    <row r="7" spans="1:9" x14ac:dyDescent="0.2">
      <c r="A7" s="4" t="s">
        <v>11</v>
      </c>
      <c r="B7" s="5">
        <f>COUNTIF('KPI Catalog'!A:A, A7)</f>
        <v>16</v>
      </c>
      <c r="C7" s="5"/>
    </row>
    <row r="8" spans="1:9" x14ac:dyDescent="0.2">
      <c r="A8" s="4" t="s">
        <v>12</v>
      </c>
      <c r="B8" s="5">
        <f>COUNTIF('KPI Catalog'!A:A, A8)</f>
        <v>4</v>
      </c>
      <c r="C8" s="6" t="s">
        <v>693</v>
      </c>
      <c r="D8" s="6" t="s">
        <v>693</v>
      </c>
      <c r="E8" s="86">
        <v>46308</v>
      </c>
      <c r="G8" s="6"/>
    </row>
    <row r="9" spans="1:9" x14ac:dyDescent="0.2">
      <c r="A9" s="4" t="s">
        <v>13</v>
      </c>
      <c r="B9" s="5">
        <f>COUNTIF('KPI Catalog'!A:A, A9)</f>
        <v>4</v>
      </c>
      <c r="C9" s="5"/>
    </row>
    <row r="10" spans="1:9" x14ac:dyDescent="0.2">
      <c r="A10" s="4" t="s">
        <v>14</v>
      </c>
      <c r="B10" s="5">
        <f>COUNTIF('KPI Catalog'!A:A, A10)</f>
        <v>0</v>
      </c>
      <c r="C10" s="5"/>
    </row>
    <row r="11" spans="1:9" x14ac:dyDescent="0.2">
      <c r="A11" s="4" t="s">
        <v>15</v>
      </c>
      <c r="B11" s="5">
        <f>COUNTIF('KPI Catalog'!A:A, A11)</f>
        <v>0</v>
      </c>
      <c r="C11" s="5"/>
    </row>
    <row r="12" spans="1:9" x14ac:dyDescent="0.2">
      <c r="A12" s="4" t="s">
        <v>16</v>
      </c>
      <c r="B12" s="5">
        <f>COUNTIF('KPI Catalog'!A:A, A12)</f>
        <v>0</v>
      </c>
      <c r="C12" s="5"/>
    </row>
    <row r="13" spans="1:9" x14ac:dyDescent="0.2">
      <c r="A13" s="4" t="s">
        <v>17</v>
      </c>
      <c r="B13" s="5">
        <f>COUNTIF('KPI Catalog'!A:A, A13)</f>
        <v>0</v>
      </c>
      <c r="C13" s="5"/>
    </row>
    <row r="14" spans="1:9" x14ac:dyDescent="0.2">
      <c r="A14" s="4" t="s">
        <v>18</v>
      </c>
      <c r="B14" s="5">
        <f>COUNTIF('KPI Catalog'!A:A, A14)</f>
        <v>0</v>
      </c>
      <c r="C14" s="5"/>
    </row>
    <row r="15" spans="1:9" x14ac:dyDescent="0.2">
      <c r="A15" s="4" t="s">
        <v>19</v>
      </c>
      <c r="B15" s="5">
        <f>COUNTIF('KPI Catalog'!A:A, A15)</f>
        <v>0</v>
      </c>
      <c r="C15" s="5"/>
    </row>
    <row r="16" spans="1:9" x14ac:dyDescent="0.2">
      <c r="A16" s="4" t="s">
        <v>20</v>
      </c>
      <c r="B16" s="5">
        <f>COUNTIF('KPI Catalog'!A:A, A16)</f>
        <v>0</v>
      </c>
      <c r="C16" s="6"/>
      <c r="D16" s="6"/>
      <c r="E16" s="86">
        <v>46308</v>
      </c>
    </row>
    <row r="17" spans="1:7" x14ac:dyDescent="0.2">
      <c r="A17" s="4" t="s">
        <v>21</v>
      </c>
      <c r="B17" s="5">
        <f>COUNTIF('KPI Catalog'!A:A, A17)</f>
        <v>0</v>
      </c>
      <c r="C17" s="5"/>
    </row>
    <row r="30" spans="1:7" x14ac:dyDescent="0.2"/>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zoomScaleNormal="100" workbookViewId="0"/>
  </sheetViews>
  <sheetFormatPr baseColWidth="10" defaultColWidth="8.6640625" defaultRowHeight="15" x14ac:dyDescent="0.2"/>
  <cols>
    <col min="1" max="1" width="26" customWidth="1"/>
    <col min="2" max="2" width="100" customWidth="1"/>
  </cols>
  <sheetData>
    <row r="1" spans="1:2" ht="18" x14ac:dyDescent="0.2">
      <c r="A1" s="7" t="s">
        <v>22</v>
      </c>
    </row>
    <row r="3" spans="1:2" x14ac:dyDescent="0.2">
      <c r="A3" s="8" t="s">
        <v>23</v>
      </c>
      <c r="B3" s="9" t="s">
        <v>24</v>
      </c>
    </row>
    <row r="4" spans="1:2" x14ac:dyDescent="0.2">
      <c r="A4" s="8" t="s">
        <v>25</v>
      </c>
      <c r="B4" s="9" t="s">
        <v>26</v>
      </c>
    </row>
    <row r="6" spans="1:2" x14ac:dyDescent="0.2">
      <c r="A6" s="8" t="s">
        <v>27</v>
      </c>
      <c r="B6" s="9" t="s">
        <v>28</v>
      </c>
    </row>
    <row r="7" spans="1:2" ht="28" x14ac:dyDescent="0.2">
      <c r="A7" s="8" t="s">
        <v>29</v>
      </c>
      <c r="B7" s="9" t="s">
        <v>30</v>
      </c>
    </row>
    <row r="8" spans="1:2" ht="28" x14ac:dyDescent="0.2">
      <c r="A8" s="8" t="s">
        <v>31</v>
      </c>
      <c r="B8" s="9" t="s">
        <v>32</v>
      </c>
    </row>
    <row r="9" spans="1:2" ht="28" x14ac:dyDescent="0.2">
      <c r="A9" s="8" t="s">
        <v>33</v>
      </c>
      <c r="B9" s="9" t="s">
        <v>34</v>
      </c>
    </row>
    <row r="11" spans="1:2" x14ac:dyDescent="0.2">
      <c r="A11" s="8" t="s">
        <v>35</v>
      </c>
      <c r="B11" s="9" t="s">
        <v>36</v>
      </c>
    </row>
    <row r="12" spans="1:2" x14ac:dyDescent="0.2">
      <c r="A12" s="8" t="s">
        <v>37</v>
      </c>
      <c r="B12" s="9" t="s">
        <v>38</v>
      </c>
    </row>
    <row r="13" spans="1:2" x14ac:dyDescent="0.2">
      <c r="A13" s="8" t="s">
        <v>39</v>
      </c>
      <c r="B13" s="9" t="s">
        <v>40</v>
      </c>
    </row>
    <row r="14" spans="1:2" ht="28" x14ac:dyDescent="0.2">
      <c r="A14" s="8" t="s">
        <v>41</v>
      </c>
      <c r="B14" s="9" t="s">
        <v>42</v>
      </c>
    </row>
    <row r="16" spans="1:2" ht="28" x14ac:dyDescent="0.2">
      <c r="A16" s="8" t="s">
        <v>43</v>
      </c>
      <c r="B16" s="9" t="s">
        <v>44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05"/>
  <sheetViews>
    <sheetView zoomScale="90" zoomScaleNormal="90" workbookViewId="0">
      <pane ySplit="1" topLeftCell="A31" activePane="bottomLeft" state="frozen"/>
      <selection pane="bottomLeft" activeCell="B52" sqref="B52"/>
    </sheetView>
  </sheetViews>
  <sheetFormatPr baseColWidth="10" defaultColWidth="34" defaultRowHeight="15" x14ac:dyDescent="0.2"/>
  <cols>
    <col min="1" max="1" width="8.6640625" style="10" customWidth="1"/>
    <col min="2" max="2" width="21.6640625" style="10" customWidth="1"/>
    <col min="3" max="3" width="67.5" style="10" customWidth="1"/>
    <col min="4" max="4" width="10.33203125" style="10" customWidth="1"/>
    <col min="5" max="5" width="16.33203125" style="10" customWidth="1"/>
    <col min="6" max="6" width="36.5" style="10" customWidth="1"/>
    <col min="7" max="7" width="15.1640625" style="10" customWidth="1"/>
    <col min="8" max="8" width="47.5" style="10" customWidth="1"/>
    <col min="9" max="9" width="7" style="10" customWidth="1"/>
    <col min="10" max="10" width="8.83203125" style="10" customWidth="1"/>
    <col min="11" max="11" width="13.83203125" style="10" customWidth="1"/>
    <col min="12" max="12" width="14.83203125" style="10" customWidth="1"/>
    <col min="13" max="13" width="16.33203125" style="10" customWidth="1"/>
    <col min="14" max="14" width="17.5" style="10" customWidth="1"/>
    <col min="15" max="15" width="12.1640625" style="10" customWidth="1"/>
    <col min="16" max="16" width="16" style="10" customWidth="1"/>
    <col min="17" max="17" width="21.6640625" style="10" customWidth="1"/>
    <col min="18" max="18" width="31.83203125" style="10" customWidth="1"/>
    <col min="19" max="19" width="77.33203125" style="10" customWidth="1"/>
    <col min="20" max="20" width="8.1640625" style="10" customWidth="1"/>
    <col min="21" max="16384" width="34" style="10"/>
  </cols>
  <sheetData>
    <row r="1" spans="1:21" x14ac:dyDescent="0.2">
      <c r="A1" s="11" t="s">
        <v>0</v>
      </c>
      <c r="B1" s="11" t="s">
        <v>45</v>
      </c>
      <c r="C1" s="11" t="s">
        <v>46</v>
      </c>
      <c r="D1" s="11" t="s">
        <v>47</v>
      </c>
      <c r="E1" s="11" t="s">
        <v>48</v>
      </c>
      <c r="F1" s="11" t="s">
        <v>49</v>
      </c>
      <c r="G1" s="11" t="s">
        <v>50</v>
      </c>
      <c r="H1" s="11" t="s">
        <v>51</v>
      </c>
      <c r="I1" s="11" t="s">
        <v>52</v>
      </c>
      <c r="J1" s="11" t="s">
        <v>53</v>
      </c>
      <c r="K1" s="11" t="s">
        <v>54</v>
      </c>
      <c r="L1" s="11" t="s">
        <v>55</v>
      </c>
      <c r="M1" s="11" t="s">
        <v>56</v>
      </c>
      <c r="N1" s="11" t="s">
        <v>57</v>
      </c>
      <c r="O1" s="11" t="s">
        <v>58</v>
      </c>
      <c r="P1" s="11" t="s">
        <v>59</v>
      </c>
      <c r="Q1" s="11" t="s">
        <v>60</v>
      </c>
      <c r="R1" s="11" t="s">
        <v>61</v>
      </c>
      <c r="S1" s="11" t="s">
        <v>62</v>
      </c>
      <c r="T1" s="11" t="s">
        <v>63</v>
      </c>
      <c r="U1" s="12" t="s">
        <v>64</v>
      </c>
    </row>
    <row r="2" spans="1:21" s="18" customFormat="1" ht="16.5" customHeight="1" x14ac:dyDescent="0.2">
      <c r="A2" s="13" t="str">
        <f t="shared" ref="A2:A33" si="0">LEFT(B2, FIND("-", B2) - 1)</f>
        <v>HR</v>
      </c>
      <c r="B2" s="13" t="s">
        <v>65</v>
      </c>
      <c r="C2" s="14" t="s">
        <v>66</v>
      </c>
      <c r="D2" s="13" t="s">
        <v>67</v>
      </c>
      <c r="E2" s="13" t="s">
        <v>68</v>
      </c>
      <c r="F2" s="15" t="str">
        <f>IF(E2="","",IFERROR(IF(INDEX('Dashboard Items'!$B$2:$B$495,MATCH(E2,'Dashboard Items'!$A$2:$A$495,0))="Objective","Objectives go in the next column",IF(OR(D2="",INDEX('Dashboard Items'!$B$2:$B$495,MATCH(E2,'Dashboard Items'!$A$2:$A$495,0))=D2),INDEX('Dashboard Items'!$C$2:$C$495,MATCH(E2,'Dashboard Items'!$A$2:$A$495,0)),"Level does not match ID")),"ID not found"))</f>
        <v>Human Resources &amp; Workforce Development</v>
      </c>
      <c r="G2" s="16" t="s">
        <v>69</v>
      </c>
      <c r="H2" s="15" t="str">
        <f>IF(G2="","",IF(ISNUMBER(SEARCH(",",G2)),"Several items (the script lists them)",IFERROR(INDEX('Dashboard Items'!$B$2:$B$495,MATCH(G2,'Dashboard Items'!$A$2:$A$495,0))&amp;": "&amp;INDEX('Dashboard Items'!$C$2:$C$495,MATCH(G2,'Dashboard Items'!$A$2:$A$495,0)),"ID not found")))</f>
        <v>Objective: 6.1 Employee Growth and Retention</v>
      </c>
      <c r="I2" s="13" t="s">
        <v>70</v>
      </c>
      <c r="J2" s="13">
        <v>1</v>
      </c>
      <c r="K2" s="13" t="s">
        <v>71</v>
      </c>
      <c r="L2" s="13" t="s">
        <v>72</v>
      </c>
      <c r="M2" s="13">
        <v>5</v>
      </c>
      <c r="N2" s="13">
        <v>15</v>
      </c>
      <c r="O2" s="13" t="s">
        <v>71</v>
      </c>
      <c r="P2" s="13" t="s">
        <v>73</v>
      </c>
      <c r="Q2" s="13" t="s">
        <v>74</v>
      </c>
      <c r="R2" s="13" t="s">
        <v>75</v>
      </c>
      <c r="S2" s="13" t="s">
        <v>76</v>
      </c>
      <c r="T2" s="13"/>
      <c r="U2" s="17" t="str">
        <f>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Counts in Key Service gauge</v>
      </c>
    </row>
    <row r="3" spans="1:21" s="18" customFormat="1" ht="15.75" customHeight="1" x14ac:dyDescent="0.2">
      <c r="A3" s="13" t="str">
        <f t="shared" si="0"/>
        <v>HR</v>
      </c>
      <c r="B3" s="13" t="s">
        <v>77</v>
      </c>
      <c r="C3" s="14" t="s">
        <v>78</v>
      </c>
      <c r="D3" s="13" t="s">
        <v>67</v>
      </c>
      <c r="E3" s="13" t="s">
        <v>68</v>
      </c>
      <c r="F3" s="15" t="str">
        <f>IF(E3="","",IFERROR(IF(INDEX('Dashboard Items'!$B$2:$B$495,MATCH(E3,'Dashboard Items'!$A$2:$A$495,0))="Objective","Objectives go in the next column",IF(OR(D3="",INDEX('Dashboard Items'!$B$2:$B$495,MATCH(E3,'Dashboard Items'!$A$2:$A$495,0))=D3),INDEX('Dashboard Items'!$C$2:$C$495,MATCH(E3,'Dashboard Items'!$A$2:$A$495,0)),"Level does not match ID")),"ID not found"))</f>
        <v>Human Resources &amp; Workforce Development</v>
      </c>
      <c r="G3" s="16" t="s">
        <v>79</v>
      </c>
      <c r="H3" s="15" t="str">
        <f>IF(G3="","",IF(ISNUMBER(SEARCH(",",G3)),"Several items (the script lists them)",IFERROR(INDEX('Dashboard Items'!$B$2:$B$495,MATCH(G3,'Dashboard Items'!$A$2:$A$495,0))&amp;": "&amp;INDEX('Dashboard Items'!$C$2:$C$495,MATCH(G3,'Dashboard Items'!$A$2:$A$495,0)),"ID not found")))</f>
        <v>Program: Recruitment and Retention</v>
      </c>
      <c r="I3" s="13"/>
      <c r="J3" s="13"/>
      <c r="K3" s="13"/>
      <c r="L3" s="13"/>
      <c r="M3" s="13"/>
      <c r="N3" s="13"/>
      <c r="O3" s="13"/>
      <c r="P3" s="13"/>
      <c r="Q3" s="13" t="s">
        <v>80</v>
      </c>
      <c r="R3" s="13"/>
      <c r="S3" s="13"/>
      <c r="T3" s="13"/>
      <c r="U3" s="17" t="str">
        <f>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Counts in Key Service gauge</v>
      </c>
    </row>
    <row r="4" spans="1:21" s="18" customFormat="1" ht="15.75" customHeight="1" x14ac:dyDescent="0.2">
      <c r="A4" s="13" t="str">
        <f t="shared" si="0"/>
        <v>HR</v>
      </c>
      <c r="B4" s="13" t="s">
        <v>81</v>
      </c>
      <c r="C4" s="14" t="s">
        <v>82</v>
      </c>
      <c r="D4" s="13" t="s">
        <v>67</v>
      </c>
      <c r="E4" s="13" t="s">
        <v>68</v>
      </c>
      <c r="F4" s="15" t="str">
        <f>IF(E4="","",IFERROR(IF(INDEX('Dashboard Items'!$B$2:$B$495,MATCH(E4,'Dashboard Items'!$A$2:$A$495,0))="Objective","Objectives go in the next column",IF(OR(D4="",INDEX('Dashboard Items'!$B$2:$B$495,MATCH(E4,'Dashboard Items'!$A$2:$A$495,0))=D4),INDEX('Dashboard Items'!$C$2:$C$495,MATCH(E4,'Dashboard Items'!$A$2:$A$495,0)),"Level does not match ID")),"ID not found"))</f>
        <v>Human Resources &amp; Workforce Development</v>
      </c>
      <c r="G4" s="16" t="s">
        <v>79</v>
      </c>
      <c r="H4" s="15" t="str">
        <f>IF(G4="","",IF(ISNUMBER(SEARCH(",",G4)),"Several items (the script lists them)",IFERROR(INDEX('Dashboard Items'!$B$2:$B$495,MATCH(G4,'Dashboard Items'!$A$2:$A$495,0))&amp;": "&amp;INDEX('Dashboard Items'!$C$2:$C$495,MATCH(G4,'Dashboard Items'!$A$2:$A$495,0)),"ID not found")))</f>
        <v>Program: Recruitment and Retention</v>
      </c>
      <c r="I4" s="13"/>
      <c r="J4" s="13"/>
      <c r="K4" s="13"/>
      <c r="L4" s="13"/>
      <c r="M4" s="13"/>
      <c r="N4" s="13"/>
      <c r="O4" s="13"/>
      <c r="P4" s="13"/>
      <c r="Q4" s="13"/>
      <c r="R4" s="13"/>
      <c r="S4" s="13"/>
      <c r="T4" s="13"/>
      <c r="U4" s="17" t="str">
        <f>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pans="1:21" s="18" customFormat="1" ht="15.75" customHeight="1" x14ac:dyDescent="0.2">
      <c r="A5" s="13" t="str">
        <f t="shared" si="0"/>
        <v>HR</v>
      </c>
      <c r="B5" s="13" t="s">
        <v>83</v>
      </c>
      <c r="C5" s="14" t="s">
        <v>84</v>
      </c>
      <c r="D5" s="13" t="s">
        <v>85</v>
      </c>
      <c r="E5" s="13" t="s">
        <v>86</v>
      </c>
      <c r="F5" s="15" t="str">
        <f>IF(E5="","",IFERROR(IF(INDEX('Dashboard Items'!$B$2:$B$495,MATCH(E5,'Dashboard Items'!$A$2:$A$495,0))="Objective","Objectives go in the next column",IF(OR(D5="",INDEX('Dashboard Items'!$B$2:$B$495,MATCH(E5,'Dashboard Items'!$A$2:$A$495,0))=D5),INDEX('Dashboard Items'!$C$2:$C$495,MATCH(E5,'Dashboard Items'!$A$2:$A$495,0)),"Level does not match ID")),"ID not found"))</f>
        <v>Learning and Development</v>
      </c>
      <c r="G5" s="16"/>
      <c r="H5" s="15" t="str">
        <f>IF(G5="","",IF(ISNUMBER(SEARCH(",",G5)),"Several items (the script lists them)",IFERROR(INDEX('Dashboard Items'!$B$2:$B$495,MATCH(G5,'Dashboard Items'!$A$2:$A$495,0))&amp;": "&amp;INDEX('Dashboard Items'!$C$2:$C$495,MATCH(G5,'Dashboard Items'!$A$2:$A$495,0)),"ID not found")))</f>
        <v/>
      </c>
      <c r="I5" s="13"/>
      <c r="J5" s="13"/>
      <c r="K5" s="13"/>
      <c r="L5" s="13"/>
      <c r="M5" s="13"/>
      <c r="N5" s="13"/>
      <c r="O5" s="13"/>
      <c r="P5" s="13"/>
      <c r="Q5" s="13"/>
      <c r="R5" s="13"/>
      <c r="S5" s="13"/>
      <c r="T5" s="13"/>
      <c r="U5" s="17" t="str">
        <f>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pans="1:21" s="18" customFormat="1" ht="15.75" customHeight="1" x14ac:dyDescent="0.2">
      <c r="A6" s="13" t="str">
        <f t="shared" si="0"/>
        <v>HR</v>
      </c>
      <c r="B6" s="13" t="s">
        <v>87</v>
      </c>
      <c r="C6" s="14" t="s">
        <v>88</v>
      </c>
      <c r="D6" s="13" t="s">
        <v>85</v>
      </c>
      <c r="E6" s="13" t="s">
        <v>86</v>
      </c>
      <c r="F6" s="15" t="str">
        <f>IF(E6="","",IFERROR(IF(INDEX('Dashboard Items'!$B$2:$B$495,MATCH(E6,'Dashboard Items'!$A$2:$A$495,0))="Objective","Objectives go in the next column",IF(OR(D6="",INDEX('Dashboard Items'!$B$2:$B$495,MATCH(E6,'Dashboard Items'!$A$2:$A$495,0))=D6),INDEX('Dashboard Items'!$C$2:$C$495,MATCH(E6,'Dashboard Items'!$A$2:$A$495,0)),"Level does not match ID")),"ID not found"))</f>
        <v>Learning and Development</v>
      </c>
      <c r="G6" s="16"/>
      <c r="H6" s="15" t="str">
        <f>IF(G6="","",IF(ISNUMBER(SEARCH(",",G6)),"Several items (the script lists them)",IFERROR(INDEX('Dashboard Items'!$B$2:$B$495,MATCH(G6,'Dashboard Items'!$A$2:$A$495,0))&amp;": "&amp;INDEX('Dashboard Items'!$C$2:$C$495,MATCH(G6,'Dashboard Items'!$A$2:$A$495,0)),"ID not found")))</f>
        <v/>
      </c>
      <c r="I6" s="13"/>
      <c r="J6" s="13"/>
      <c r="K6" s="13"/>
      <c r="L6" s="13"/>
      <c r="M6" s="13"/>
      <c r="N6" s="13"/>
      <c r="O6" s="13"/>
      <c r="P6" s="13"/>
      <c r="Q6" s="13"/>
      <c r="R6" s="13"/>
      <c r="S6" s="13"/>
      <c r="T6" s="13"/>
      <c r="U6" s="17" t="str">
        <f>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pans="1:21" s="18" customFormat="1" ht="15.75" customHeight="1" x14ac:dyDescent="0.2">
      <c r="A7" s="13" t="str">
        <f t="shared" si="0"/>
        <v>HR</v>
      </c>
      <c r="B7" s="13" t="s">
        <v>89</v>
      </c>
      <c r="C7" s="14" t="s">
        <v>90</v>
      </c>
      <c r="D7" s="13" t="s">
        <v>85</v>
      </c>
      <c r="E7" s="13" t="s">
        <v>86</v>
      </c>
      <c r="F7" s="15" t="str">
        <f>IF(E7="","",IFERROR(IF(INDEX('Dashboard Items'!$B$2:$B$495,MATCH(E7,'Dashboard Items'!$A$2:$A$495,0))="Objective","Objectives go in the next column",IF(OR(D7="",INDEX('Dashboard Items'!$B$2:$B$495,MATCH(E7,'Dashboard Items'!$A$2:$A$495,0))=D7),INDEX('Dashboard Items'!$C$2:$C$495,MATCH(E7,'Dashboard Items'!$A$2:$A$495,0)),"Level does not match ID")),"ID not found"))</f>
        <v>Learning and Development</v>
      </c>
      <c r="G7" s="16"/>
      <c r="H7" s="15" t="str">
        <f>IF(G7="","",IF(ISNUMBER(SEARCH(",",G7)),"Several items (the script lists them)",IFERROR(INDEX('Dashboard Items'!$B$2:$B$495,MATCH(G7,'Dashboard Items'!$A$2:$A$495,0))&amp;": "&amp;INDEX('Dashboard Items'!$C$2:$C$495,MATCH(G7,'Dashboard Items'!$A$2:$A$495,0)),"ID not found")))</f>
        <v/>
      </c>
      <c r="I7" s="13"/>
      <c r="J7" s="13"/>
      <c r="K7" s="13"/>
      <c r="L7" s="13"/>
      <c r="M7" s="13"/>
      <c r="N7" s="13"/>
      <c r="O7" s="13"/>
      <c r="P7" s="13"/>
      <c r="Q7" s="13"/>
      <c r="R7" s="13"/>
      <c r="S7" s="13"/>
      <c r="T7" s="13"/>
      <c r="U7" s="17" t="str">
        <f>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pans="1:21" s="18" customFormat="1" ht="15.75" customHeight="1" x14ac:dyDescent="0.2">
      <c r="A8" s="13" t="str">
        <f t="shared" si="0"/>
        <v>HR</v>
      </c>
      <c r="B8" s="13" t="s">
        <v>91</v>
      </c>
      <c r="C8" s="14" t="s">
        <v>92</v>
      </c>
      <c r="D8" s="13" t="s">
        <v>85</v>
      </c>
      <c r="E8" s="13" t="s">
        <v>79</v>
      </c>
      <c r="F8" s="15" t="str">
        <f>IF(E8="","",IFERROR(IF(INDEX('Dashboard Items'!$B$2:$B$495,MATCH(E8,'Dashboard Items'!$A$2:$A$495,0))="Objective","Objectives go in the next column",IF(OR(D8="",INDEX('Dashboard Items'!$B$2:$B$495,MATCH(E8,'Dashboard Items'!$A$2:$A$495,0))=D8),INDEX('Dashboard Items'!$C$2:$C$495,MATCH(E8,'Dashboard Items'!$A$2:$A$495,0)),"Level does not match ID")),"ID not found"))</f>
        <v>Recruitment and Retention</v>
      </c>
      <c r="G8" s="16"/>
      <c r="H8" s="15" t="str">
        <f>IF(G8="","",IF(ISNUMBER(SEARCH(",",G8)),"Several items (the script lists them)",IFERROR(INDEX('Dashboard Items'!$B$2:$B$495,MATCH(G8,'Dashboard Items'!$A$2:$A$495,0))&amp;": "&amp;INDEX('Dashboard Items'!$C$2:$C$495,MATCH(G8,'Dashboard Items'!$A$2:$A$495,0)),"ID not found")))</f>
        <v/>
      </c>
      <c r="I8" s="13"/>
      <c r="J8" s="13"/>
      <c r="K8" s="13" t="s">
        <v>93</v>
      </c>
      <c r="L8" s="13"/>
      <c r="M8" s="13"/>
      <c r="N8" s="13"/>
      <c r="O8" s="13"/>
      <c r="P8" s="13"/>
      <c r="Q8" s="13" t="s">
        <v>80</v>
      </c>
      <c r="R8" s="13"/>
      <c r="S8" s="13"/>
      <c r="T8" s="13"/>
      <c r="U8" s="17" t="str">
        <f>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Sets Program status chip</v>
      </c>
    </row>
    <row r="9" spans="1:21" s="18" customFormat="1" ht="15.75" customHeight="1" x14ac:dyDescent="0.2">
      <c r="A9" s="13" t="str">
        <f t="shared" si="0"/>
        <v>HR</v>
      </c>
      <c r="B9" s="13" t="s">
        <v>94</v>
      </c>
      <c r="C9" s="14" t="s">
        <v>95</v>
      </c>
      <c r="D9" s="13" t="s">
        <v>85</v>
      </c>
      <c r="E9" s="13" t="s">
        <v>79</v>
      </c>
      <c r="F9" s="15" t="str">
        <f>IF(E9="","",IFERROR(IF(INDEX('Dashboard Items'!$B$2:$B$495,MATCH(E9,'Dashboard Items'!$A$2:$A$495,0))="Objective","Objectives go in the next column",IF(OR(D9="",INDEX('Dashboard Items'!$B$2:$B$495,MATCH(E9,'Dashboard Items'!$A$2:$A$495,0))=D9),INDEX('Dashboard Items'!$C$2:$C$495,MATCH(E9,'Dashboard Items'!$A$2:$A$495,0)),"Level does not match ID")),"ID not found"))</f>
        <v>Recruitment and Retention</v>
      </c>
      <c r="G9" s="16"/>
      <c r="H9" s="15" t="str">
        <f>IF(G9="","",IF(ISNUMBER(SEARCH(",",G9)),"Several items (the script lists them)",IFERROR(INDEX('Dashboard Items'!$B$2:$B$495,MATCH(G9,'Dashboard Items'!$A$2:$A$495,0))&amp;": "&amp;INDEX('Dashboard Items'!$C$2:$C$495,MATCH(G9,'Dashboard Items'!$A$2:$A$495,0)),"ID not found")))</f>
        <v/>
      </c>
      <c r="I9" s="13"/>
      <c r="J9" s="13"/>
      <c r="K9" s="13"/>
      <c r="L9" s="13"/>
      <c r="M9" s="13"/>
      <c r="N9" s="13"/>
      <c r="O9" s="13"/>
      <c r="P9" s="13"/>
      <c r="Q9" s="13" t="s">
        <v>80</v>
      </c>
      <c r="R9" s="13"/>
      <c r="S9" s="13"/>
      <c r="T9" s="13"/>
      <c r="U9" s="17" t="str">
        <f>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Sets Program status chip</v>
      </c>
    </row>
    <row r="10" spans="1:21" s="18" customFormat="1" ht="15.75" customHeight="1" x14ac:dyDescent="0.2">
      <c r="A10" s="13" t="str">
        <f t="shared" si="0"/>
        <v>HR</v>
      </c>
      <c r="B10" s="13" t="s">
        <v>96</v>
      </c>
      <c r="C10" s="14" t="s">
        <v>97</v>
      </c>
      <c r="D10" s="13" t="s">
        <v>85</v>
      </c>
      <c r="E10" s="13" t="s">
        <v>79</v>
      </c>
      <c r="F10" s="15" t="str">
        <f>IF(E10="","",IFERROR(IF(INDEX('Dashboard Items'!$B$2:$B$495,MATCH(E10,'Dashboard Items'!$A$2:$A$495,0))="Objective","Objectives go in the next column",IF(OR(D10="",INDEX('Dashboard Items'!$B$2:$B$495,MATCH(E10,'Dashboard Items'!$A$2:$A$495,0))=D10),INDEX('Dashboard Items'!$C$2:$C$495,MATCH(E10,'Dashboard Items'!$A$2:$A$495,0)),"Level does not match ID")),"ID not found"))</f>
        <v>Recruitment and Retention</v>
      </c>
      <c r="G10" s="16"/>
      <c r="H10" s="15" t="str">
        <f>IF(G10="","",IF(ISNUMBER(SEARCH(",",G10)),"Several items (the script lists them)",IFERROR(INDEX('Dashboard Items'!$B$2:$B$495,MATCH(G10,'Dashboard Items'!$A$2:$A$495,0))&amp;": "&amp;INDEX('Dashboard Items'!$C$2:$C$495,MATCH(G10,'Dashboard Items'!$A$2:$A$495,0)),"ID not found")))</f>
        <v/>
      </c>
      <c r="I10" s="13"/>
      <c r="J10" s="13"/>
      <c r="K10" s="13"/>
      <c r="L10" s="13"/>
      <c r="M10" s="13"/>
      <c r="N10" s="13"/>
      <c r="O10" s="13"/>
      <c r="P10" s="13"/>
      <c r="Q10" s="13" t="s">
        <v>80</v>
      </c>
      <c r="R10" s="13"/>
      <c r="S10" s="13"/>
      <c r="T10" s="13"/>
      <c r="U10" s="17" t="str">
        <f>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Sets Program status chip</v>
      </c>
    </row>
    <row r="11" spans="1:21" s="18" customFormat="1" ht="15.75" customHeight="1" x14ac:dyDescent="0.2">
      <c r="A11" s="13" t="str">
        <f t="shared" si="0"/>
        <v>HR</v>
      </c>
      <c r="B11" s="13" t="s">
        <v>98</v>
      </c>
      <c r="C11" s="14" t="s">
        <v>99</v>
      </c>
      <c r="D11" s="13" t="s">
        <v>85</v>
      </c>
      <c r="E11" s="13" t="s">
        <v>79</v>
      </c>
      <c r="F11" s="15" t="str">
        <f>IF(E11="","",IFERROR(IF(INDEX('Dashboard Items'!$B$2:$B$495,MATCH(E11,'Dashboard Items'!$A$2:$A$495,0))="Objective","Objectives go in the next column",IF(OR(D11="",INDEX('Dashboard Items'!$B$2:$B$495,MATCH(E11,'Dashboard Items'!$A$2:$A$495,0))=D11),INDEX('Dashboard Items'!$C$2:$C$495,MATCH(E11,'Dashboard Items'!$A$2:$A$495,0)),"Level does not match ID")),"ID not found"))</f>
        <v>Recruitment and Retention</v>
      </c>
      <c r="G11" s="16"/>
      <c r="H11" s="15" t="str">
        <f>IF(G11="","",IF(ISNUMBER(SEARCH(",",G11)),"Several items (the script lists them)",IFERROR(INDEX('Dashboard Items'!$B$2:$B$495,MATCH(G11,'Dashboard Items'!$A$2:$A$495,0))&amp;": "&amp;INDEX('Dashboard Items'!$C$2:$C$495,MATCH(G11,'Dashboard Items'!$A$2:$A$495,0)),"ID not found")))</f>
        <v/>
      </c>
      <c r="I11" s="13"/>
      <c r="J11" s="13"/>
      <c r="K11" s="13" t="s">
        <v>93</v>
      </c>
      <c r="L11" s="13"/>
      <c r="M11" s="13"/>
      <c r="N11" s="13"/>
      <c r="O11" s="13"/>
      <c r="P11" s="13"/>
      <c r="Q11" s="13" t="s">
        <v>80</v>
      </c>
      <c r="R11" s="13"/>
      <c r="S11" s="13"/>
      <c r="T11" s="13"/>
      <c r="U11" s="17" t="str">
        <f>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pans="1:21" s="18" customFormat="1" ht="15.75" customHeight="1" x14ac:dyDescent="0.2">
      <c r="A12" s="13" t="str">
        <f t="shared" si="0"/>
        <v>HR</v>
      </c>
      <c r="B12" s="13" t="s">
        <v>100</v>
      </c>
      <c r="C12" s="14" t="s">
        <v>101</v>
      </c>
      <c r="D12" s="13" t="s">
        <v>85</v>
      </c>
      <c r="E12" s="13" t="s">
        <v>79</v>
      </c>
      <c r="F12" s="15" t="str">
        <f>IF(E12="","",IFERROR(IF(INDEX('Dashboard Items'!$B$2:$B$495,MATCH(E12,'Dashboard Items'!$A$2:$A$495,0))="Objective","Objectives go in the next column",IF(OR(D12="",INDEX('Dashboard Items'!$B$2:$B$495,MATCH(E12,'Dashboard Items'!$A$2:$A$495,0))=D12),INDEX('Dashboard Items'!$C$2:$C$495,MATCH(E12,'Dashboard Items'!$A$2:$A$495,0)),"Level does not match ID")),"ID not found"))</f>
        <v>Recruitment and Retention</v>
      </c>
      <c r="G12" s="16"/>
      <c r="H12" s="15" t="str">
        <f>IF(G12="","",IF(ISNUMBER(SEARCH(",",G12)),"Several items (the script lists them)",IFERROR(INDEX('Dashboard Items'!$B$2:$B$495,MATCH(G12,'Dashboard Items'!$A$2:$A$495,0))&amp;": "&amp;INDEX('Dashboard Items'!$C$2:$C$495,MATCH(G12,'Dashboard Items'!$A$2:$A$495,0)),"ID not found")))</f>
        <v/>
      </c>
      <c r="I12" s="13"/>
      <c r="J12" s="13"/>
      <c r="K12" s="13" t="s">
        <v>71</v>
      </c>
      <c r="L12" s="13"/>
      <c r="M12" s="13"/>
      <c r="N12" s="13"/>
      <c r="O12" s="13"/>
      <c r="P12" s="13"/>
      <c r="Q12" s="13" t="s">
        <v>80</v>
      </c>
      <c r="R12" s="13"/>
      <c r="S12" s="13"/>
      <c r="T12" s="13"/>
      <c r="U12" s="17" t="str">
        <f>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Sets Program status chip</v>
      </c>
    </row>
    <row r="13" spans="1:21" s="18" customFormat="1" ht="15.75" customHeight="1" x14ac:dyDescent="0.2">
      <c r="A13" s="13" t="str">
        <f t="shared" si="0"/>
        <v>HR</v>
      </c>
      <c r="B13" s="13" t="s">
        <v>102</v>
      </c>
      <c r="C13" s="14" t="s">
        <v>103</v>
      </c>
      <c r="D13" s="13" t="s">
        <v>85</v>
      </c>
      <c r="E13" s="13" t="s">
        <v>79</v>
      </c>
      <c r="F13" s="15" t="str">
        <f>IF(E13="","",IFERROR(IF(INDEX('Dashboard Items'!$B$2:$B$495,MATCH(E13,'Dashboard Items'!$A$2:$A$495,0))="Objective","Objectives go in the next column",IF(OR(D13="",INDEX('Dashboard Items'!$B$2:$B$495,MATCH(E13,'Dashboard Items'!$A$2:$A$495,0))=D13),INDEX('Dashboard Items'!$C$2:$C$495,MATCH(E13,'Dashboard Items'!$A$2:$A$495,0)),"Level does not match ID")),"ID not found"))</f>
        <v>Recruitment and Retention</v>
      </c>
      <c r="G13" s="16"/>
      <c r="H13" s="15" t="str">
        <f>IF(G13="","",IF(ISNUMBER(SEARCH(",",G13)),"Several items (the script lists them)",IFERROR(INDEX('Dashboard Items'!$B$2:$B$495,MATCH(G13,'Dashboard Items'!$A$2:$A$495,0))&amp;": "&amp;INDEX('Dashboard Items'!$C$2:$C$495,MATCH(G13,'Dashboard Items'!$A$2:$A$495,0)),"ID not found")))</f>
        <v/>
      </c>
      <c r="I13" s="13"/>
      <c r="J13" s="13"/>
      <c r="K13" s="13"/>
      <c r="L13" s="13"/>
      <c r="M13" s="13"/>
      <c r="N13" s="13"/>
      <c r="O13" s="13"/>
      <c r="P13" s="13"/>
      <c r="Q13" s="13"/>
      <c r="R13" s="13"/>
      <c r="S13" s="13"/>
      <c r="T13" s="13"/>
      <c r="U13" s="17" t="str">
        <f>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Sets Program status chip</v>
      </c>
    </row>
    <row r="14" spans="1:21" s="18" customFormat="1" ht="15.75" customHeight="1" x14ac:dyDescent="0.2">
      <c r="A14" s="13" t="str">
        <f t="shared" si="0"/>
        <v>HR</v>
      </c>
      <c r="B14" s="13" t="s">
        <v>104</v>
      </c>
      <c r="C14" s="14" t="s">
        <v>105</v>
      </c>
      <c r="D14" s="13" t="s">
        <v>67</v>
      </c>
      <c r="E14" s="13" t="s">
        <v>68</v>
      </c>
      <c r="F14" s="15" t="str">
        <f>IF(E14="","",IFERROR(IF(INDEX('Dashboard Items'!$B$2:$B$495,MATCH(E14,'Dashboard Items'!$A$2:$A$495,0))="Objective","Objectives go in the next column",IF(OR(D14="",INDEX('Dashboard Items'!$B$2:$B$495,MATCH(E14,'Dashboard Items'!$A$2:$A$495,0))=D14),INDEX('Dashboard Items'!$C$2:$C$495,MATCH(E14,'Dashboard Items'!$A$2:$A$495,0)),"Level does not match ID")),"ID not found"))</f>
        <v>Human Resources &amp; Workforce Development</v>
      </c>
      <c r="G14" s="13" t="s">
        <v>79</v>
      </c>
      <c r="H14" s="15" t="str">
        <f>IF(G14="","",IF(ISNUMBER(SEARCH(",",G14)),"Several items (the script lists them)",IFERROR(INDEX('Dashboard Items'!$B$2:$B$495,MATCH(G14,'Dashboard Items'!$A$2:$A$495,0))&amp;": "&amp;INDEX('Dashboard Items'!$C$2:$C$495,MATCH(G14,'Dashboard Items'!$A$2:$A$495,0)),"ID not found")))</f>
        <v>Program: Recruitment and Retention</v>
      </c>
      <c r="I14" s="13"/>
      <c r="J14" s="13"/>
      <c r="K14" s="13"/>
      <c r="L14" s="13"/>
      <c r="M14" s="13"/>
      <c r="N14" s="13"/>
      <c r="O14" s="13"/>
      <c r="P14" s="13"/>
      <c r="Q14" s="13"/>
      <c r="R14" s="13"/>
      <c r="S14" s="13"/>
      <c r="T14" s="13"/>
      <c r="U14" s="17" t="str">
        <f>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Counts in Key Service gauge</v>
      </c>
    </row>
    <row r="15" spans="1:21" s="18" customFormat="1" ht="15.75" customHeight="1" x14ac:dyDescent="0.2">
      <c r="A15" s="13" t="str">
        <f t="shared" si="0"/>
        <v>HR</v>
      </c>
      <c r="B15" s="13" t="s">
        <v>106</v>
      </c>
      <c r="C15" s="14" t="s">
        <v>107</v>
      </c>
      <c r="D15" s="13" t="s">
        <v>85</v>
      </c>
      <c r="E15" s="13" t="s">
        <v>108</v>
      </c>
      <c r="F15" s="15" t="str">
        <f>IF(E15="","",IFERROR(IF(INDEX('Dashboard Items'!$B$2:$B$495,MATCH(E15,'Dashboard Items'!$A$2:$A$495,0))="Objective","Objectives go in the next column",IF(OR(D15="",INDEX('Dashboard Items'!$B$2:$B$495,MATCH(E15,'Dashboard Items'!$A$2:$A$495,0))=D15),INDEX('Dashboard Items'!$C$2:$C$495,MATCH(E15,'Dashboard Items'!$A$2:$A$495,0)),"Level does not match ID")),"ID not found"))</f>
        <v>Compensation and Benefits</v>
      </c>
      <c r="G15" s="16"/>
      <c r="H15" s="15" t="str">
        <f>IF(G15="","",IF(ISNUMBER(SEARCH(",",G15)),"Several items (the script lists them)",IFERROR(INDEX('Dashboard Items'!$B$2:$B$495,MATCH(G15,'Dashboard Items'!$A$2:$A$495,0))&amp;": "&amp;INDEX('Dashboard Items'!$C$2:$C$495,MATCH(G15,'Dashboard Items'!$A$2:$A$495,0)),"ID not found")))</f>
        <v/>
      </c>
      <c r="I15" s="13"/>
      <c r="J15" s="13"/>
      <c r="K15" s="13"/>
      <c r="L15" s="13"/>
      <c r="M15" s="13"/>
      <c r="N15" s="13"/>
      <c r="O15" s="13"/>
      <c r="P15" s="13"/>
      <c r="Q15" s="13"/>
      <c r="R15" s="13"/>
      <c r="S15" s="13"/>
      <c r="T15" s="13"/>
      <c r="U15" s="17" t="str">
        <f>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pans="1:21" s="18" customFormat="1" ht="15.75" customHeight="1" x14ac:dyDescent="0.2">
      <c r="A16" s="13" t="str">
        <f t="shared" si="0"/>
        <v>HR</v>
      </c>
      <c r="B16" s="19" t="s">
        <v>109</v>
      </c>
      <c r="C16" s="14" t="s">
        <v>110</v>
      </c>
      <c r="D16" s="13" t="s">
        <v>85</v>
      </c>
      <c r="E16" s="13" t="s">
        <v>111</v>
      </c>
      <c r="F16" s="15" t="str">
        <f>IF(E16="","",IFERROR(IF(INDEX('Dashboard Items'!$B$2:$B$495,MATCH(E16,'Dashboard Items'!$A$2:$A$495,0))="Objective","Objectives go in the next column",IF(OR(D16="",INDEX('Dashboard Items'!$B$2:$B$495,MATCH(E16,'Dashboard Items'!$A$2:$A$495,0))=D16),INDEX('Dashboard Items'!$C$2:$C$495,MATCH(E16,'Dashboard Items'!$A$2:$A$495,0)),"Level does not match ID")),"ID not found"))</f>
        <v>Risk Management</v>
      </c>
      <c r="G16" s="16"/>
      <c r="H16" s="15" t="str">
        <f>IF(G16="","",IF(ISNUMBER(SEARCH(",",G16)),"Several items (the script lists them)",IFERROR(INDEX('Dashboard Items'!$B$2:$B$495,MATCH(G16,'Dashboard Items'!$A$2:$A$495,0))&amp;": "&amp;INDEX('Dashboard Items'!$C$2:$C$495,MATCH(G16,'Dashboard Items'!$A$2:$A$495,0)),"ID not found")))</f>
        <v/>
      </c>
      <c r="I16" s="13"/>
      <c r="J16" s="13"/>
      <c r="K16" s="13"/>
      <c r="L16" s="13"/>
      <c r="M16" s="13"/>
      <c r="N16" s="13"/>
      <c r="O16" s="13"/>
      <c r="P16" s="13"/>
      <c r="Q16" s="13"/>
      <c r="R16" s="13"/>
      <c r="S16" s="13"/>
      <c r="T16" s="13"/>
      <c r="U16" s="17" t="str">
        <f>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Sets Program status chip</v>
      </c>
    </row>
    <row r="17" spans="1:21" s="18" customFormat="1" ht="15.75" customHeight="1" x14ac:dyDescent="0.2">
      <c r="A17" s="13" t="str">
        <f t="shared" si="0"/>
        <v>HR</v>
      </c>
      <c r="B17" s="20" t="s">
        <v>112</v>
      </c>
      <c r="C17" s="14" t="s">
        <v>113</v>
      </c>
      <c r="D17" s="13" t="s">
        <v>85</v>
      </c>
      <c r="E17" s="13" t="s">
        <v>111</v>
      </c>
      <c r="F17" s="15" t="str">
        <f>IF(E17="","",IFERROR(IF(INDEX('Dashboard Items'!$B$2:$B$495,MATCH(E17,'Dashboard Items'!$A$2:$A$495,0))="Objective","Objectives go in the next column",IF(OR(D17="",INDEX('Dashboard Items'!$B$2:$B$495,MATCH(E17,'Dashboard Items'!$A$2:$A$495,0))=D17),INDEX('Dashboard Items'!$C$2:$C$495,MATCH(E17,'Dashboard Items'!$A$2:$A$495,0)),"Level does not match ID")),"ID not found"))</f>
        <v>Risk Management</v>
      </c>
      <c r="G17" s="16"/>
      <c r="H17" s="15" t="str">
        <f>IF(G17="","",IF(ISNUMBER(SEARCH(",",G17)),"Several items (the script lists them)",IFERROR(INDEX('Dashboard Items'!$B$2:$B$495,MATCH(G17,'Dashboard Items'!$A$2:$A$495,0))&amp;": "&amp;INDEX('Dashboard Items'!$C$2:$C$495,MATCH(G17,'Dashboard Items'!$A$2:$A$495,0)),"ID not found")))</f>
        <v/>
      </c>
      <c r="I17" s="13"/>
      <c r="J17" s="13"/>
      <c r="K17" s="13"/>
      <c r="L17" s="13"/>
      <c r="M17" s="13"/>
      <c r="N17" s="13"/>
      <c r="O17" s="13"/>
      <c r="P17" s="13"/>
      <c r="Q17" s="13"/>
      <c r="R17" s="13"/>
      <c r="S17" s="13"/>
      <c r="T17" s="13"/>
      <c r="U17" s="17" t="str">
        <f>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Sets Program status chip</v>
      </c>
    </row>
    <row r="18" spans="1:21" s="18" customFormat="1" ht="15.75" customHeight="1" x14ac:dyDescent="0.2">
      <c r="A18" s="13" t="str">
        <f t="shared" si="0"/>
        <v>HR</v>
      </c>
      <c r="B18" s="20" t="s">
        <v>114</v>
      </c>
      <c r="C18" s="14" t="s">
        <v>115</v>
      </c>
      <c r="D18" s="13" t="s">
        <v>85</v>
      </c>
      <c r="E18" s="13" t="s">
        <v>111</v>
      </c>
      <c r="F18" s="15" t="str">
        <f>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16"/>
      <c r="H18" s="15" t="str">
        <f>IF(G18="","",IF(ISNUMBER(SEARCH(",",G18)),"Several items (the script lists them)",IFERROR(INDEX('Dashboard Items'!$B$2:$B$495,MATCH(G18,'Dashboard Items'!$A$2:$A$495,0))&amp;": "&amp;INDEX('Dashboard Items'!$C$2:$C$495,MATCH(G18,'Dashboard Items'!$A$2:$A$495,0)),"ID not found")))</f>
        <v/>
      </c>
      <c r="I18" s="13"/>
      <c r="J18" s="13"/>
      <c r="K18" s="13"/>
      <c r="L18" s="13"/>
      <c r="M18" s="13"/>
      <c r="N18" s="13"/>
      <c r="O18" s="13"/>
      <c r="P18" s="13"/>
      <c r="Q18" s="13"/>
      <c r="R18" s="13"/>
      <c r="S18" s="13"/>
      <c r="T18" s="13"/>
      <c r="U18" s="17" t="str">
        <f>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pans="1:21" s="18" customFormat="1" ht="15.75" customHeight="1" x14ac:dyDescent="0.2">
      <c r="A19" s="13" t="str">
        <f t="shared" si="0"/>
        <v>HR</v>
      </c>
      <c r="B19" s="20" t="s">
        <v>116</v>
      </c>
      <c r="C19" s="14" t="s">
        <v>117</v>
      </c>
      <c r="D19" s="13" t="s">
        <v>85</v>
      </c>
      <c r="E19" s="13" t="s">
        <v>111</v>
      </c>
      <c r="F19" s="15" t="str">
        <f>IF(E19="","",IFERROR(IF(INDEX('Dashboard Items'!$B$2:$B$495,MATCH(E19,'Dashboard Items'!$A$2:$A$495,0))="Objective","Objectives go in the next column",IF(OR(D19="",INDEX('Dashboard Items'!$B$2:$B$495,MATCH(E19,'Dashboard Items'!$A$2:$A$495,0))=D19),INDEX('Dashboard Items'!$C$2:$C$495,MATCH(E19,'Dashboard Items'!$A$2:$A$495,0)),"Level does not match ID")),"ID not found"))</f>
        <v>Risk Management</v>
      </c>
      <c r="G19" s="16"/>
      <c r="H19" s="15" t="str">
        <f>IF(G19="","",IF(ISNUMBER(SEARCH(",",G19)),"Several items (the script lists them)",IFERROR(INDEX('Dashboard Items'!$B$2:$B$495,MATCH(G19,'Dashboard Items'!$A$2:$A$495,0))&amp;": "&amp;INDEX('Dashboard Items'!$C$2:$C$495,MATCH(G19,'Dashboard Items'!$A$2:$A$495,0)),"ID not found")))</f>
        <v/>
      </c>
      <c r="I19" s="13"/>
      <c r="J19" s="13"/>
      <c r="K19" s="13"/>
      <c r="L19" s="13"/>
      <c r="M19" s="13"/>
      <c r="N19" s="13"/>
      <c r="O19" s="13"/>
      <c r="P19" s="13"/>
      <c r="Q19" s="13"/>
      <c r="R19" s="13"/>
      <c r="S19" s="13"/>
      <c r="T19" s="13"/>
      <c r="U19" s="17" t="str">
        <f>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pans="1:21" s="18" customFormat="1" ht="15.75" customHeight="1" x14ac:dyDescent="0.2">
      <c r="A20" s="13" t="str">
        <f t="shared" si="0"/>
        <v>HR</v>
      </c>
      <c r="B20" s="13" t="s">
        <v>118</v>
      </c>
      <c r="C20" s="14" t="s">
        <v>119</v>
      </c>
      <c r="D20" s="13" t="s">
        <v>85</v>
      </c>
      <c r="E20" s="13" t="s">
        <v>111</v>
      </c>
      <c r="F20" s="15" t="str">
        <f>IF(E20="","",IFERROR(IF(INDEX('Dashboard Items'!$B$2:$B$495,MATCH(E20,'Dashboard Items'!$A$2:$A$495,0))="Objective","Objectives go in the next column",IF(OR(D20="",INDEX('Dashboard Items'!$B$2:$B$495,MATCH(E20,'Dashboard Items'!$A$2:$A$495,0))=D20),INDEX('Dashboard Items'!$C$2:$C$495,MATCH(E20,'Dashboard Items'!$A$2:$A$495,0)),"Level does not match ID")),"ID not found"))</f>
        <v>Risk Management</v>
      </c>
      <c r="G20" s="16"/>
      <c r="H20" s="15" t="str">
        <f>IF(G20="","",IF(ISNUMBER(SEARCH(",",G20)),"Several items (the script lists them)",IFERROR(INDEX('Dashboard Items'!$B$2:$B$495,MATCH(G20,'Dashboard Items'!$A$2:$A$495,0))&amp;": "&amp;INDEX('Dashboard Items'!$C$2:$C$495,MATCH(G20,'Dashboard Items'!$A$2:$A$495,0)),"ID not found")))</f>
        <v/>
      </c>
      <c r="I20" s="13"/>
      <c r="J20" s="13"/>
      <c r="K20" s="13"/>
      <c r="L20" s="13"/>
      <c r="M20" s="13"/>
      <c r="N20" s="13"/>
      <c r="O20" s="13"/>
      <c r="P20" s="13"/>
      <c r="Q20" s="13"/>
      <c r="R20" s="13"/>
      <c r="S20" s="13"/>
      <c r="T20" s="13"/>
      <c r="U20" s="17" t="str">
        <f>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pans="1:21" s="18" customFormat="1" ht="15.75" customHeight="1" x14ac:dyDescent="0.2">
      <c r="A21" s="13" t="str">
        <f t="shared" si="0"/>
        <v>HR</v>
      </c>
      <c r="B21" s="13" t="s">
        <v>120</v>
      </c>
      <c r="C21" s="14" t="s">
        <v>121</v>
      </c>
      <c r="D21" s="13" t="s">
        <v>85</v>
      </c>
      <c r="E21" s="13" t="s">
        <v>111</v>
      </c>
      <c r="F21" s="15" t="str">
        <f>IF(E21="","",IFERROR(IF(INDEX('Dashboard Items'!$B$2:$B$495,MATCH(E21,'Dashboard Items'!$A$2:$A$495,0))="Objective","Objectives go in the next column",IF(OR(D21="",INDEX('Dashboard Items'!$B$2:$B$495,MATCH(E21,'Dashboard Items'!$A$2:$A$495,0))=D21),INDEX('Dashboard Items'!$C$2:$C$495,MATCH(E21,'Dashboard Items'!$A$2:$A$495,0)),"Level does not match ID")),"ID not found"))</f>
        <v>Risk Management</v>
      </c>
      <c r="G21" s="16"/>
      <c r="H21" s="15" t="str">
        <f>IF(G21="","",IF(ISNUMBER(SEARCH(",",G21)),"Several items (the script lists them)",IFERROR(INDEX('Dashboard Items'!$B$2:$B$495,MATCH(G21,'Dashboard Items'!$A$2:$A$495,0))&amp;": "&amp;INDEX('Dashboard Items'!$C$2:$C$495,MATCH(G21,'Dashboard Items'!$A$2:$A$495,0)),"ID not found")))</f>
        <v/>
      </c>
      <c r="I21" s="13"/>
      <c r="J21" s="13"/>
      <c r="K21" s="13"/>
      <c r="L21" s="13"/>
      <c r="M21" s="13"/>
      <c r="N21" s="13"/>
      <c r="O21" s="13"/>
      <c r="P21" s="13"/>
      <c r="Q21" s="13"/>
      <c r="R21" s="13"/>
      <c r="S21" s="13"/>
      <c r="T21" s="13"/>
      <c r="U21" s="17" t="str">
        <f>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pans="1:21" s="25" customFormat="1" ht="15.75" customHeight="1" x14ac:dyDescent="0.2">
      <c r="A22" s="21" t="str">
        <f t="shared" si="0"/>
        <v>IT</v>
      </c>
      <c r="B22" s="21" t="s">
        <v>122</v>
      </c>
      <c r="C22" s="22" t="s">
        <v>123</v>
      </c>
      <c r="D22" s="21" t="s">
        <v>85</v>
      </c>
      <c r="E22" s="21" t="s">
        <v>124</v>
      </c>
      <c r="F22" s="23" t="str">
        <f>IF(E22="","",IFERROR(IF(INDEX('Dashboard Items'!$B$2:$B$495,MATCH(E22,'Dashboard Items'!$A$2:$A$495,0))="Objective","Objectives go in the next column",IF(OR(D22="",INDEX('Dashboard Items'!$B$2:$B$495,MATCH(E22,'Dashboard Items'!$A$2:$A$495,0))=D22),INDEX('Dashboard Items'!$C$2:$C$495,MATCH(E22,'Dashboard Items'!$A$2:$A$495,0)),"Level does not match ID")),"ID not found"))</f>
        <v>Network and Infrastructure Management</v>
      </c>
      <c r="G22" s="24" t="s">
        <v>125</v>
      </c>
      <c r="H22" s="23" t="str">
        <f>IF(G22="","",IF(ISNUMBER(SEARCH(",",G22)),"Several items (the script lists them)",IFERROR(INDEX('Dashboard Items'!$B$2:$B$495,MATCH(G22,'Dashboard Items'!$A$2:$A$495,0))&amp;": "&amp;INDEX('Dashboard Items'!$C$2:$C$495,MATCH(G22,'Dashboard Items'!$A$2:$A$495,0)),"ID not found")))</f>
        <v>Several items (the script lists them)</v>
      </c>
      <c r="I22" s="21" t="s">
        <v>70</v>
      </c>
      <c r="J22" s="21">
        <v>2</v>
      </c>
      <c r="K22" s="21" t="s">
        <v>71</v>
      </c>
      <c r="L22" s="21" t="s">
        <v>72</v>
      </c>
      <c r="M22" s="21">
        <v>5</v>
      </c>
      <c r="N22" s="21">
        <v>15</v>
      </c>
      <c r="O22" s="21" t="s">
        <v>71</v>
      </c>
      <c r="P22" s="21" t="s">
        <v>126</v>
      </c>
      <c r="Q22" s="21" t="s">
        <v>127</v>
      </c>
      <c r="R22" s="21" t="s">
        <v>128</v>
      </c>
      <c r="S22" s="21"/>
      <c r="T22" s="21"/>
      <c r="U22" s="17" t="str">
        <f>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Counts in Key Service gauge + sets Program chip</v>
      </c>
    </row>
    <row r="23" spans="1:21" s="25" customFormat="1" ht="15.75" customHeight="1" x14ac:dyDescent="0.2">
      <c r="A23" s="21" t="str">
        <f t="shared" si="0"/>
        <v>IT</v>
      </c>
      <c r="B23" s="21" t="s">
        <v>129</v>
      </c>
      <c r="C23" s="22" t="s">
        <v>130</v>
      </c>
      <c r="D23" s="21" t="s">
        <v>85</v>
      </c>
      <c r="E23" s="21" t="s">
        <v>131</v>
      </c>
      <c r="F23" s="23" t="str">
        <f>IF(E23="","",IFERROR(IF(INDEX('Dashboard Items'!$B$2:$B$495,MATCH(E23,'Dashboard Items'!$A$2:$A$495,0))="Objective","Objectives go in the next column",IF(OR(D23="",INDEX('Dashboard Items'!$B$2:$B$495,MATCH(E23,'Dashboard Items'!$A$2:$A$495,0))=D23),INDEX('Dashboard Items'!$C$2:$C$495,MATCH(E23,'Dashboard Items'!$A$2:$A$495,0)),"Level does not match ID")),"ID not found"))</f>
        <v>Help Desk</v>
      </c>
      <c r="G23" s="24" t="s">
        <v>132</v>
      </c>
      <c r="H23" s="23" t="str">
        <f>IF(G23="","",IF(ISNUMBER(SEARCH(",",G23)),"Several items (the script lists them)",IFERROR(INDEX('Dashboard Items'!$B$2:$B$495,MATCH(G23,'Dashboard Items'!$A$2:$A$495,0))&amp;": "&amp;INDEX('Dashboard Items'!$C$2:$C$495,MATCH(G23,'Dashboard Items'!$A$2:$A$495,0)),"ID not found")))</f>
        <v>Key Service: Information Technology Services</v>
      </c>
      <c r="I23" s="21" t="s">
        <v>70</v>
      </c>
      <c r="J23" s="21">
        <v>1</v>
      </c>
      <c r="K23" s="21" t="s">
        <v>71</v>
      </c>
      <c r="L23" s="21" t="s">
        <v>72</v>
      </c>
      <c r="M23" s="21">
        <v>5</v>
      </c>
      <c r="N23" s="21">
        <v>15</v>
      </c>
      <c r="O23" s="21" t="s">
        <v>71</v>
      </c>
      <c r="P23" s="21" t="s">
        <v>126</v>
      </c>
      <c r="Q23" s="21" t="s">
        <v>127</v>
      </c>
      <c r="R23" s="21" t="s">
        <v>133</v>
      </c>
      <c r="S23" s="21"/>
      <c r="T23" s="21"/>
      <c r="U23" s="17" t="str">
        <f>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Counts in Key Service gauge + sets Program chip</v>
      </c>
    </row>
    <row r="24" spans="1:21" s="25" customFormat="1" x14ac:dyDescent="0.2">
      <c r="A24" s="21" t="str">
        <f t="shared" si="0"/>
        <v>IT</v>
      </c>
      <c r="B24" s="21" t="s">
        <v>134</v>
      </c>
      <c r="C24" s="21" t="s">
        <v>135</v>
      </c>
      <c r="D24" s="21" t="s">
        <v>85</v>
      </c>
      <c r="E24" s="21" t="s">
        <v>131</v>
      </c>
      <c r="F24" s="23" t="str">
        <f>IF(E24="","",IFERROR(IF(INDEX('Dashboard Items'!$B$2:$B$495,MATCH(E24,'Dashboard Items'!$A$2:$A$495,0))="Objective","Objectives go in the next column",IF(OR(D24="",INDEX('Dashboard Items'!$B$2:$B$495,MATCH(E24,'Dashboard Items'!$A$2:$A$495,0))=D24),INDEX('Dashboard Items'!$C$2:$C$495,MATCH(E24,'Dashboard Items'!$A$2:$A$495,0)),"Level does not match ID")),"ID not found"))</f>
        <v>Help Desk</v>
      </c>
      <c r="G24" s="24" t="s">
        <v>132</v>
      </c>
      <c r="H24" s="23" t="str">
        <f>IF(G24="","",IF(ISNUMBER(SEARCH(",",G24)),"Several items (the script lists them)",IFERROR(INDEX('Dashboard Items'!$B$2:$B$495,MATCH(G24,'Dashboard Items'!$A$2:$A$495,0))&amp;": "&amp;INDEX('Dashboard Items'!$C$2:$C$495,MATCH(G24,'Dashboard Items'!$A$2:$A$495,0)),"ID not found")))</f>
        <v>Key Service: Information Technology Services</v>
      </c>
      <c r="I24" s="21" t="s">
        <v>70</v>
      </c>
      <c r="J24" s="21">
        <v>2</v>
      </c>
      <c r="K24" s="21" t="s">
        <v>71</v>
      </c>
      <c r="L24" s="21" t="s">
        <v>72</v>
      </c>
      <c r="M24" s="21">
        <v>5</v>
      </c>
      <c r="N24" s="21">
        <v>15</v>
      </c>
      <c r="O24" s="21" t="s">
        <v>71</v>
      </c>
      <c r="P24" s="21" t="s">
        <v>126</v>
      </c>
      <c r="Q24" s="21" t="s">
        <v>127</v>
      </c>
      <c r="R24" s="21" t="s">
        <v>133</v>
      </c>
      <c r="S24" s="21"/>
      <c r="T24" s="21"/>
      <c r="U24" s="17" t="str">
        <f>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 + sets Program chip</v>
      </c>
    </row>
    <row r="25" spans="1:21" s="25" customFormat="1" x14ac:dyDescent="0.2">
      <c r="A25" s="21" t="str">
        <f t="shared" si="0"/>
        <v>IT</v>
      </c>
      <c r="B25" s="21" t="s">
        <v>136</v>
      </c>
      <c r="C25" s="21" t="s">
        <v>137</v>
      </c>
      <c r="D25" s="21" t="s">
        <v>85</v>
      </c>
      <c r="E25" s="21" t="s">
        <v>138</v>
      </c>
      <c r="F25" s="23" t="str">
        <f>IF(E25="","",IFERROR(IF(INDEX('Dashboard Items'!$B$2:$B$495,MATCH(E25,'Dashboard Items'!$A$2:$A$495,0))="Objective","Objectives go in the next column",IF(OR(D25="",INDEX('Dashboard Items'!$B$2:$B$495,MATCH(E25,'Dashboard Items'!$A$2:$A$495,0))=D25),INDEX('Dashboard Items'!$C$2:$C$495,MATCH(E25,'Dashboard Items'!$A$2:$A$495,0)),"Level does not match ID")),"ID not found"))</f>
        <v>Cybersecurity</v>
      </c>
      <c r="G25" s="24" t="s">
        <v>132</v>
      </c>
      <c r="H25" s="23" t="str">
        <f>IF(G25="","",IF(ISNUMBER(SEARCH(",",G25)),"Several items (the script lists them)",IFERROR(INDEX('Dashboard Items'!$B$2:$B$495,MATCH(G25,'Dashboard Items'!$A$2:$A$495,0))&amp;": "&amp;INDEX('Dashboard Items'!$C$2:$C$495,MATCH(G25,'Dashboard Items'!$A$2:$A$495,0)),"ID not found")))</f>
        <v>Key Service: Information Technology Services</v>
      </c>
      <c r="I25" s="21" t="s">
        <v>70</v>
      </c>
      <c r="J25" s="21">
        <v>2</v>
      </c>
      <c r="K25" s="21" t="s">
        <v>93</v>
      </c>
      <c r="L25" s="21" t="s">
        <v>72</v>
      </c>
      <c r="M25" s="21">
        <v>5</v>
      </c>
      <c r="N25" s="21">
        <v>15</v>
      </c>
      <c r="O25" s="21" t="s">
        <v>71</v>
      </c>
      <c r="P25" s="21" t="s">
        <v>139</v>
      </c>
      <c r="Q25" s="21" t="s">
        <v>127</v>
      </c>
      <c r="R25" s="21" t="s">
        <v>140</v>
      </c>
      <c r="S25" s="21"/>
      <c r="T25" s="21"/>
      <c r="U25" s="17" t="str">
        <f>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 + sets Program chip</v>
      </c>
    </row>
    <row r="26" spans="1:21" s="30" customFormat="1" ht="15.75" customHeight="1" x14ac:dyDescent="0.2">
      <c r="A26" s="26" t="str">
        <f t="shared" si="0"/>
        <v>LIB</v>
      </c>
      <c r="B26" s="26" t="s">
        <v>141</v>
      </c>
      <c r="C26" s="27" t="s">
        <v>142</v>
      </c>
      <c r="D26" s="26" t="s">
        <v>85</v>
      </c>
      <c r="E26" s="26" t="s">
        <v>143</v>
      </c>
      <c r="F26" s="28" t="str">
        <f>IF(E26="","",IFERROR(IF(INDEX('Dashboard Items'!$B$2:$B$495,MATCH(E26,'Dashboard Items'!$A$2:$A$495,0))="Objective","Objectives go in the next column",IF(OR(D26="",INDEX('Dashboard Items'!$B$2:$B$495,MATCH(E26,'Dashboard Items'!$A$2:$A$495,0))=D26),INDEX('Dashboard Items'!$C$2:$C$495,MATCH(E26,'Dashboard Items'!$A$2:$A$495,0)),"Level does not match ID")),"ID not found"))</f>
        <v>Circulation Services</v>
      </c>
      <c r="G26" s="29" t="s">
        <v>144</v>
      </c>
      <c r="H26" s="28" t="str">
        <f>IF(G26="","",IF(ISNUMBER(SEARCH(",",G26)),"Several items (the script lists them)",IFERROR(INDEX('Dashboard Items'!$B$2:$B$495,MATCH(G26,'Dashboard Items'!$A$2:$A$495,0))&amp;": "&amp;INDEX('Dashboard Items'!$C$2:$C$495,MATCH(G26,'Dashboard Items'!$A$2:$A$495,0)),"ID not found")))</f>
        <v>Key Service: Library &amp; Learning Services</v>
      </c>
      <c r="I26" s="26" t="s">
        <v>145</v>
      </c>
      <c r="J26" s="26">
        <v>2</v>
      </c>
      <c r="K26" s="26" t="s">
        <v>71</v>
      </c>
      <c r="L26" s="26" t="s">
        <v>72</v>
      </c>
      <c r="M26" s="26">
        <v>0</v>
      </c>
      <c r="N26" s="26">
        <v>0</v>
      </c>
      <c r="O26" s="26" t="s">
        <v>71</v>
      </c>
      <c r="P26" s="26" t="s">
        <v>146</v>
      </c>
      <c r="Q26" s="26" t="s">
        <v>147</v>
      </c>
      <c r="R26" s="26"/>
      <c r="S26" s="26"/>
      <c r="T26" s="26"/>
      <c r="U26" s="17" t="str">
        <f>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Counts in Key Service gauge + sets Program chip</v>
      </c>
    </row>
    <row r="27" spans="1:21" s="30" customFormat="1" ht="15.75" customHeight="1" x14ac:dyDescent="0.2">
      <c r="A27" s="26" t="str">
        <f t="shared" si="0"/>
        <v>LIB</v>
      </c>
      <c r="B27" s="26" t="s">
        <v>148</v>
      </c>
      <c r="C27" s="27" t="s">
        <v>149</v>
      </c>
      <c r="D27" s="26" t="s">
        <v>85</v>
      </c>
      <c r="E27" s="26" t="s">
        <v>150</v>
      </c>
      <c r="F27" s="28" t="str">
        <f>IF(E27="","",IFERROR(IF(INDEX('Dashboard Items'!$B$2:$B$495,MATCH(E27,'Dashboard Items'!$A$2:$A$495,0))="Objective","Objectives go in the next column",IF(OR(D27="",INDEX('Dashboard Items'!$B$2:$B$495,MATCH(E27,'Dashboard Items'!$A$2:$A$495,0))=D27),INDEX('Dashboard Items'!$C$2:$C$495,MATCH(E27,'Dashboard Items'!$A$2:$A$495,0)),"Level does not match ID")),"ID not found"))</f>
        <v>Digital Learning</v>
      </c>
      <c r="G27" s="29" t="s">
        <v>144</v>
      </c>
      <c r="H27" s="28" t="str">
        <f>IF(G27="","",IF(ISNUMBER(SEARCH(",",G27)),"Several items (the script lists them)",IFERROR(INDEX('Dashboard Items'!$B$2:$B$495,MATCH(G27,'Dashboard Items'!$A$2:$A$495,0))&amp;": "&amp;INDEX('Dashboard Items'!$C$2:$C$495,MATCH(G27,'Dashboard Items'!$A$2:$A$495,0)),"ID not found")))</f>
        <v>Key Service: Library &amp; Learning Services</v>
      </c>
      <c r="I27" s="26" t="s">
        <v>145</v>
      </c>
      <c r="J27" s="26">
        <v>2</v>
      </c>
      <c r="K27" s="26" t="s">
        <v>71</v>
      </c>
      <c r="L27" s="26" t="s">
        <v>72</v>
      </c>
      <c r="M27" s="26">
        <v>0</v>
      </c>
      <c r="N27" s="26">
        <v>0</v>
      </c>
      <c r="O27" s="26" t="s">
        <v>71</v>
      </c>
      <c r="P27" s="26" t="s">
        <v>146</v>
      </c>
      <c r="Q27" s="26" t="s">
        <v>147</v>
      </c>
      <c r="R27" s="26"/>
      <c r="S27" s="26"/>
      <c r="T27" s="26"/>
      <c r="U27" s="17" t="str">
        <f>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Counts in Key Service gauge + sets Program chip</v>
      </c>
    </row>
    <row r="28" spans="1:21" s="30" customFormat="1" ht="15.75" customHeight="1" x14ac:dyDescent="0.2">
      <c r="A28" s="26" t="str">
        <f t="shared" si="0"/>
        <v>LIB</v>
      </c>
      <c r="B28" s="26" t="s">
        <v>151</v>
      </c>
      <c r="C28" s="27" t="s">
        <v>152</v>
      </c>
      <c r="D28" s="26" t="s">
        <v>85</v>
      </c>
      <c r="E28" s="26" t="s">
        <v>150</v>
      </c>
      <c r="F28" s="28" t="str">
        <f>IF(E28="","",IFERROR(IF(INDEX('Dashboard Items'!$B$2:$B$495,MATCH(E28,'Dashboard Items'!$A$2:$A$495,0))="Objective","Objectives go in the next column",IF(OR(D28="",INDEX('Dashboard Items'!$B$2:$B$495,MATCH(E28,'Dashboard Items'!$A$2:$A$495,0))=D28),INDEX('Dashboard Items'!$C$2:$C$495,MATCH(E28,'Dashboard Items'!$A$2:$A$495,0)),"Level does not match ID")),"ID not found"))</f>
        <v>Digital Learning</v>
      </c>
      <c r="G28" s="29"/>
      <c r="H28" s="28" t="str">
        <f>IF(G28="","",IF(ISNUMBER(SEARCH(",",G28)),"Several items (the script lists them)",IFERROR(INDEX('Dashboard Items'!$B$2:$B$495,MATCH(G28,'Dashboard Items'!$A$2:$A$495,0))&amp;": "&amp;INDEX('Dashboard Items'!$C$2:$C$495,MATCH(G28,'Dashboard Items'!$A$2:$A$495,0)),"ID not found")))</f>
        <v/>
      </c>
      <c r="I28" s="26" t="s">
        <v>145</v>
      </c>
      <c r="J28" s="26">
        <v>2</v>
      </c>
      <c r="K28" s="26" t="s">
        <v>71</v>
      </c>
      <c r="L28" s="26" t="s">
        <v>72</v>
      </c>
      <c r="M28" s="26">
        <v>0</v>
      </c>
      <c r="N28" s="26">
        <v>0</v>
      </c>
      <c r="O28" s="26" t="s">
        <v>71</v>
      </c>
      <c r="P28" s="26" t="s">
        <v>146</v>
      </c>
      <c r="Q28" s="26" t="s">
        <v>147</v>
      </c>
      <c r="R28" s="26"/>
      <c r="S28" s="26"/>
      <c r="T28" s="26"/>
      <c r="U28" s="17" t="str">
        <f>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pans="1:21" s="30" customFormat="1" ht="15.75" customHeight="1" x14ac:dyDescent="0.2">
      <c r="A29" s="26" t="str">
        <f t="shared" si="0"/>
        <v>LIB</v>
      </c>
      <c r="B29" s="26" t="s">
        <v>153</v>
      </c>
      <c r="C29" s="27" t="s">
        <v>154</v>
      </c>
      <c r="D29" s="26" t="s">
        <v>85</v>
      </c>
      <c r="E29" s="26" t="s">
        <v>150</v>
      </c>
      <c r="F29" s="28" t="str">
        <f>IF(E29="","",IFERROR(IF(INDEX('Dashboard Items'!$B$2:$B$495,MATCH(E29,'Dashboard Items'!$A$2:$A$495,0))="Objective","Objectives go in the next column",IF(OR(D29="",INDEX('Dashboard Items'!$B$2:$B$495,MATCH(E29,'Dashboard Items'!$A$2:$A$495,0))=D29),INDEX('Dashboard Items'!$C$2:$C$495,MATCH(E29,'Dashboard Items'!$A$2:$A$495,0)),"Level does not match ID")),"ID not found"))</f>
        <v>Digital Learning</v>
      </c>
      <c r="G29" s="29"/>
      <c r="H29" s="28" t="str">
        <f>IF(G29="","",IF(ISNUMBER(SEARCH(",",G29)),"Several items (the script lists them)",IFERROR(INDEX('Dashboard Items'!$B$2:$B$495,MATCH(G29,'Dashboard Items'!$A$2:$A$495,0))&amp;": "&amp;INDEX('Dashboard Items'!$C$2:$C$495,MATCH(G29,'Dashboard Items'!$A$2:$A$495,0)),"ID not found")))</f>
        <v/>
      </c>
      <c r="I29" s="26" t="s">
        <v>145</v>
      </c>
      <c r="J29" s="26">
        <v>2</v>
      </c>
      <c r="K29" s="26" t="s">
        <v>71</v>
      </c>
      <c r="L29" s="26" t="s">
        <v>72</v>
      </c>
      <c r="M29" s="26">
        <v>0</v>
      </c>
      <c r="N29" s="26">
        <v>0</v>
      </c>
      <c r="O29" s="26" t="s">
        <v>71</v>
      </c>
      <c r="P29" s="26" t="s">
        <v>146</v>
      </c>
      <c r="Q29" s="26" t="s">
        <v>147</v>
      </c>
      <c r="R29" s="26"/>
      <c r="S29" s="26"/>
      <c r="T29" s="26"/>
      <c r="U29" s="17" t="str">
        <f>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pans="1:21" s="30" customFormat="1" ht="15.75" customHeight="1" x14ac:dyDescent="0.2">
      <c r="A30" s="26" t="str">
        <f t="shared" si="0"/>
        <v>LIB</v>
      </c>
      <c r="B30" s="26" t="s">
        <v>155</v>
      </c>
      <c r="C30" s="27" t="s">
        <v>156</v>
      </c>
      <c r="D30" s="26" t="s">
        <v>85</v>
      </c>
      <c r="E30" s="26" t="s">
        <v>157</v>
      </c>
      <c r="F30" s="28" t="str">
        <f>IF(E30="","",IFERROR(IF(INDEX('Dashboard Items'!$B$2:$B$495,MATCH(E30,'Dashboard Items'!$A$2:$A$495,0))="Objective","Objectives go in the next column",IF(OR(D30="",INDEX('Dashboard Items'!$B$2:$B$495,MATCH(E30,'Dashboard Items'!$A$2:$A$495,0))=D30),INDEX('Dashboard Items'!$C$2:$C$495,MATCH(E30,'Dashboard Items'!$A$2:$A$495,0)),"Level does not match ID")),"ID not found"))</f>
        <v>Youth Learning Programs</v>
      </c>
      <c r="G30" s="29"/>
      <c r="H30" s="28" t="str">
        <f>IF(G30="","",IF(ISNUMBER(SEARCH(",",G30)),"Several items (the script lists them)",IFERROR(INDEX('Dashboard Items'!$B$2:$B$495,MATCH(G30,'Dashboard Items'!$A$2:$A$495,0))&amp;": "&amp;INDEX('Dashboard Items'!$C$2:$C$495,MATCH(G30,'Dashboard Items'!$A$2:$A$495,0)),"ID not found")))</f>
        <v/>
      </c>
      <c r="I30" s="26" t="s">
        <v>145</v>
      </c>
      <c r="J30" s="26">
        <v>2</v>
      </c>
      <c r="K30" s="26" t="s">
        <v>71</v>
      </c>
      <c r="L30" s="26" t="s">
        <v>72</v>
      </c>
      <c r="M30" s="26">
        <v>0</v>
      </c>
      <c r="N30" s="26">
        <v>0</v>
      </c>
      <c r="O30" s="26" t="s">
        <v>71</v>
      </c>
      <c r="P30" s="26" t="s">
        <v>146</v>
      </c>
      <c r="Q30" s="26" t="s">
        <v>147</v>
      </c>
      <c r="R30" s="26"/>
      <c r="S30" s="26"/>
      <c r="T30" s="26"/>
      <c r="U30" s="17" t="str">
        <f>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pans="1:21" s="30" customFormat="1" ht="15.75" customHeight="1" x14ac:dyDescent="0.2">
      <c r="A31" s="26" t="str">
        <f t="shared" si="0"/>
        <v>LIB</v>
      </c>
      <c r="B31" s="26" t="s">
        <v>158</v>
      </c>
      <c r="C31" s="27" t="s">
        <v>159</v>
      </c>
      <c r="D31" s="26" t="s">
        <v>85</v>
      </c>
      <c r="E31" s="26" t="s">
        <v>160</v>
      </c>
      <c r="F31" s="28" t="str">
        <f>IF(E31="","",IFERROR(IF(INDEX('Dashboard Items'!$B$2:$B$495,MATCH(E31,'Dashboard Items'!$A$2:$A$495,0))="Objective","Objectives go in the next column",IF(OR(D31="",INDEX('Dashboard Items'!$B$2:$B$495,MATCH(E31,'Dashboard Items'!$A$2:$A$495,0))=D31),INDEX('Dashboard Items'!$C$2:$C$495,MATCH(E31,'Dashboard Items'!$A$2:$A$495,0)),"Level does not match ID")),"ID not found"))</f>
        <v>Adult Education</v>
      </c>
      <c r="G31" s="29"/>
      <c r="H31" s="28" t="str">
        <f>IF(G31="","",IF(ISNUMBER(SEARCH(",",G31)),"Several items (the script lists them)",IFERROR(INDEX('Dashboard Items'!$B$2:$B$495,MATCH(G31,'Dashboard Items'!$A$2:$A$495,0))&amp;": "&amp;INDEX('Dashboard Items'!$C$2:$C$495,MATCH(G31,'Dashboard Items'!$A$2:$A$495,0)),"ID not found")))</f>
        <v/>
      </c>
      <c r="I31" s="26" t="s">
        <v>145</v>
      </c>
      <c r="J31" s="26">
        <v>2</v>
      </c>
      <c r="K31" s="26" t="s">
        <v>71</v>
      </c>
      <c r="L31" s="26" t="s">
        <v>72</v>
      </c>
      <c r="M31" s="26">
        <v>0</v>
      </c>
      <c r="N31" s="26">
        <v>0</v>
      </c>
      <c r="O31" s="26" t="s">
        <v>71</v>
      </c>
      <c r="P31" s="26" t="s">
        <v>146</v>
      </c>
      <c r="Q31" s="26" t="s">
        <v>147</v>
      </c>
      <c r="R31" s="26"/>
      <c r="S31" s="26"/>
      <c r="T31" s="26"/>
      <c r="U31" s="17" t="str">
        <f>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pans="1:21" s="30" customFormat="1" ht="15.75" customHeight="1" x14ac:dyDescent="0.2">
      <c r="A32" s="26" t="str">
        <f t="shared" si="0"/>
        <v>LIB</v>
      </c>
      <c r="B32" s="26" t="s">
        <v>161</v>
      </c>
      <c r="C32" s="27" t="s">
        <v>162</v>
      </c>
      <c r="D32" s="26" t="s">
        <v>85</v>
      </c>
      <c r="E32" s="26" t="s">
        <v>160</v>
      </c>
      <c r="F32" s="28" t="str">
        <f>IF(E32="","",IFERROR(IF(INDEX('Dashboard Items'!$B$2:$B$495,MATCH(E32,'Dashboard Items'!$A$2:$A$495,0))="Objective","Objectives go in the next column",IF(OR(D32="",INDEX('Dashboard Items'!$B$2:$B$495,MATCH(E32,'Dashboard Items'!$A$2:$A$495,0))=D32),INDEX('Dashboard Items'!$C$2:$C$495,MATCH(E32,'Dashboard Items'!$A$2:$A$495,0)),"Level does not match ID")),"ID not found"))</f>
        <v>Adult Education</v>
      </c>
      <c r="G32" s="29"/>
      <c r="H32" s="28" t="str">
        <f>IF(G32="","",IF(ISNUMBER(SEARCH(",",G32)),"Several items (the script lists them)",IFERROR(INDEX('Dashboard Items'!$B$2:$B$495,MATCH(G32,'Dashboard Items'!$A$2:$A$495,0))&amp;": "&amp;INDEX('Dashboard Items'!$C$2:$C$495,MATCH(G32,'Dashboard Items'!$A$2:$A$495,0)),"ID not found")))</f>
        <v/>
      </c>
      <c r="I32" s="26" t="s">
        <v>145</v>
      </c>
      <c r="J32" s="26">
        <v>2</v>
      </c>
      <c r="K32" s="26" t="s">
        <v>71</v>
      </c>
      <c r="L32" s="26" t="s">
        <v>72</v>
      </c>
      <c r="M32" s="26">
        <v>0</v>
      </c>
      <c r="N32" s="26">
        <v>0</v>
      </c>
      <c r="O32" s="26" t="s">
        <v>71</v>
      </c>
      <c r="P32" s="26" t="s">
        <v>146</v>
      </c>
      <c r="Q32" s="26" t="s">
        <v>147</v>
      </c>
      <c r="R32" s="26"/>
      <c r="S32" s="26"/>
      <c r="T32" s="26"/>
      <c r="U32" s="17" t="str">
        <f>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pans="1:21" s="30" customFormat="1" ht="15.75" customHeight="1" x14ac:dyDescent="0.2">
      <c r="A33" s="26" t="str">
        <f t="shared" si="0"/>
        <v>LIB</v>
      </c>
      <c r="B33" s="26" t="s">
        <v>163</v>
      </c>
      <c r="C33" s="27" t="s">
        <v>164</v>
      </c>
      <c r="D33" s="26" t="s">
        <v>85</v>
      </c>
      <c r="E33" s="26" t="s">
        <v>160</v>
      </c>
      <c r="F33" s="28" t="str">
        <f>IF(E33="","",IFERROR(IF(INDEX('Dashboard Items'!$B$2:$B$495,MATCH(E33,'Dashboard Items'!$A$2:$A$495,0))="Objective","Objectives go in the next column",IF(OR(D33="",INDEX('Dashboard Items'!$B$2:$B$495,MATCH(E33,'Dashboard Items'!$A$2:$A$495,0))=D33),INDEX('Dashboard Items'!$C$2:$C$495,MATCH(E33,'Dashboard Items'!$A$2:$A$495,0)),"Level does not match ID")),"ID not found"))</f>
        <v>Adult Education</v>
      </c>
      <c r="G33" s="29"/>
      <c r="H33" s="28" t="str">
        <f>IF(G33="","",IF(ISNUMBER(SEARCH(",",G33)),"Several items (the script lists them)",IFERROR(INDEX('Dashboard Items'!$B$2:$B$495,MATCH(G33,'Dashboard Items'!$A$2:$A$495,0))&amp;": "&amp;INDEX('Dashboard Items'!$C$2:$C$495,MATCH(G33,'Dashboard Items'!$A$2:$A$495,0)),"ID not found")))</f>
        <v/>
      </c>
      <c r="I33" s="26" t="s">
        <v>145</v>
      </c>
      <c r="J33" s="26">
        <v>2</v>
      </c>
      <c r="K33" s="26" t="s">
        <v>71</v>
      </c>
      <c r="L33" s="26" t="s">
        <v>72</v>
      </c>
      <c r="M33" s="26">
        <v>0</v>
      </c>
      <c r="N33" s="26">
        <v>0</v>
      </c>
      <c r="O33" s="26" t="s">
        <v>71</v>
      </c>
      <c r="P33" s="26" t="s">
        <v>146</v>
      </c>
      <c r="Q33" s="26" t="s">
        <v>147</v>
      </c>
      <c r="R33" s="26"/>
      <c r="S33" s="26"/>
      <c r="T33" s="26"/>
      <c r="U33" s="17" t="str">
        <f>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Sets Program status chip</v>
      </c>
    </row>
    <row r="34" spans="1:21" s="30" customFormat="1" ht="15.75" customHeight="1" x14ac:dyDescent="0.2">
      <c r="A34" s="26" t="str">
        <f t="shared" ref="A34:A72" si="1">LEFT(B34, FIND("-", B34) - 1)</f>
        <v>LIB</v>
      </c>
      <c r="B34" s="26" t="s">
        <v>165</v>
      </c>
      <c r="C34" s="27" t="s">
        <v>166</v>
      </c>
      <c r="D34" s="26" t="s">
        <v>85</v>
      </c>
      <c r="E34" s="26" t="s">
        <v>160</v>
      </c>
      <c r="F34" s="28" t="str">
        <f>IF(E34="","",IFERROR(IF(INDEX('Dashboard Items'!$B$2:$B$495,MATCH(E34,'Dashboard Items'!$A$2:$A$495,0))="Objective","Objectives go in the next column",IF(OR(D34="",INDEX('Dashboard Items'!$B$2:$B$495,MATCH(E34,'Dashboard Items'!$A$2:$A$495,0))=D34),INDEX('Dashboard Items'!$C$2:$C$495,MATCH(E34,'Dashboard Items'!$A$2:$A$495,0)),"Level does not match ID")),"ID not found"))</f>
        <v>Adult Education</v>
      </c>
      <c r="G34" s="29"/>
      <c r="H34" s="28" t="str">
        <f>IF(G34="","",IF(ISNUMBER(SEARCH(",",G34)),"Several items (the script lists them)",IFERROR(INDEX('Dashboard Items'!$B$2:$B$495,MATCH(G34,'Dashboard Items'!$A$2:$A$495,0))&amp;": "&amp;INDEX('Dashboard Items'!$C$2:$C$495,MATCH(G34,'Dashboard Items'!$A$2:$A$495,0)),"ID not found")))</f>
        <v/>
      </c>
      <c r="I34" s="26" t="s">
        <v>145</v>
      </c>
      <c r="J34" s="26">
        <v>2</v>
      </c>
      <c r="K34" s="26" t="s">
        <v>71</v>
      </c>
      <c r="L34" s="26" t="s">
        <v>72</v>
      </c>
      <c r="M34" s="26">
        <v>0</v>
      </c>
      <c r="N34" s="26">
        <v>0</v>
      </c>
      <c r="O34" s="26" t="s">
        <v>71</v>
      </c>
      <c r="P34" s="26" t="s">
        <v>146</v>
      </c>
      <c r="Q34" s="26" t="s">
        <v>147</v>
      </c>
      <c r="R34" s="26"/>
      <c r="S34" s="26"/>
      <c r="T34" s="26"/>
      <c r="U34" s="17" t="str">
        <f>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pans="1:21" s="35" customFormat="1" ht="15.75" customHeight="1" x14ac:dyDescent="0.2">
      <c r="A35" s="31" t="str">
        <f t="shared" si="1"/>
        <v>CLERK</v>
      </c>
      <c r="B35" s="31" t="s">
        <v>167</v>
      </c>
      <c r="C35" s="32" t="s">
        <v>168</v>
      </c>
      <c r="D35" s="31" t="s">
        <v>85</v>
      </c>
      <c r="E35" s="31" t="s">
        <v>169</v>
      </c>
      <c r="F35" s="33" t="str">
        <f>IF(E35="","",IFERROR(IF(INDEX('Dashboard Items'!$B$2:$B$495,MATCH(E35,'Dashboard Items'!$A$2:$A$495,0))="Objective","Objectives go in the next column",IF(OR(D35="",INDEX('Dashboard Items'!$B$2:$B$495,MATCH(E35,'Dashboard Items'!$A$2:$A$495,0))=D35),INDEX('Dashboard Items'!$C$2:$C$495,MATCH(E35,'Dashboard Items'!$A$2:$A$495,0)),"Level does not match ID")),"ID not found"))</f>
        <v>Elections Administration</v>
      </c>
      <c r="G35" s="34"/>
      <c r="H35" s="33" t="str">
        <f>IF(G35="","",IF(ISNUMBER(SEARCH(",",G35)),"Several items (the script lists them)",IFERROR(INDEX('Dashboard Items'!$B$2:$B$495,MATCH(G35,'Dashboard Items'!$A$2:$A$495,0))&amp;": "&amp;INDEX('Dashboard Items'!$C$2:$C$495,MATCH(G35,'Dashboard Items'!$A$2:$A$495,0)),"ID not found")))</f>
        <v/>
      </c>
      <c r="I35" s="31"/>
      <c r="J35" s="31"/>
      <c r="K35" s="31"/>
      <c r="L35" s="31"/>
      <c r="M35" s="31"/>
      <c r="N35" s="31"/>
      <c r="O35" s="31"/>
      <c r="P35" s="31"/>
      <c r="Q35" s="31"/>
      <c r="R35" s="31"/>
      <c r="S35" s="31"/>
      <c r="T35" s="31"/>
      <c r="U35" s="17" t="str">
        <f>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pans="1:21" s="35" customFormat="1" ht="15.75" customHeight="1" x14ac:dyDescent="0.2">
      <c r="A36" s="31" t="str">
        <f t="shared" si="1"/>
        <v>CLERK</v>
      </c>
      <c r="B36" s="31" t="s">
        <v>170</v>
      </c>
      <c r="C36" s="32" t="s">
        <v>171</v>
      </c>
      <c r="D36" s="31" t="s">
        <v>85</v>
      </c>
      <c r="E36" s="31" t="s">
        <v>169</v>
      </c>
      <c r="F36" s="33" t="str">
        <f>IF(E36="","",IFERROR(IF(INDEX('Dashboard Items'!$B$2:$B$495,MATCH(E36,'Dashboard Items'!$A$2:$A$495,0))="Objective","Objectives go in the next column",IF(OR(D36="",INDEX('Dashboard Items'!$B$2:$B$495,MATCH(E36,'Dashboard Items'!$A$2:$A$495,0))=D36),INDEX('Dashboard Items'!$C$2:$C$495,MATCH(E36,'Dashboard Items'!$A$2:$A$495,0)),"Level does not match ID")),"ID not found"))</f>
        <v>Elections Administration</v>
      </c>
      <c r="G36" s="34"/>
      <c r="H36" s="33" t="str">
        <f>IF(G36="","",IF(ISNUMBER(SEARCH(",",G36)),"Several items (the script lists them)",IFERROR(INDEX('Dashboard Items'!$B$2:$B$495,MATCH(G36,'Dashboard Items'!$A$2:$A$495,0))&amp;": "&amp;INDEX('Dashboard Items'!$C$2:$C$495,MATCH(G36,'Dashboard Items'!$A$2:$A$495,0)),"ID not found")))</f>
        <v/>
      </c>
      <c r="I36" s="31"/>
      <c r="J36" s="31"/>
      <c r="K36" s="31"/>
      <c r="L36" s="31"/>
      <c r="M36" s="31"/>
      <c r="N36" s="31"/>
      <c r="O36" s="31"/>
      <c r="P36" s="31"/>
      <c r="Q36" s="31"/>
      <c r="R36" s="31"/>
      <c r="S36" s="31"/>
      <c r="T36" s="31"/>
      <c r="U36" s="17" t="str">
        <f>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Sets Program status chip</v>
      </c>
    </row>
    <row r="37" spans="1:21" s="35" customFormat="1" ht="15.75" customHeight="1" x14ac:dyDescent="0.2">
      <c r="A37" s="31" t="str">
        <f t="shared" si="1"/>
        <v>CLERK</v>
      </c>
      <c r="B37" s="31" t="s">
        <v>172</v>
      </c>
      <c r="C37" s="32" t="s">
        <v>173</v>
      </c>
      <c r="D37" s="31" t="s">
        <v>85</v>
      </c>
      <c r="E37" s="31" t="s">
        <v>169</v>
      </c>
      <c r="F37" s="33" t="str">
        <f>IF(E37="","",IFERROR(IF(INDEX('Dashboard Items'!$B$2:$B$495,MATCH(E37,'Dashboard Items'!$A$2:$A$495,0))="Objective","Objectives go in the next column",IF(OR(D37="",INDEX('Dashboard Items'!$B$2:$B$495,MATCH(E37,'Dashboard Items'!$A$2:$A$495,0))=D37),INDEX('Dashboard Items'!$C$2:$C$495,MATCH(E37,'Dashboard Items'!$A$2:$A$495,0)),"Level does not match ID")),"ID not found"))</f>
        <v>Elections Administration</v>
      </c>
      <c r="G37" s="34" t="s">
        <v>174</v>
      </c>
      <c r="H37" s="33" t="str">
        <f>IF(G37="","",IF(ISNUMBER(SEARCH(",",G37)),"Several items (the script lists them)",IFERROR(INDEX('Dashboard Items'!$B$2:$B$495,MATCH(G37,'Dashboard Items'!$A$2:$A$495,0))&amp;": "&amp;INDEX('Dashboard Items'!$C$2:$C$495,MATCH(G37,'Dashboard Items'!$A$2:$A$495,0)),"ID not found")))</f>
        <v>Key Service: City Clerk &amp; Records Management</v>
      </c>
      <c r="I37" s="31"/>
      <c r="J37" s="31"/>
      <c r="K37" s="31"/>
      <c r="L37" s="31"/>
      <c r="M37" s="31"/>
      <c r="N37" s="31"/>
      <c r="O37" s="31"/>
      <c r="P37" s="31"/>
      <c r="Q37" s="31"/>
      <c r="R37" s="31"/>
      <c r="S37" s="31"/>
      <c r="T37" s="31"/>
      <c r="U37" s="17" t="str">
        <f>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Counts in Key Service gauge + sets Program chip</v>
      </c>
    </row>
    <row r="38" spans="1:21" s="35" customFormat="1" ht="15.75" customHeight="1" x14ac:dyDescent="0.2">
      <c r="A38" s="31" t="str">
        <f t="shared" si="1"/>
        <v>CLERK</v>
      </c>
      <c r="B38" s="31" t="s">
        <v>175</v>
      </c>
      <c r="C38" s="32" t="s">
        <v>176</v>
      </c>
      <c r="D38" s="31" t="s">
        <v>85</v>
      </c>
      <c r="E38" s="31" t="s">
        <v>169</v>
      </c>
      <c r="F38" s="33" t="str">
        <f>IF(E38="","",IFERROR(IF(INDEX('Dashboard Items'!$B$2:$B$495,MATCH(E38,'Dashboard Items'!$A$2:$A$495,0))="Objective","Objectives go in the next column",IF(OR(D38="",INDEX('Dashboard Items'!$B$2:$B$495,MATCH(E38,'Dashboard Items'!$A$2:$A$495,0))=D38),INDEX('Dashboard Items'!$C$2:$C$495,MATCH(E38,'Dashboard Items'!$A$2:$A$495,0)),"Level does not match ID")),"ID not found"))</f>
        <v>Elections Administration</v>
      </c>
      <c r="G38" s="34"/>
      <c r="H38" s="33" t="str">
        <f>IF(G38="","",IF(ISNUMBER(SEARCH(",",G38)),"Several items (the script lists them)",IFERROR(INDEX('Dashboard Items'!$B$2:$B$495,MATCH(G38,'Dashboard Items'!$A$2:$A$495,0))&amp;": "&amp;INDEX('Dashboard Items'!$C$2:$C$495,MATCH(G38,'Dashboard Items'!$A$2:$A$495,0)),"ID not found")))</f>
        <v/>
      </c>
      <c r="I38" s="31"/>
      <c r="J38" s="31"/>
      <c r="K38" s="31"/>
      <c r="L38" s="31"/>
      <c r="M38" s="31"/>
      <c r="N38" s="31"/>
      <c r="O38" s="31"/>
      <c r="P38" s="31"/>
      <c r="Q38" s="31"/>
      <c r="R38" s="31"/>
      <c r="S38" s="31"/>
      <c r="T38" s="31"/>
      <c r="U38" s="17" t="str">
        <f>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Sets Program status chip</v>
      </c>
    </row>
    <row r="39" spans="1:21" s="35" customFormat="1" ht="15.75" customHeight="1" x14ac:dyDescent="0.2">
      <c r="A39" s="31" t="str">
        <f t="shared" si="1"/>
        <v>CLERK</v>
      </c>
      <c r="B39" s="31" t="s">
        <v>177</v>
      </c>
      <c r="C39" s="32" t="s">
        <v>178</v>
      </c>
      <c r="D39" s="31" t="s">
        <v>85</v>
      </c>
      <c r="E39" s="31" t="s">
        <v>179</v>
      </c>
      <c r="F39" s="33" t="str">
        <f>IF(E39="","",IFERROR(IF(INDEX('Dashboard Items'!$B$2:$B$495,MATCH(E39,'Dashboard Items'!$A$2:$A$495,0))="Objective","Objectives go in the next column",IF(OR(D39="",INDEX('Dashboard Items'!$B$2:$B$495,MATCH(E39,'Dashboard Items'!$A$2:$A$495,0))=D39),INDEX('Dashboard Items'!$C$2:$C$495,MATCH(E39,'Dashboard Items'!$A$2:$A$495,0)),"Level does not match ID")),"ID not found"))</f>
        <v>Records Management</v>
      </c>
      <c r="G39" s="34" t="s">
        <v>174</v>
      </c>
      <c r="H39" s="33" t="str">
        <f>IF(G39="","",IF(ISNUMBER(SEARCH(",",G39)),"Several items (the script lists them)",IFERROR(INDEX('Dashboard Items'!$B$2:$B$495,MATCH(G39,'Dashboard Items'!$A$2:$A$495,0))&amp;": "&amp;INDEX('Dashboard Items'!$C$2:$C$495,MATCH(G39,'Dashboard Items'!$A$2:$A$495,0)),"ID not found")))</f>
        <v>Key Service: City Clerk &amp; Records Management</v>
      </c>
      <c r="I39" s="31"/>
      <c r="J39" s="31"/>
      <c r="K39" s="31"/>
      <c r="L39" s="31"/>
      <c r="M39" s="31"/>
      <c r="N39" s="31"/>
      <c r="O39" s="31"/>
      <c r="P39" s="31"/>
      <c r="Q39" s="31"/>
      <c r="R39" s="31"/>
      <c r="S39" s="31"/>
      <c r="T39" s="31"/>
      <c r="U39" s="17" t="str">
        <f>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pans="1:21" s="35" customFormat="1" ht="15.75" customHeight="1" x14ac:dyDescent="0.2">
      <c r="A40" s="31" t="str">
        <f t="shared" si="1"/>
        <v>CLERK</v>
      </c>
      <c r="B40" s="31" t="s">
        <v>180</v>
      </c>
      <c r="C40" s="32" t="s">
        <v>181</v>
      </c>
      <c r="D40" s="31" t="s">
        <v>85</v>
      </c>
      <c r="E40" s="31" t="s">
        <v>182</v>
      </c>
      <c r="F40" s="33" t="str">
        <f>IF(E40="","",IFERROR(IF(INDEX('Dashboard Items'!$B$2:$B$495,MATCH(E40,'Dashboard Items'!$A$2:$A$495,0))="Objective","Objectives go in the next column",IF(OR(D40="",INDEX('Dashboard Items'!$B$2:$B$495,MATCH(E40,'Dashboard Items'!$A$2:$A$495,0))=D40),INDEX('Dashboard Items'!$C$2:$C$495,MATCH(E40,'Dashboard Items'!$A$2:$A$495,0)),"Level does not match ID")),"ID not found"))</f>
        <v>Council/Board Support</v>
      </c>
      <c r="G40" s="34" t="s">
        <v>174</v>
      </c>
      <c r="H40" s="33" t="str">
        <f>IF(G40="","",IF(ISNUMBER(SEARCH(",",G40)),"Several items (the script lists them)",IFERROR(INDEX('Dashboard Items'!$B$2:$B$495,MATCH(G40,'Dashboard Items'!$A$2:$A$495,0))&amp;": "&amp;INDEX('Dashboard Items'!$C$2:$C$495,MATCH(G40,'Dashboard Items'!$A$2:$A$495,0)),"ID not found")))</f>
        <v>Key Service: City Clerk &amp; Records Management</v>
      </c>
      <c r="I40" s="31"/>
      <c r="J40" s="31"/>
      <c r="K40" s="31"/>
      <c r="L40" s="31"/>
      <c r="M40" s="31"/>
      <c r="N40" s="31"/>
      <c r="O40" s="31"/>
      <c r="P40" s="31"/>
      <c r="Q40" s="31"/>
      <c r="R40" s="31"/>
      <c r="S40" s="31"/>
      <c r="T40" s="31"/>
      <c r="U40" s="17" t="str">
        <f>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pans="1:21" s="35" customFormat="1" ht="15.75" customHeight="1" x14ac:dyDescent="0.2">
      <c r="A41" s="31" t="str">
        <f t="shared" si="1"/>
        <v>CLERK</v>
      </c>
      <c r="B41" s="31" t="s">
        <v>183</v>
      </c>
      <c r="C41" s="32" t="s">
        <v>184</v>
      </c>
      <c r="D41" s="31" t="s">
        <v>85</v>
      </c>
      <c r="E41" s="31" t="s">
        <v>185</v>
      </c>
      <c r="F41" s="33" t="str">
        <f>IF(E41="","",IFERROR(IF(INDEX('Dashboard Items'!$B$2:$B$495,MATCH(E41,'Dashboard Items'!$A$2:$A$495,0))="Objective","Objectives go in the next column",IF(OR(D41="",INDEX('Dashboard Items'!$B$2:$B$495,MATCH(E41,'Dashboard Items'!$A$2:$A$495,0))=D41),INDEX('Dashboard Items'!$C$2:$C$495,MATCH(E41,'Dashboard Items'!$A$2:$A$495,0)),"Level does not match ID")),"ID not found"))</f>
        <v>Licensing</v>
      </c>
      <c r="G41" s="34" t="s">
        <v>174</v>
      </c>
      <c r="H41" s="33" t="str">
        <f>IF(G41="","",IF(ISNUMBER(SEARCH(",",G41)),"Several items (the script lists them)",IFERROR(INDEX('Dashboard Items'!$B$2:$B$495,MATCH(G41,'Dashboard Items'!$A$2:$A$495,0))&amp;": "&amp;INDEX('Dashboard Items'!$C$2:$C$495,MATCH(G41,'Dashboard Items'!$A$2:$A$495,0)),"ID not found")))</f>
        <v>Key Service: City Clerk &amp; Records Management</v>
      </c>
      <c r="I41" s="31"/>
      <c r="J41" s="31"/>
      <c r="K41" s="31"/>
      <c r="L41" s="31"/>
      <c r="M41" s="31"/>
      <c r="N41" s="31"/>
      <c r="O41" s="31"/>
      <c r="P41" s="31"/>
      <c r="Q41" s="31"/>
      <c r="R41" s="31"/>
      <c r="S41" s="31"/>
      <c r="T41" s="31"/>
      <c r="U41" s="17" t="str">
        <f>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pans="1:21" s="35" customFormat="1" ht="15.75" customHeight="1" x14ac:dyDescent="0.2">
      <c r="A42" s="31" t="str">
        <f t="shared" si="1"/>
        <v>CLERK</v>
      </c>
      <c r="B42" s="31" t="s">
        <v>186</v>
      </c>
      <c r="C42" s="32" t="s">
        <v>187</v>
      </c>
      <c r="D42" s="31" t="s">
        <v>85</v>
      </c>
      <c r="E42" s="31" t="s">
        <v>185</v>
      </c>
      <c r="F42" s="33" t="str">
        <f>IF(E42="","",IFERROR(IF(INDEX('Dashboard Items'!$B$2:$B$495,MATCH(E42,'Dashboard Items'!$A$2:$A$495,0))="Objective","Objectives go in the next column",IF(OR(D42="",INDEX('Dashboard Items'!$B$2:$B$495,MATCH(E42,'Dashboard Items'!$A$2:$A$495,0))=D42),INDEX('Dashboard Items'!$C$2:$C$495,MATCH(E42,'Dashboard Items'!$A$2:$A$495,0)),"Level does not match ID")),"ID not found"))</f>
        <v>Licensing</v>
      </c>
      <c r="G42" s="34" t="s">
        <v>174</v>
      </c>
      <c r="H42" s="33" t="str">
        <f>IF(G42="","",IF(ISNUMBER(SEARCH(",",G42)),"Several items (the script lists them)",IFERROR(INDEX('Dashboard Items'!$B$2:$B$495,MATCH(G42,'Dashboard Items'!$A$2:$A$495,0))&amp;": "&amp;INDEX('Dashboard Items'!$C$2:$C$495,MATCH(G42,'Dashboard Items'!$A$2:$A$495,0)),"ID not found")))</f>
        <v>Key Service: City Clerk &amp; Records Management</v>
      </c>
      <c r="I42" s="31"/>
      <c r="J42" s="31"/>
      <c r="K42" s="31"/>
      <c r="L42" s="31"/>
      <c r="M42" s="31"/>
      <c r="N42" s="31"/>
      <c r="O42" s="31"/>
      <c r="P42" s="31"/>
      <c r="Q42" s="31"/>
      <c r="R42" s="31"/>
      <c r="S42" s="31"/>
      <c r="T42" s="31"/>
      <c r="U42" s="17" t="str">
        <f>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pans="1:21" s="35" customFormat="1" ht="15.75" customHeight="1" x14ac:dyDescent="0.2">
      <c r="A43" s="31" t="str">
        <f t="shared" si="1"/>
        <v>CLERK</v>
      </c>
      <c r="B43" s="31" t="s">
        <v>188</v>
      </c>
      <c r="C43" s="32" t="s">
        <v>189</v>
      </c>
      <c r="D43" s="31" t="s">
        <v>85</v>
      </c>
      <c r="E43" s="31" t="s">
        <v>190</v>
      </c>
      <c r="F43" s="33" t="str">
        <f>IF(E43="","",IFERROR(IF(INDEX('Dashboard Items'!$B$2:$B$495,MATCH(E43,'Dashboard Items'!$A$2:$A$495,0))="Objective","Objectives go in the next column",IF(OR(D43="",INDEX('Dashboard Items'!$B$2:$B$495,MATCH(E43,'Dashboard Items'!$A$2:$A$495,0))=D43),INDEX('Dashboard Items'!$C$2:$C$495,MATCH(E43,'Dashboard Items'!$A$2:$A$495,0)),"Level does not match ID")),"ID not found"))</f>
        <v>Specialty Court</v>
      </c>
      <c r="G43" s="34" t="s">
        <v>191</v>
      </c>
      <c r="H43" s="33" t="str">
        <f>IF(G43="","",IF(ISNUMBER(SEARCH(",",G43)),"Several items (the script lists them)",IFERROR(INDEX('Dashboard Items'!$B$2:$B$495,MATCH(G43,'Dashboard Items'!$A$2:$A$495,0))&amp;": "&amp;INDEX('Dashboard Items'!$C$2:$C$495,MATCH(G43,'Dashboard Items'!$A$2:$A$495,0)),"ID not found")))</f>
        <v>Key Service: Municipal Court</v>
      </c>
      <c r="I43" s="31"/>
      <c r="J43" s="31"/>
      <c r="K43" s="31"/>
      <c r="L43" s="31"/>
      <c r="M43" s="31"/>
      <c r="N43" s="31"/>
      <c r="O43" s="31"/>
      <c r="P43" s="31"/>
      <c r="Q43" s="31"/>
      <c r="R43" s="31"/>
      <c r="S43" s="31"/>
      <c r="T43" s="31"/>
      <c r="U43" s="17" t="str">
        <f>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Counts in Key Service gauge + sets Program chip</v>
      </c>
    </row>
    <row r="44" spans="1:21" s="39" customFormat="1" x14ac:dyDescent="0.2">
      <c r="A44" s="36" t="str">
        <f t="shared" si="1"/>
        <v>PIO</v>
      </c>
      <c r="B44" s="36" t="s">
        <v>192</v>
      </c>
      <c r="C44" s="36" t="s">
        <v>691</v>
      </c>
      <c r="D44" s="36" t="s">
        <v>85</v>
      </c>
      <c r="E44" s="36" t="s">
        <v>193</v>
      </c>
      <c r="F44" s="37" t="str">
        <f>IF(E44="","",IFERROR(IF(INDEX('Dashboard Items'!$B$2:$B$495,MATCH(E44,'Dashboard Items'!$A$2:$A$495,0))="Objective","Objectives go in the next column",IF(OR(D44="",INDEX('Dashboard Items'!$B$2:$B$495,MATCH(E44,'Dashboard Items'!$A$2:$A$495,0))=D44),INDEX('Dashboard Items'!$C$2:$C$495,MATCH(E44,'Dashboard Items'!$A$2:$A$495,0)),"Level does not match ID")),"ID not found"))</f>
        <v>Social Media</v>
      </c>
      <c r="G44" s="38" t="s">
        <v>194</v>
      </c>
      <c r="H44" s="37" t="str">
        <f>IF(G44="","",IF(ISNUMBER(SEARCH(",",G44)),"Several items (the script lists them)",IFERROR(INDEX('Dashboard Items'!$B$2:$B$495,MATCH(G44,'Dashboard Items'!$A$2:$A$495,0))&amp;": "&amp;INDEX('Dashboard Items'!$C$2:$C$495,MATCH(G44,'Dashboard Items'!$A$2:$A$495,0)),"ID not found")))</f>
        <v>Key Service: Public Information &amp; Community Engagement</v>
      </c>
      <c r="I44" s="36"/>
      <c r="J44" s="36">
        <v>2</v>
      </c>
      <c r="K44" s="36" t="s">
        <v>71</v>
      </c>
      <c r="L44" s="36" t="s">
        <v>72</v>
      </c>
      <c r="M44" s="36">
        <v>0</v>
      </c>
      <c r="N44" s="36">
        <v>0</v>
      </c>
      <c r="O44" s="36" t="s">
        <v>71</v>
      </c>
      <c r="P44" s="36" t="s">
        <v>126</v>
      </c>
      <c r="Q44" s="36" t="s">
        <v>195</v>
      </c>
      <c r="R44" s="36" t="s">
        <v>196</v>
      </c>
      <c r="S44" s="36"/>
      <c r="T44" s="36"/>
      <c r="U44" s="17" t="str">
        <f>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Counts in Key Service gauge + sets Program chip</v>
      </c>
    </row>
    <row r="45" spans="1:21" s="39" customFormat="1" x14ac:dyDescent="0.2">
      <c r="A45" s="36" t="str">
        <f t="shared" si="1"/>
        <v>PIO</v>
      </c>
      <c r="B45" s="36" t="s">
        <v>197</v>
      </c>
      <c r="C45" s="36" t="s">
        <v>198</v>
      </c>
      <c r="D45" s="36" t="s">
        <v>85</v>
      </c>
      <c r="E45" s="36" t="s">
        <v>199</v>
      </c>
      <c r="F45" s="37" t="str">
        <f>IF(E45="","",IFERROR(IF(INDEX('Dashboard Items'!$B$2:$B$495,MATCH(E45,'Dashboard Items'!$A$2:$A$495,0))="Objective","Objectives go in the next column",IF(OR(D45="",INDEX('Dashboard Items'!$B$2:$B$495,MATCH(E45,'Dashboard Items'!$A$2:$A$495,0))=D45),INDEX('Dashboard Items'!$C$2:$C$495,MATCH(E45,'Dashboard Items'!$A$2:$A$495,0)),"Level does not match ID")),"ID not found"))</f>
        <v>Public Outreach</v>
      </c>
      <c r="G45" s="38" t="s">
        <v>194</v>
      </c>
      <c r="H45" s="37" t="str">
        <f>IF(G45="","",IF(ISNUMBER(SEARCH(",",G45)),"Several items (the script lists them)",IFERROR(INDEX('Dashboard Items'!$B$2:$B$495,MATCH(G45,'Dashboard Items'!$A$2:$A$495,0))&amp;": "&amp;INDEX('Dashboard Items'!$C$2:$C$495,MATCH(G45,'Dashboard Items'!$A$2:$A$495,0)),"ID not found")))</f>
        <v>Key Service: Public Information &amp; Community Engagement</v>
      </c>
      <c r="I45" s="36"/>
      <c r="J45" s="36"/>
      <c r="K45" s="36"/>
      <c r="L45" s="36"/>
      <c r="M45" s="36"/>
      <c r="N45" s="36"/>
      <c r="O45" s="36" t="s">
        <v>71</v>
      </c>
      <c r="P45" s="36" t="s">
        <v>126</v>
      </c>
      <c r="Q45" s="36"/>
      <c r="R45" s="36"/>
      <c r="S45" s="36"/>
      <c r="T45" s="36"/>
      <c r="U45" s="17" t="str">
        <f>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Counts in Key Service gauge + sets Program chip</v>
      </c>
    </row>
    <row r="46" spans="1:21" s="39" customFormat="1" x14ac:dyDescent="0.2">
      <c r="A46" s="36" t="str">
        <f t="shared" si="1"/>
        <v>PIO</v>
      </c>
      <c r="B46" s="36" t="s">
        <v>200</v>
      </c>
      <c r="C46" s="36" t="s">
        <v>201</v>
      </c>
      <c r="D46" s="36" t="s">
        <v>85</v>
      </c>
      <c r="E46" s="36" t="s">
        <v>199</v>
      </c>
      <c r="F46" s="37" t="str">
        <f>IF(E46="","",IFERROR(IF(INDEX('Dashboard Items'!$B$2:$B$495,MATCH(E46,'Dashboard Items'!$A$2:$A$495,0))="Objective","Objectives go in the next column",IF(OR(D46="",INDEX('Dashboard Items'!$B$2:$B$495,MATCH(E46,'Dashboard Items'!$A$2:$A$495,0))=D46),INDEX('Dashboard Items'!$C$2:$C$495,MATCH(E46,'Dashboard Items'!$A$2:$A$495,0)),"Level does not match ID")),"ID not found"))</f>
        <v>Public Outreach</v>
      </c>
      <c r="G46" s="38" t="s">
        <v>194</v>
      </c>
      <c r="H46" s="37" t="str">
        <f>IF(G46="","",IF(ISNUMBER(SEARCH(",",G46)),"Several items (the script lists them)",IFERROR(INDEX('Dashboard Items'!$B$2:$B$495,MATCH(G46,'Dashboard Items'!$A$2:$A$495,0))&amp;": "&amp;INDEX('Dashboard Items'!$C$2:$C$495,MATCH(G46,'Dashboard Items'!$A$2:$A$495,0)),"ID not found")))</f>
        <v>Key Service: Public Information &amp; Community Engagement</v>
      </c>
      <c r="I46" s="36"/>
      <c r="J46" s="36"/>
      <c r="K46" s="36"/>
      <c r="L46" s="36"/>
      <c r="M46" s="36"/>
      <c r="N46" s="36"/>
      <c r="O46" s="36" t="s">
        <v>71</v>
      </c>
      <c r="P46" s="36" t="s">
        <v>126</v>
      </c>
      <c r="Q46" s="36"/>
      <c r="R46" s="36"/>
      <c r="S46" s="36"/>
      <c r="T46" s="36"/>
      <c r="U46" s="17" t="str">
        <f>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Counts in Key Service gauge + sets Program chip</v>
      </c>
    </row>
    <row r="47" spans="1:21" s="39" customFormat="1" x14ac:dyDescent="0.2">
      <c r="A47" s="36" t="str">
        <f t="shared" si="1"/>
        <v>PIO</v>
      </c>
      <c r="B47" s="36" t="s">
        <v>202</v>
      </c>
      <c r="C47" s="36" t="s">
        <v>692</v>
      </c>
      <c r="D47" s="36" t="s">
        <v>85</v>
      </c>
      <c r="E47" s="36" t="s">
        <v>193</v>
      </c>
      <c r="F47" s="37" t="str">
        <f>IF(E47="","",IFERROR(IF(INDEX('Dashboard Items'!$B$2:$B$495,MATCH(E47,'Dashboard Items'!$A$2:$A$495,0))="Objective","Objectives go in the next column",IF(OR(D47="",INDEX('Dashboard Items'!$B$2:$B$495,MATCH(E47,'Dashboard Items'!$A$2:$A$495,0))=D47),INDEX('Dashboard Items'!$C$2:$C$495,MATCH(E47,'Dashboard Items'!$A$2:$A$495,0)),"Level does not match ID")),"ID not found"))</f>
        <v>Social Media</v>
      </c>
      <c r="G47" s="38"/>
      <c r="H47" s="37"/>
      <c r="I47" s="36"/>
      <c r="J47" s="36"/>
      <c r="K47" s="36"/>
      <c r="L47" s="36"/>
      <c r="M47" s="36"/>
      <c r="N47" s="36"/>
      <c r="O47" s="36" t="s">
        <v>71</v>
      </c>
      <c r="P47" s="36" t="s">
        <v>126</v>
      </c>
      <c r="Q47" s="36"/>
      <c r="R47" s="36"/>
      <c r="S47" s="36"/>
      <c r="T47" s="36"/>
      <c r="U47" s="17" t="str">
        <f>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pans="1:21" s="43" customFormat="1" x14ac:dyDescent="0.2">
      <c r="A48" s="40" t="str">
        <f t="shared" si="1"/>
        <v>TRAN</v>
      </c>
      <c r="B48" s="40" t="s">
        <v>203</v>
      </c>
      <c r="C48" s="40" t="s">
        <v>204</v>
      </c>
      <c r="D48" s="40" t="s">
        <v>85</v>
      </c>
      <c r="E48" s="40" t="s">
        <v>205</v>
      </c>
      <c r="F48" s="41" t="str">
        <f>IF(E48="","",IFERROR(IF(INDEX('Dashboard Items'!$B$2:$B$495,MATCH(E48,'Dashboard Items'!$A$2:$A$495,0))="Objective","Objectives go in the next column",IF(OR(D48="",INDEX('Dashboard Items'!$B$2:$B$495,MATCH(E48,'Dashboard Items'!$A$2:$A$495,0))=D48),INDEX('Dashboard Items'!$C$2:$C$495,MATCH(E48,'Dashboard Items'!$A$2:$A$495,0)),"Level does not match ID")),"ID not found"))</f>
        <v>Parking Management</v>
      </c>
      <c r="G48" s="42" t="s">
        <v>206</v>
      </c>
      <c r="H48" s="41" t="str">
        <f>IF(G48="","",IF(ISNUMBER(SEARCH(",",G48)),"Several items (the script lists them)",IFERROR(INDEX('Dashboard Items'!$B$2:$B$495,MATCH(G48,'Dashboard Items'!$A$2:$A$495,0))&amp;": "&amp;INDEX('Dashboard Items'!$C$2:$C$495,MATCH(G48,'Dashboard Items'!$A$2:$A$495,0)),"ID not found")))</f>
        <v>Key Service: Transit Services</v>
      </c>
      <c r="I48" s="40" t="s">
        <v>70</v>
      </c>
      <c r="J48" s="40">
        <v>2</v>
      </c>
      <c r="K48" s="40" t="s">
        <v>93</v>
      </c>
      <c r="L48" s="40" t="s">
        <v>72</v>
      </c>
      <c r="M48" s="40">
        <v>0</v>
      </c>
      <c r="N48" s="40">
        <v>0</v>
      </c>
      <c r="O48" s="40" t="s">
        <v>71</v>
      </c>
      <c r="P48" s="40" t="s">
        <v>126</v>
      </c>
      <c r="Q48" s="40" t="s">
        <v>207</v>
      </c>
      <c r="R48" s="40"/>
      <c r="S48" s="40"/>
      <c r="T48" s="40"/>
      <c r="U48" s="17" t="str">
        <f>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Counts in Key Service gauge + sets Program chip</v>
      </c>
    </row>
    <row r="49" spans="1:21" s="43" customFormat="1" x14ac:dyDescent="0.2">
      <c r="A49" s="40" t="str">
        <f t="shared" si="1"/>
        <v>TRAN</v>
      </c>
      <c r="B49" s="40" t="s">
        <v>208</v>
      </c>
      <c r="C49" s="40" t="s">
        <v>209</v>
      </c>
      <c r="D49" s="40" t="s">
        <v>85</v>
      </c>
      <c r="E49" s="40" t="s">
        <v>205</v>
      </c>
      <c r="F49" s="41" t="str">
        <f>IF(E49="","",IFERROR(IF(INDEX('Dashboard Items'!$B$2:$B$495,MATCH(E49,'Dashboard Items'!$A$2:$A$495,0))="Objective","Objectives go in the next column",IF(OR(D49="",INDEX('Dashboard Items'!$B$2:$B$495,MATCH(E49,'Dashboard Items'!$A$2:$A$495,0))=D49),INDEX('Dashboard Items'!$C$2:$C$495,MATCH(E49,'Dashboard Items'!$A$2:$A$495,0)),"Level does not match ID")),"ID not found"))</f>
        <v>Parking Management</v>
      </c>
      <c r="G49" s="42"/>
      <c r="H49" s="41" t="str">
        <f>IF(G49="","",IF(ISNUMBER(SEARCH(",",G49)),"Several items (the script lists them)",IFERROR(INDEX('Dashboard Items'!$B$2:$B$495,MATCH(G49,'Dashboard Items'!$A$2:$A$495,0))&amp;": "&amp;INDEX('Dashboard Items'!$C$2:$C$495,MATCH(G49,'Dashboard Items'!$A$2:$A$495,0)),"ID not found")))</f>
        <v/>
      </c>
      <c r="I49" s="40" t="s">
        <v>145</v>
      </c>
      <c r="J49" s="40">
        <v>2</v>
      </c>
      <c r="K49" s="40" t="s">
        <v>71</v>
      </c>
      <c r="L49" s="40" t="s">
        <v>72</v>
      </c>
      <c r="M49" s="40">
        <v>0</v>
      </c>
      <c r="N49" s="40">
        <v>0</v>
      </c>
      <c r="O49" s="40" t="s">
        <v>71</v>
      </c>
      <c r="P49" s="40" t="s">
        <v>126</v>
      </c>
      <c r="Q49" s="40" t="s">
        <v>207</v>
      </c>
      <c r="R49" s="40"/>
      <c r="S49" s="40"/>
      <c r="T49" s="40"/>
      <c r="U49" s="17" t="str">
        <f>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pans="1:21" s="43" customFormat="1" x14ac:dyDescent="0.2">
      <c r="A50" s="40" t="str">
        <f t="shared" si="1"/>
        <v>TRAN</v>
      </c>
      <c r="B50" s="40" t="s">
        <v>210</v>
      </c>
      <c r="C50" s="40" t="s">
        <v>211</v>
      </c>
      <c r="D50" s="40" t="s">
        <v>85</v>
      </c>
      <c r="E50" s="40" t="s">
        <v>205</v>
      </c>
      <c r="F50" s="41" t="str">
        <f>IF(E50="","",IFERROR(IF(INDEX('Dashboard Items'!$B$2:$B$495,MATCH(E50,'Dashboard Items'!$A$2:$A$495,0))="Objective","Objectives go in the next column",IF(OR(D50="",INDEX('Dashboard Items'!$B$2:$B$495,MATCH(E50,'Dashboard Items'!$A$2:$A$495,0))=D50),INDEX('Dashboard Items'!$C$2:$C$495,MATCH(E50,'Dashboard Items'!$A$2:$A$495,0)),"Level does not match ID")),"ID not found"))</f>
        <v>Parking Management</v>
      </c>
      <c r="G50" s="42"/>
      <c r="H50" s="41" t="str">
        <f>IF(G50="","",IF(ISNUMBER(SEARCH(",",G50)),"Several items (the script lists them)",IFERROR(INDEX('Dashboard Items'!$B$2:$B$495,MATCH(G50,'Dashboard Items'!$A$2:$A$495,0))&amp;": "&amp;INDEX('Dashboard Items'!$C$2:$C$495,MATCH(G50,'Dashboard Items'!$A$2:$A$495,0)),"ID not found")))</f>
        <v/>
      </c>
      <c r="I50" s="40" t="s">
        <v>70</v>
      </c>
      <c r="J50" s="40">
        <v>2</v>
      </c>
      <c r="K50" s="40" t="s">
        <v>71</v>
      </c>
      <c r="L50" s="40" t="s">
        <v>72</v>
      </c>
      <c r="M50" s="40">
        <v>0</v>
      </c>
      <c r="N50" s="40">
        <v>0</v>
      </c>
      <c r="O50" s="40" t="s">
        <v>71</v>
      </c>
      <c r="P50" s="40" t="s">
        <v>126</v>
      </c>
      <c r="Q50" s="40" t="s">
        <v>207</v>
      </c>
      <c r="R50" s="40"/>
      <c r="S50" s="40"/>
      <c r="T50" s="40"/>
      <c r="U50" s="17" t="str">
        <f>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Sets Program status chip</v>
      </c>
    </row>
    <row r="51" spans="1:21" s="43" customFormat="1" x14ac:dyDescent="0.2">
      <c r="A51" s="40" t="str">
        <f t="shared" si="1"/>
        <v>TRAN</v>
      </c>
      <c r="B51" s="40" t="s">
        <v>212</v>
      </c>
      <c r="C51" s="40" t="s">
        <v>213</v>
      </c>
      <c r="D51" s="40" t="s">
        <v>85</v>
      </c>
      <c r="E51" s="40" t="s">
        <v>205</v>
      </c>
      <c r="F51" s="41" t="str">
        <f>IF(E51="","",IFERROR(IF(INDEX('Dashboard Items'!$B$2:$B$495,MATCH(E51,'Dashboard Items'!$A$2:$A$495,0))="Objective","Objectives go in the next column",IF(OR(D51="",INDEX('Dashboard Items'!$B$2:$B$495,MATCH(E51,'Dashboard Items'!$A$2:$A$495,0))=D51),INDEX('Dashboard Items'!$C$2:$C$495,MATCH(E51,'Dashboard Items'!$A$2:$A$495,0)),"Level does not match ID")),"ID not found"))</f>
        <v>Parking Management</v>
      </c>
      <c r="G51" s="42"/>
      <c r="H51" s="41" t="str">
        <f>IF(G51="","",IF(ISNUMBER(SEARCH(",",G51)),"Several items (the script lists them)",IFERROR(INDEX('Dashboard Items'!$B$2:$B$495,MATCH(G51,'Dashboard Items'!$A$2:$A$495,0))&amp;": "&amp;INDEX('Dashboard Items'!$C$2:$C$495,MATCH(G51,'Dashboard Items'!$A$2:$A$495,0)),"ID not found")))</f>
        <v/>
      </c>
      <c r="I51" s="40" t="s">
        <v>70</v>
      </c>
      <c r="J51" s="40">
        <v>2</v>
      </c>
      <c r="K51" s="40" t="s">
        <v>71</v>
      </c>
      <c r="L51" s="40" t="s">
        <v>72</v>
      </c>
      <c r="M51" s="40">
        <v>0</v>
      </c>
      <c r="N51" s="40">
        <v>0</v>
      </c>
      <c r="O51" s="40" t="s">
        <v>71</v>
      </c>
      <c r="P51" s="40" t="s">
        <v>126</v>
      </c>
      <c r="Q51" s="40" t="s">
        <v>207</v>
      </c>
      <c r="R51" s="40"/>
      <c r="S51" s="40"/>
      <c r="T51" s="40"/>
      <c r="U51" s="17" t="str">
        <f>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pans="1:21" s="43" customFormat="1" x14ac:dyDescent="0.2">
      <c r="A52" s="40" t="str">
        <f t="shared" si="1"/>
        <v>TRAN</v>
      </c>
      <c r="B52" s="40" t="s">
        <v>214</v>
      </c>
      <c r="C52" s="40" t="s">
        <v>215</v>
      </c>
      <c r="D52" s="40" t="s">
        <v>85</v>
      </c>
      <c r="E52" s="40" t="s">
        <v>216</v>
      </c>
      <c r="F52" s="41" t="str">
        <f>IF(E52="","",IFERROR(IF(INDEX('Dashboard Items'!$B$2:$B$495,MATCH(E52,'Dashboard Items'!$A$2:$A$495,0))="Objective","Objectives go in the next column",IF(OR(D52="",INDEX('Dashboard Items'!$B$2:$B$495,MATCH(E52,'Dashboard Items'!$A$2:$A$495,0))=D52),INDEX('Dashboard Items'!$C$2:$C$495,MATCH(E52,'Dashboard Items'!$A$2:$A$495,0)),"Level does not match ID")),"ID not found"))</f>
        <v>Multimodal Programs</v>
      </c>
      <c r="G52" s="42"/>
      <c r="H52" s="41" t="str">
        <f>IF(G52="","",IF(ISNUMBER(SEARCH(",",G52)),"Several items (the script lists them)",IFERROR(INDEX('Dashboard Items'!$B$2:$B$495,MATCH(G52,'Dashboard Items'!$A$2:$A$495,0))&amp;": "&amp;INDEX('Dashboard Items'!$C$2:$C$495,MATCH(G52,'Dashboard Items'!$A$2:$A$495,0)),"ID not found")))</f>
        <v/>
      </c>
      <c r="I52" s="40"/>
      <c r="J52" s="40"/>
      <c r="K52" s="40"/>
      <c r="L52" s="40"/>
      <c r="M52" s="40"/>
      <c r="N52" s="40"/>
      <c r="O52" s="40"/>
      <c r="P52" s="40"/>
      <c r="Q52" s="40"/>
      <c r="R52" s="40"/>
      <c r="S52" s="40"/>
      <c r="T52" s="40"/>
      <c r="U52" s="17" t="str">
        <f>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Sets Program status chip</v>
      </c>
    </row>
    <row r="53" spans="1:21" s="43" customFormat="1" x14ac:dyDescent="0.2">
      <c r="A53" s="40" t="str">
        <f t="shared" si="1"/>
        <v>TRAN</v>
      </c>
      <c r="B53" s="40" t="s">
        <v>217</v>
      </c>
      <c r="C53" s="40" t="s">
        <v>218</v>
      </c>
      <c r="D53" s="40" t="s">
        <v>85</v>
      </c>
      <c r="E53" s="40" t="s">
        <v>216</v>
      </c>
      <c r="F53" s="41" t="str">
        <f>IF(E53="","",IFERROR(IF(INDEX('Dashboard Items'!$B$2:$B$495,MATCH(E53,'Dashboard Items'!$A$2:$A$495,0))="Objective","Objectives go in the next column",IF(OR(D53="",INDEX('Dashboard Items'!$B$2:$B$495,MATCH(E53,'Dashboard Items'!$A$2:$A$495,0))=D53),INDEX('Dashboard Items'!$C$2:$C$495,MATCH(E53,'Dashboard Items'!$A$2:$A$495,0)),"Level does not match ID")),"ID not found"))</f>
        <v>Multimodal Programs</v>
      </c>
      <c r="G53" s="42" t="s">
        <v>206</v>
      </c>
      <c r="H53" s="41" t="str">
        <f>IF(G53="","",IF(ISNUMBER(SEARCH(",",G53)),"Several items (the script lists them)",IFERROR(INDEX('Dashboard Items'!$B$2:$B$495,MATCH(G53,'Dashboard Items'!$A$2:$A$495,0))&amp;": "&amp;INDEX('Dashboard Items'!$C$2:$C$495,MATCH(G53,'Dashboard Items'!$A$2:$A$495,0)),"ID not found")))</f>
        <v>Key Service: Transit Services</v>
      </c>
      <c r="I53" s="40" t="s">
        <v>145</v>
      </c>
      <c r="J53" s="40">
        <v>2</v>
      </c>
      <c r="K53" s="40" t="s">
        <v>71</v>
      </c>
      <c r="L53" s="40" t="s">
        <v>72</v>
      </c>
      <c r="M53" s="40">
        <v>0</v>
      </c>
      <c r="N53" s="40">
        <v>0</v>
      </c>
      <c r="O53" s="40" t="s">
        <v>71</v>
      </c>
      <c r="P53" s="40" t="s">
        <v>126</v>
      </c>
      <c r="Q53" s="40" t="s">
        <v>219</v>
      </c>
      <c r="R53" s="40"/>
      <c r="S53" s="40"/>
      <c r="T53" s="40"/>
      <c r="U53" s="17" t="str">
        <f>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Counts in Key Service gauge + sets Program chip</v>
      </c>
    </row>
    <row r="54" spans="1:21" s="43" customFormat="1" x14ac:dyDescent="0.2">
      <c r="A54" s="40" t="str">
        <f t="shared" si="1"/>
        <v>TRAN</v>
      </c>
      <c r="B54" s="40" t="s">
        <v>220</v>
      </c>
      <c r="C54" s="40" t="s">
        <v>221</v>
      </c>
      <c r="D54" s="40" t="s">
        <v>85</v>
      </c>
      <c r="E54" s="40" t="s">
        <v>216</v>
      </c>
      <c r="F54" s="41" t="str">
        <f>IF(E54="","",IFERROR(IF(INDEX('Dashboard Items'!$B$2:$B$495,MATCH(E54,'Dashboard Items'!$A$2:$A$495,0))="Objective","Objectives go in the next column",IF(OR(D54="",INDEX('Dashboard Items'!$B$2:$B$495,MATCH(E54,'Dashboard Items'!$A$2:$A$495,0))=D54),INDEX('Dashboard Items'!$C$2:$C$495,MATCH(E54,'Dashboard Items'!$A$2:$A$495,0)),"Level does not match ID")),"ID not found"))</f>
        <v>Multimodal Programs</v>
      </c>
      <c r="G54" s="42" t="s">
        <v>206</v>
      </c>
      <c r="H54" s="41" t="str">
        <f>IF(G54="","",IF(ISNUMBER(SEARCH(",",G54)),"Several items (the script lists them)",IFERROR(INDEX('Dashboard Items'!$B$2:$B$495,MATCH(G54,'Dashboard Items'!$A$2:$A$495,0))&amp;": "&amp;INDEX('Dashboard Items'!$C$2:$C$495,MATCH(G54,'Dashboard Items'!$A$2:$A$495,0)),"ID not found")))</f>
        <v>Key Service: Transit Services</v>
      </c>
      <c r="I54" s="40" t="s">
        <v>145</v>
      </c>
      <c r="J54" s="40">
        <v>2</v>
      </c>
      <c r="K54" s="40" t="s">
        <v>71</v>
      </c>
      <c r="L54" s="40" t="s">
        <v>72</v>
      </c>
      <c r="M54" s="40">
        <v>0</v>
      </c>
      <c r="N54" s="40">
        <v>0</v>
      </c>
      <c r="O54" s="40" t="s">
        <v>71</v>
      </c>
      <c r="P54" s="40" t="s">
        <v>126</v>
      </c>
      <c r="Q54" s="40" t="s">
        <v>219</v>
      </c>
      <c r="R54" s="40"/>
      <c r="S54" s="40"/>
      <c r="T54" s="40"/>
      <c r="U54" s="17" t="str">
        <f>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Counts in Key Service gauge + sets Program chip</v>
      </c>
    </row>
    <row r="55" spans="1:21" s="43" customFormat="1" x14ac:dyDescent="0.2">
      <c r="A55" s="40" t="str">
        <f t="shared" si="1"/>
        <v>TRAN</v>
      </c>
      <c r="B55" s="40" t="s">
        <v>697</v>
      </c>
      <c r="C55" s="40" t="s">
        <v>698</v>
      </c>
      <c r="D55" s="40" t="s">
        <v>85</v>
      </c>
      <c r="E55" s="40" t="s">
        <v>531</v>
      </c>
      <c r="F55" s="41" t="str">
        <f>IF(E55="","",IFERROR(IF(INDEX('Dashboard Items'!$B$2:$B$495,MATCH(E55,'Dashboard Items'!$A$2:$A$495,0))="Objective","Objectives go in the next column",IF(OR(D55="",INDEX('Dashboard Items'!$B$2:$B$495,MATCH(E55,'Dashboard Items'!$A$2:$A$495,0))=D55),INDEX('Dashboard Items'!$C$2:$C$495,MATCH(E55,'Dashboard Items'!$A$2:$A$495,0)),"Level does not match ID")),"ID not found"))</f>
        <v>Fixed-Route Service</v>
      </c>
      <c r="G55" s="42"/>
      <c r="H55" s="41"/>
      <c r="I55" s="40"/>
      <c r="J55" s="40"/>
      <c r="K55" s="40"/>
      <c r="L55" s="40"/>
      <c r="M55" s="40"/>
      <c r="N55" s="40"/>
      <c r="O55" s="40"/>
      <c r="P55" s="40"/>
      <c r="Q55" s="40"/>
      <c r="R55" s="40"/>
      <c r="S55" s="40"/>
      <c r="T55" s="40"/>
      <c r="U55" s="17"/>
    </row>
    <row r="56" spans="1:21" s="43" customFormat="1" x14ac:dyDescent="0.2">
      <c r="A56" s="40" t="str">
        <f t="shared" si="1"/>
        <v>TRAN</v>
      </c>
      <c r="B56" s="40" t="s">
        <v>707</v>
      </c>
      <c r="C56" s="40" t="s">
        <v>699</v>
      </c>
      <c r="D56" s="40" t="s">
        <v>85</v>
      </c>
      <c r="E56" s="40" t="s">
        <v>531</v>
      </c>
      <c r="F56" s="41" t="str">
        <f>IF(E56="","",IFERROR(IF(INDEX('Dashboard Items'!$B$2:$B$495,MATCH(E56,'Dashboard Items'!$A$2:$A$495,0))="Objective","Objectives go in the next column",IF(OR(D56="",INDEX('Dashboard Items'!$B$2:$B$495,MATCH(E56,'Dashboard Items'!$A$2:$A$495,0))=D56),INDEX('Dashboard Items'!$C$2:$C$495,MATCH(E56,'Dashboard Items'!$A$2:$A$495,0)),"Level does not match ID")),"ID not found"))</f>
        <v>Fixed-Route Service</v>
      </c>
      <c r="G56" s="42"/>
      <c r="H56" s="41"/>
      <c r="I56" s="40"/>
      <c r="J56" s="40"/>
      <c r="K56" s="40"/>
      <c r="L56" s="40"/>
      <c r="M56" s="40"/>
      <c r="N56" s="40"/>
      <c r="O56" s="40"/>
      <c r="P56" s="40"/>
      <c r="Q56" s="40"/>
      <c r="R56" s="40"/>
      <c r="S56" s="40"/>
      <c r="T56" s="40"/>
      <c r="U56" s="17"/>
    </row>
    <row r="57" spans="1:21" s="43" customFormat="1" x14ac:dyDescent="0.2">
      <c r="A57" s="40" t="str">
        <f t="shared" si="1"/>
        <v>TRAN</v>
      </c>
      <c r="B57" s="40" t="s">
        <v>708</v>
      </c>
      <c r="C57" s="40" t="s">
        <v>700</v>
      </c>
      <c r="D57" s="40" t="s">
        <v>85</v>
      </c>
      <c r="E57" s="40" t="s">
        <v>531</v>
      </c>
      <c r="F57" s="41" t="str">
        <f>IF(E57="","",IFERROR(IF(INDEX('Dashboard Items'!$B$2:$B$495,MATCH(E57,'Dashboard Items'!$A$2:$A$495,0))="Objective","Objectives go in the next column",IF(OR(D57="",INDEX('Dashboard Items'!$B$2:$B$495,MATCH(E57,'Dashboard Items'!$A$2:$A$495,0))=D57),INDEX('Dashboard Items'!$C$2:$C$495,MATCH(E57,'Dashboard Items'!$A$2:$A$495,0)),"Level does not match ID")),"ID not found"))</f>
        <v>Fixed-Route Service</v>
      </c>
      <c r="G57" s="42"/>
      <c r="H57" s="41"/>
      <c r="I57" s="40"/>
      <c r="J57" s="40"/>
      <c r="K57" s="40"/>
      <c r="L57" s="40"/>
      <c r="M57" s="40"/>
      <c r="N57" s="40"/>
      <c r="O57" s="40"/>
      <c r="P57" s="40"/>
      <c r="Q57" s="40"/>
      <c r="R57" s="40"/>
      <c r="S57" s="40"/>
      <c r="T57" s="40"/>
      <c r="U57" s="17"/>
    </row>
    <row r="58" spans="1:21" s="43" customFormat="1" x14ac:dyDescent="0.2">
      <c r="A58" s="40" t="str">
        <f t="shared" si="1"/>
        <v>TRAN</v>
      </c>
      <c r="B58" s="40" t="s">
        <v>709</v>
      </c>
      <c r="C58" s="40" t="s">
        <v>701</v>
      </c>
      <c r="D58" s="40" t="s">
        <v>85</v>
      </c>
      <c r="E58" s="40" t="s">
        <v>533</v>
      </c>
      <c r="F58" s="41" t="str">
        <f>IF(E58="","",IFERROR(IF(INDEX('Dashboard Items'!$B$2:$B$495,MATCH(E58,'Dashboard Items'!$A$2:$A$495,0))="Objective","Objectives go in the next column",IF(OR(D58="",INDEX('Dashboard Items'!$B$2:$B$495,MATCH(E58,'Dashboard Items'!$A$2:$A$495,0))=D58),INDEX('Dashboard Items'!$C$2:$C$495,MATCH(E58,'Dashboard Items'!$A$2:$A$495,0)),"Level does not match ID")),"ID not found"))</f>
        <v>Paratransit</v>
      </c>
      <c r="G58" s="42"/>
      <c r="H58" s="41"/>
      <c r="I58" s="40"/>
      <c r="J58" s="40"/>
      <c r="K58" s="40"/>
      <c r="L58" s="40"/>
      <c r="M58" s="40"/>
      <c r="N58" s="40"/>
      <c r="O58" s="40"/>
      <c r="P58" s="40"/>
      <c r="Q58" s="40"/>
      <c r="R58" s="40"/>
      <c r="S58" s="40"/>
      <c r="T58" s="40"/>
      <c r="U58" s="17"/>
    </row>
    <row r="59" spans="1:21" s="43" customFormat="1" x14ac:dyDescent="0.2">
      <c r="A59" s="40" t="str">
        <f t="shared" si="1"/>
        <v>TRAN</v>
      </c>
      <c r="B59" s="40" t="s">
        <v>710</v>
      </c>
      <c r="C59" s="40" t="s">
        <v>702</v>
      </c>
      <c r="D59" s="40" t="s">
        <v>85</v>
      </c>
      <c r="E59" s="40" t="s">
        <v>536</v>
      </c>
      <c r="F59" s="41" t="str">
        <f>IF(E59="","",IFERROR(IF(INDEX('Dashboard Items'!$B$2:$B$495,MATCH(E59,'Dashboard Items'!$A$2:$A$495,0))="Objective","Objectives go in the next column",IF(OR(D59="",INDEX('Dashboard Items'!$B$2:$B$495,MATCH(E59,'Dashboard Items'!$A$2:$A$495,0))=D59),INDEX('Dashboard Items'!$C$2:$C$495,MATCH(E59,'Dashboard Items'!$A$2:$A$495,0)),"Level does not match ID")),"ID not found"))</f>
        <v>Microtransit</v>
      </c>
      <c r="G59" s="42"/>
      <c r="H59" s="41"/>
      <c r="I59" s="40"/>
      <c r="J59" s="40"/>
      <c r="K59" s="40"/>
      <c r="L59" s="40"/>
      <c r="M59" s="40"/>
      <c r="N59" s="40"/>
      <c r="O59" s="40"/>
      <c r="P59" s="40"/>
      <c r="Q59" s="40"/>
      <c r="R59" s="40"/>
      <c r="S59" s="40"/>
      <c r="T59" s="40"/>
      <c r="U59" s="17"/>
    </row>
    <row r="60" spans="1:21" s="43" customFormat="1" x14ac:dyDescent="0.2">
      <c r="A60" s="40" t="str">
        <f t="shared" si="1"/>
        <v>TRAN</v>
      </c>
      <c r="B60" s="40" t="s">
        <v>711</v>
      </c>
      <c r="C60" s="40" t="s">
        <v>703</v>
      </c>
      <c r="D60" s="40" t="s">
        <v>85</v>
      </c>
      <c r="E60" s="40" t="s">
        <v>536</v>
      </c>
      <c r="F60" s="41" t="str">
        <f>IF(E60="","",IFERROR(IF(INDEX('Dashboard Items'!$B$2:$B$495,MATCH(E60,'Dashboard Items'!$A$2:$A$495,0))="Objective","Objectives go in the next column",IF(OR(D60="",INDEX('Dashboard Items'!$B$2:$B$495,MATCH(E60,'Dashboard Items'!$A$2:$A$495,0))=D60),INDEX('Dashboard Items'!$C$2:$C$495,MATCH(E60,'Dashboard Items'!$A$2:$A$495,0)),"Level does not match ID")),"ID not found"))</f>
        <v>Microtransit</v>
      </c>
      <c r="G60" s="42"/>
      <c r="H60" s="41"/>
      <c r="I60" s="40"/>
      <c r="J60" s="40"/>
      <c r="K60" s="40"/>
      <c r="L60" s="40"/>
      <c r="M60" s="40"/>
      <c r="N60" s="40"/>
      <c r="O60" s="40"/>
      <c r="P60" s="40"/>
      <c r="Q60" s="40"/>
      <c r="R60" s="40"/>
      <c r="S60" s="40"/>
      <c r="T60" s="40"/>
      <c r="U60" s="17"/>
    </row>
    <row r="61" spans="1:21" s="43" customFormat="1" x14ac:dyDescent="0.2">
      <c r="A61" s="40" t="str">
        <f t="shared" si="1"/>
        <v>TRAN</v>
      </c>
      <c r="B61" s="40" t="s">
        <v>712</v>
      </c>
      <c r="C61" s="40" t="s">
        <v>704</v>
      </c>
      <c r="D61" s="40" t="s">
        <v>85</v>
      </c>
      <c r="E61" s="40" t="s">
        <v>538</v>
      </c>
      <c r="F61" s="41" t="str">
        <f>IF(E61="","",IFERROR(IF(INDEX('Dashboard Items'!$B$2:$B$495,MATCH(E61,'Dashboard Items'!$A$2:$A$495,0))="Objective","Objectives go in the next column",IF(OR(D61="",INDEX('Dashboard Items'!$B$2:$B$495,MATCH(E61,'Dashboard Items'!$A$2:$A$495,0))=D61),INDEX('Dashboard Items'!$C$2:$C$495,MATCH(E61,'Dashboard Items'!$A$2:$A$495,0)),"Level does not match ID")),"ID not found"))</f>
        <v>Transit Planning</v>
      </c>
      <c r="G61" s="42"/>
      <c r="H61" s="41"/>
      <c r="I61" s="40"/>
      <c r="J61" s="40"/>
      <c r="K61" s="40"/>
      <c r="L61" s="40"/>
      <c r="M61" s="40"/>
      <c r="N61" s="40"/>
      <c r="O61" s="40"/>
      <c r="P61" s="40"/>
      <c r="Q61" s="40"/>
      <c r="R61" s="40"/>
      <c r="S61" s="40"/>
      <c r="T61" s="40"/>
      <c r="U61" s="17"/>
    </row>
    <row r="62" spans="1:21" s="43" customFormat="1" x14ac:dyDescent="0.2">
      <c r="A62" s="40" t="str">
        <f t="shared" si="1"/>
        <v>TRAN</v>
      </c>
      <c r="B62" s="40" t="s">
        <v>713</v>
      </c>
      <c r="C62" s="40" t="s">
        <v>705</v>
      </c>
      <c r="D62" s="40" t="s">
        <v>85</v>
      </c>
      <c r="E62" s="40" t="s">
        <v>540</v>
      </c>
      <c r="F62" s="41" t="str">
        <f>IF(E62="","",IFERROR(IF(INDEX('Dashboard Items'!$B$2:$B$495,MATCH(E62,'Dashboard Items'!$A$2:$A$495,0))="Objective","Objectives go in the next column",IF(OR(D62="",INDEX('Dashboard Items'!$B$2:$B$495,MATCH(E62,'Dashboard Items'!$A$2:$A$495,0))=D62),INDEX('Dashboard Items'!$C$2:$C$495,MATCH(E62,'Dashboard Items'!$A$2:$A$495,0)),"Level does not match ID")),"ID not found"))</f>
        <v>Fare Administration</v>
      </c>
      <c r="G62" s="42"/>
      <c r="H62" s="41"/>
      <c r="I62" s="40"/>
      <c r="J62" s="40"/>
      <c r="K62" s="40"/>
      <c r="L62" s="40"/>
      <c r="M62" s="40"/>
      <c r="N62" s="40"/>
      <c r="O62" s="40"/>
      <c r="P62" s="40"/>
      <c r="Q62" s="40"/>
      <c r="R62" s="40"/>
      <c r="S62" s="40"/>
      <c r="T62" s="40"/>
      <c r="U62" s="17"/>
    </row>
    <row r="63" spans="1:21" s="43" customFormat="1" x14ac:dyDescent="0.2">
      <c r="A63" s="40" t="str">
        <f t="shared" si="1"/>
        <v>TRAN</v>
      </c>
      <c r="B63" s="40" t="s">
        <v>714</v>
      </c>
      <c r="C63" s="40" t="s">
        <v>706</v>
      </c>
      <c r="D63" s="40" t="s">
        <v>85</v>
      </c>
      <c r="E63" s="40" t="s">
        <v>540</v>
      </c>
      <c r="F63" s="41" t="str">
        <f>IF(E63="","",IFERROR(IF(INDEX('Dashboard Items'!$B$2:$B$495,MATCH(E63,'Dashboard Items'!$A$2:$A$495,0))="Objective","Objectives go in the next column",IF(OR(D63="",INDEX('Dashboard Items'!$B$2:$B$495,MATCH(E63,'Dashboard Items'!$A$2:$A$495,0))=D63),INDEX('Dashboard Items'!$C$2:$C$495,MATCH(E63,'Dashboard Items'!$A$2:$A$495,0)),"Level does not match ID")),"ID not found"))</f>
        <v>Fare Administration</v>
      </c>
      <c r="G63" s="42"/>
      <c r="H63" s="41"/>
      <c r="I63" s="40"/>
      <c r="J63" s="40"/>
      <c r="K63" s="40"/>
      <c r="L63" s="40"/>
      <c r="M63" s="40"/>
      <c r="N63" s="40"/>
      <c r="O63" s="40"/>
      <c r="P63" s="40"/>
      <c r="Q63" s="40"/>
      <c r="R63" s="40"/>
      <c r="S63" s="40"/>
      <c r="T63" s="40"/>
      <c r="U63" s="17"/>
    </row>
    <row r="64" spans="1:21" s="44" customFormat="1" ht="15.75" customHeight="1" x14ac:dyDescent="0.2">
      <c r="A64" s="44" t="str">
        <f t="shared" si="1"/>
        <v>PROS</v>
      </c>
      <c r="B64" s="45" t="s">
        <v>222</v>
      </c>
      <c r="C64" s="46" t="s">
        <v>223</v>
      </c>
      <c r="D64" s="45" t="s">
        <v>85</v>
      </c>
      <c r="E64" s="45" t="s">
        <v>224</v>
      </c>
      <c r="F64" s="47" t="str">
        <f>IF(E64="","",IFERROR(IF(INDEX('Dashboard Items'!$B$2:$B$495,MATCH(E64,'Dashboard Items'!$A$2:$A$495,0))="Objective","Objectives go in the next column",IF(OR(D64="",INDEX('Dashboard Items'!$B$2:$B$495,MATCH(E64,'Dashboard Items'!$A$2:$A$495,0))=D64),INDEX('Dashboard Items'!$C$2:$C$495,MATCH(E64,'Dashboard Items'!$A$2:$A$495,0)),"Level does not match ID")),"ID not found"))</f>
        <v>Housing Initiatives</v>
      </c>
      <c r="G64" s="48"/>
      <c r="H64" s="47" t="str">
        <f>IF(G64="","",IF(ISNUMBER(SEARCH(",",G64)),"Several items (the script lists them)",IFERROR(INDEX('Dashboard Items'!$B$2:$B$495,MATCH(G64,'Dashboard Items'!$A$2:$A$495,0))&amp;": "&amp;INDEX('Dashboard Items'!$C$2:$C$495,MATCH(G64,'Dashboard Items'!$A$2:$A$495,0)),"ID not found")))</f>
        <v/>
      </c>
      <c r="I64" s="45" t="s">
        <v>145</v>
      </c>
      <c r="J64" s="45">
        <v>2</v>
      </c>
      <c r="K64" s="45" t="s">
        <v>71</v>
      </c>
      <c r="L64" s="45" t="s">
        <v>72</v>
      </c>
      <c r="M64" s="45">
        <v>0</v>
      </c>
      <c r="N64" s="45">
        <v>0</v>
      </c>
      <c r="O64" s="45" t="s">
        <v>71</v>
      </c>
      <c r="P64" s="45" t="s">
        <v>126</v>
      </c>
      <c r="Q64" s="45" t="s">
        <v>225</v>
      </c>
      <c r="R64" s="45"/>
      <c r="S64" s="45"/>
      <c r="T64" s="45" t="s">
        <v>226</v>
      </c>
      <c r="U64" s="17" t="str">
        <f>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Sets Program status chip</v>
      </c>
    </row>
    <row r="65" spans="1:21" s="44" customFormat="1" ht="15.75" customHeight="1" x14ac:dyDescent="0.2">
      <c r="A65" s="44" t="str">
        <f t="shared" si="1"/>
        <v>PROS</v>
      </c>
      <c r="B65" s="45" t="s">
        <v>227</v>
      </c>
      <c r="C65" s="46" t="s">
        <v>228</v>
      </c>
      <c r="D65" s="45" t="s">
        <v>85</v>
      </c>
      <c r="E65" s="45" t="s">
        <v>224</v>
      </c>
      <c r="F65" s="47" t="str">
        <f>IF(E65="","",IFERROR(IF(INDEX('Dashboard Items'!$B$2:$B$495,MATCH(E65,'Dashboard Items'!$A$2:$A$495,0))="Objective","Objectives go in the next column",IF(OR(D65="",INDEX('Dashboard Items'!$B$2:$B$495,MATCH(E65,'Dashboard Items'!$A$2:$A$495,0))=D65),INDEX('Dashboard Items'!$C$2:$C$495,MATCH(E65,'Dashboard Items'!$A$2:$A$495,0)),"Level does not match ID")),"ID not found"))</f>
        <v>Housing Initiatives</v>
      </c>
      <c r="G65" s="48"/>
      <c r="H65" s="47" t="str">
        <f>IF(G65="","",IF(ISNUMBER(SEARCH(",",G65)),"Several items (the script lists them)",IFERROR(INDEX('Dashboard Items'!$B$2:$B$495,MATCH(G65,'Dashboard Items'!$A$2:$A$495,0))&amp;": "&amp;INDEX('Dashboard Items'!$C$2:$C$495,MATCH(G65,'Dashboard Items'!$A$2:$A$495,0)),"ID not found")))</f>
        <v/>
      </c>
      <c r="I65" s="45" t="s">
        <v>145</v>
      </c>
      <c r="J65" s="45">
        <v>2</v>
      </c>
      <c r="K65" s="45" t="s">
        <v>71</v>
      </c>
      <c r="L65" s="45" t="s">
        <v>72</v>
      </c>
      <c r="M65" s="45">
        <v>0</v>
      </c>
      <c r="N65" s="45">
        <v>0</v>
      </c>
      <c r="O65" s="45" t="s">
        <v>71</v>
      </c>
      <c r="P65" s="45" t="s">
        <v>126</v>
      </c>
      <c r="Q65" s="45" t="s">
        <v>225</v>
      </c>
      <c r="R65" s="45"/>
      <c r="S65" s="45"/>
      <c r="T65" s="45"/>
      <c r="U65" s="17" t="str">
        <f>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pans="1:21" s="44" customFormat="1" ht="15.75" customHeight="1" x14ac:dyDescent="0.2">
      <c r="A66" s="44" t="str">
        <f t="shared" si="1"/>
        <v>PROS</v>
      </c>
      <c r="B66" s="45" t="s">
        <v>229</v>
      </c>
      <c r="C66" s="46" t="s">
        <v>230</v>
      </c>
      <c r="D66" s="45" t="s">
        <v>67</v>
      </c>
      <c r="E66" s="45" t="s">
        <v>231</v>
      </c>
      <c r="F66" s="47" t="str">
        <f>IF(E66="","",IFERROR(IF(INDEX('Dashboard Items'!$B$2:$B$495,MATCH(E66,'Dashboard Items'!$A$2:$A$495,0))="Objective","Objectives go in the next column",IF(OR(D66="",INDEX('Dashboard Items'!$B$2:$B$495,MATCH(E66,'Dashboard Items'!$A$2:$A$495,0))=D66),INDEX('Dashboard Items'!$C$2:$C$495,MATCH(E66,'Dashboard Items'!$A$2:$A$495,0)),"Level does not match ID")),"ID not found"))</f>
        <v>Community Development &amp; Planning</v>
      </c>
      <c r="G66" s="48" t="s">
        <v>224</v>
      </c>
      <c r="H66" s="47" t="str">
        <f>IF(G66="","",IF(ISNUMBER(SEARCH(",",G66)),"Several items (the script lists them)",IFERROR(INDEX('Dashboard Items'!$B$2:$B$495,MATCH(G66,'Dashboard Items'!$A$2:$A$495,0))&amp;": "&amp;INDEX('Dashboard Items'!$C$2:$C$495,MATCH(G66,'Dashboard Items'!$A$2:$A$495,0)),"ID not found")))</f>
        <v>Program: Housing Initiatives</v>
      </c>
      <c r="I66" s="45" t="s">
        <v>145</v>
      </c>
      <c r="J66" s="45">
        <v>2</v>
      </c>
      <c r="K66" s="45" t="s">
        <v>71</v>
      </c>
      <c r="L66" s="45" t="s">
        <v>72</v>
      </c>
      <c r="M66" s="45">
        <v>0</v>
      </c>
      <c r="N66" s="45">
        <v>0</v>
      </c>
      <c r="O66" s="45" t="s">
        <v>71</v>
      </c>
      <c r="P66" s="45" t="s">
        <v>126</v>
      </c>
      <c r="Q66" s="45" t="s">
        <v>225</v>
      </c>
      <c r="R66" s="45"/>
      <c r="S66" s="45"/>
      <c r="T66" s="45" t="s">
        <v>718</v>
      </c>
      <c r="U66" s="17" t="str">
        <f>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Counts in Key Service gauge</v>
      </c>
    </row>
    <row r="67" spans="1:21" s="44" customFormat="1" ht="15.75" customHeight="1" x14ac:dyDescent="0.2">
      <c r="A67" s="44" t="str">
        <f t="shared" si="1"/>
        <v>PROS</v>
      </c>
      <c r="B67" s="45" t="s">
        <v>232</v>
      </c>
      <c r="C67" s="46" t="s">
        <v>233</v>
      </c>
      <c r="D67" s="45" t="s">
        <v>85</v>
      </c>
      <c r="E67" s="45" t="s">
        <v>234</v>
      </c>
      <c r="F67" s="47" t="str">
        <f>IF(E67="","",IFERROR(IF(INDEX('Dashboard Items'!$B$2:$B$495,MATCH(E67,'Dashboard Items'!$A$2:$A$495,0))="Objective","Objectives go in the next column",IF(OR(D67="",INDEX('Dashboard Items'!$B$2:$B$495,MATCH(E67,'Dashboard Items'!$A$2:$A$495,0))=D67),INDEX('Dashboard Items'!$C$2:$C$495,MATCH(E67,'Dashboard Items'!$A$2:$A$495,0)),"Level does not match ID")),"ID not found"))</f>
        <v>Community Investments, Partnerships, and Grant Making</v>
      </c>
      <c r="G67" s="48"/>
      <c r="H67" s="47" t="str">
        <f>IF(G67="","",IF(ISNUMBER(SEARCH(",",G67)),"Several items (the script lists them)",IFERROR(INDEX('Dashboard Items'!$B$2:$B$495,MATCH(G67,'Dashboard Items'!$A$2:$A$495,0))&amp;": "&amp;INDEX('Dashboard Items'!$C$2:$C$495,MATCH(G67,'Dashboard Items'!$A$2:$A$495,0)),"ID not found")))</f>
        <v/>
      </c>
      <c r="I67" s="45" t="s">
        <v>145</v>
      </c>
      <c r="J67" s="45">
        <v>2</v>
      </c>
      <c r="K67" s="45" t="s">
        <v>71</v>
      </c>
      <c r="L67" s="45" t="s">
        <v>72</v>
      </c>
      <c r="M67" s="45">
        <v>0</v>
      </c>
      <c r="N67" s="45">
        <v>0</v>
      </c>
      <c r="O67" s="45" t="s">
        <v>71</v>
      </c>
      <c r="P67" s="45" t="s">
        <v>126</v>
      </c>
      <c r="Q67" s="45" t="s">
        <v>225</v>
      </c>
      <c r="R67" s="45"/>
      <c r="S67" s="45"/>
      <c r="T67" s="45"/>
      <c r="U67" s="17" t="str">
        <f>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pans="1:21" s="44" customFormat="1" ht="15.75" customHeight="1" x14ac:dyDescent="0.2">
      <c r="A68" s="44" t="str">
        <f t="shared" si="1"/>
        <v>PROS</v>
      </c>
      <c r="B68" s="45" t="s">
        <v>235</v>
      </c>
      <c r="C68" s="46" t="s">
        <v>236</v>
      </c>
      <c r="D68" s="45" t="s">
        <v>85</v>
      </c>
      <c r="E68" s="45" t="s">
        <v>234</v>
      </c>
      <c r="F68" s="47" t="str">
        <f>IF(E68="","",IFERROR(IF(INDEX('Dashboard Items'!$B$2:$B$495,MATCH(E68,'Dashboard Items'!$A$2:$A$495,0))="Objective","Objectives go in the next column",IF(OR(D68="",INDEX('Dashboard Items'!$B$2:$B$495,MATCH(E68,'Dashboard Items'!$A$2:$A$495,0))=D68),INDEX('Dashboard Items'!$C$2:$C$495,MATCH(E68,'Dashboard Items'!$A$2:$A$495,0)),"Level does not match ID")),"ID not found"))</f>
        <v>Community Investments, Partnerships, and Grant Making</v>
      </c>
      <c r="G68" s="48"/>
      <c r="H68" s="47" t="str">
        <f>IF(G68="","",IF(ISNUMBER(SEARCH(",",G68)),"Several items (the script lists them)",IFERROR(INDEX('Dashboard Items'!$B$2:$B$495,MATCH(G68,'Dashboard Items'!$A$2:$A$495,0))&amp;": "&amp;INDEX('Dashboard Items'!$C$2:$C$495,MATCH(G68,'Dashboard Items'!$A$2:$A$495,0)),"ID not found")))</f>
        <v/>
      </c>
      <c r="I68" s="45" t="s">
        <v>145</v>
      </c>
      <c r="J68" s="45">
        <v>2</v>
      </c>
      <c r="K68" s="45" t="s">
        <v>71</v>
      </c>
      <c r="L68" s="45" t="s">
        <v>72</v>
      </c>
      <c r="M68" s="45">
        <v>0</v>
      </c>
      <c r="N68" s="45">
        <v>0</v>
      </c>
      <c r="O68" s="45" t="s">
        <v>71</v>
      </c>
      <c r="P68" s="45" t="s">
        <v>126</v>
      </c>
      <c r="Q68" s="45" t="s">
        <v>225</v>
      </c>
      <c r="R68" s="45"/>
      <c r="S68" s="45"/>
      <c r="T68" s="45"/>
      <c r="U68" s="17" t="str">
        <f>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pans="1:21" s="44" customFormat="1" ht="15.75" customHeight="1" x14ac:dyDescent="0.2">
      <c r="A69" s="44" t="str">
        <f t="shared" si="1"/>
        <v>PROS</v>
      </c>
      <c r="B69" s="45" t="s">
        <v>237</v>
      </c>
      <c r="C69" s="46" t="s">
        <v>238</v>
      </c>
      <c r="D69" s="45" t="s">
        <v>67</v>
      </c>
      <c r="E69" s="45" t="s">
        <v>239</v>
      </c>
      <c r="F69" s="47" t="str">
        <f>IF(E69="","",IFERROR(IF(INDEX('Dashboard Items'!$B$2:$B$495,MATCH(E69,'Dashboard Items'!$A$2:$A$495,0))="Objective","Objectives go in the next column",IF(OR(D69="",INDEX('Dashboard Items'!$B$2:$B$495,MATCH(E69,'Dashboard Items'!$A$2:$A$495,0))=D69),INDEX('Dashboard Items'!$C$2:$C$495,MATCH(E69,'Dashboard Items'!$A$2:$A$495,0)),"Level does not match ID")),"ID not found"))</f>
        <v>Economic Prosperity &amp; Business Support</v>
      </c>
      <c r="G69" s="48" t="s">
        <v>234</v>
      </c>
      <c r="H69" s="47" t="str">
        <f>IF(G69="","",IF(ISNUMBER(SEARCH(",",G69)),"Several items (the script lists them)",IFERROR(INDEX('Dashboard Items'!$B$2:$B$495,MATCH(G69,'Dashboard Items'!$A$2:$A$495,0))&amp;": "&amp;INDEX('Dashboard Items'!$C$2:$C$495,MATCH(G69,'Dashboard Items'!$A$2:$A$495,0)),"ID not found")))</f>
        <v>Program: Community Investments, Partnerships, and Grant Making</v>
      </c>
      <c r="I69" s="45" t="s">
        <v>70</v>
      </c>
      <c r="J69" s="45">
        <v>2</v>
      </c>
      <c r="K69" s="45" t="s">
        <v>71</v>
      </c>
      <c r="L69" s="45" t="s">
        <v>72</v>
      </c>
      <c r="M69" s="45">
        <v>0</v>
      </c>
      <c r="N69" s="45">
        <v>0</v>
      </c>
      <c r="O69" s="45" t="s">
        <v>71</v>
      </c>
      <c r="P69" s="45" t="s">
        <v>126</v>
      </c>
      <c r="Q69" s="45" t="s">
        <v>225</v>
      </c>
      <c r="R69" s="45"/>
      <c r="S69" s="45"/>
      <c r="T69" s="45"/>
      <c r="U69" s="17" t="str">
        <f>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Counts in Key Service gauge</v>
      </c>
    </row>
    <row r="70" spans="1:21" s="44" customFormat="1" ht="15.75" customHeight="1" x14ac:dyDescent="0.2">
      <c r="A70" s="44" t="str">
        <f t="shared" si="1"/>
        <v>PROS</v>
      </c>
      <c r="B70" s="45" t="s">
        <v>240</v>
      </c>
      <c r="C70" s="46" t="s">
        <v>241</v>
      </c>
      <c r="D70" s="45" t="s">
        <v>67</v>
      </c>
      <c r="E70" s="45" t="s">
        <v>239</v>
      </c>
      <c r="F70" s="47" t="str">
        <f>IF(E70="","",IFERROR(IF(INDEX('Dashboard Items'!$B$2:$B$495,MATCH(E70,'Dashboard Items'!$A$2:$A$495,0))="Objective","Objectives go in the next column",IF(OR(D70="",INDEX('Dashboard Items'!$B$2:$B$495,MATCH(E70,'Dashboard Items'!$A$2:$A$495,0))=D70),INDEX('Dashboard Items'!$C$2:$C$495,MATCH(E70,'Dashboard Items'!$A$2:$A$495,0)),"Level does not match ID")),"ID not found"))</f>
        <v>Economic Prosperity &amp; Business Support</v>
      </c>
      <c r="G70" s="48" t="s">
        <v>234</v>
      </c>
      <c r="H70" s="47" t="str">
        <f>IF(G70="","",IF(ISNUMBER(SEARCH(",",G70)),"Several items (the script lists them)",IFERROR(INDEX('Dashboard Items'!$B$2:$B$495,MATCH(G70,'Dashboard Items'!$A$2:$A$495,0))&amp;": "&amp;INDEX('Dashboard Items'!$C$2:$C$495,MATCH(G70,'Dashboard Items'!$A$2:$A$495,0)),"ID not found")))</f>
        <v>Program: Community Investments, Partnerships, and Grant Making</v>
      </c>
      <c r="I70" s="45" t="s">
        <v>70</v>
      </c>
      <c r="J70" s="45">
        <v>2</v>
      </c>
      <c r="K70" s="45" t="s">
        <v>71</v>
      </c>
      <c r="L70" s="45" t="s">
        <v>72</v>
      </c>
      <c r="M70" s="45">
        <v>0</v>
      </c>
      <c r="N70" s="45">
        <v>0</v>
      </c>
      <c r="O70" s="45" t="s">
        <v>71</v>
      </c>
      <c r="P70" s="45" t="s">
        <v>126</v>
      </c>
      <c r="Q70" s="45" t="s">
        <v>225</v>
      </c>
      <c r="R70" s="45"/>
      <c r="S70" s="45"/>
      <c r="T70" s="45"/>
      <c r="U70" s="17" t="str">
        <f>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pans="1:21" s="44" customFormat="1" ht="15.75" customHeight="1" x14ac:dyDescent="0.2">
      <c r="A71" s="44" t="str">
        <f t="shared" si="1"/>
        <v>PROS</v>
      </c>
      <c r="B71" s="45" t="s">
        <v>242</v>
      </c>
      <c r="C71" s="46" t="s">
        <v>243</v>
      </c>
      <c r="D71" s="45" t="s">
        <v>85</v>
      </c>
      <c r="E71" s="45" t="s">
        <v>244</v>
      </c>
      <c r="F71" s="47" t="str">
        <f>IF(E71="","",IFERROR(IF(INDEX('Dashboard Items'!$B$2:$B$495,MATCH(E71,'Dashboard Items'!$A$2:$A$495,0))="Objective","Objectives go in the next column",IF(OR(D71="",INDEX('Dashboard Items'!$B$2:$B$495,MATCH(E71,'Dashboard Items'!$A$2:$A$495,0))=D71),INDEX('Dashboard Items'!$C$2:$C$495,MATCH(E71,'Dashboard Items'!$A$2:$A$495,0)),"Level does not match ID")),"ID not found"))</f>
        <v>Business Support Services</v>
      </c>
      <c r="G71" s="48"/>
      <c r="H71" s="47" t="str">
        <f>IF(G71="","",IF(ISNUMBER(SEARCH(",",G71)),"Several items (the script lists them)",IFERROR(INDEX('Dashboard Items'!$B$2:$B$495,MATCH(G71,'Dashboard Items'!$A$2:$A$495,0))&amp;": "&amp;INDEX('Dashboard Items'!$C$2:$C$495,MATCH(G71,'Dashboard Items'!$A$2:$A$495,0)),"ID not found")))</f>
        <v/>
      </c>
      <c r="I71" s="45" t="s">
        <v>145</v>
      </c>
      <c r="J71" s="45">
        <v>2</v>
      </c>
      <c r="K71" s="45" t="s">
        <v>71</v>
      </c>
      <c r="L71" s="45" t="s">
        <v>72</v>
      </c>
      <c r="M71" s="45">
        <v>0</v>
      </c>
      <c r="N71" s="45">
        <v>0</v>
      </c>
      <c r="O71" s="45" t="s">
        <v>71</v>
      </c>
      <c r="P71" s="45" t="s">
        <v>126</v>
      </c>
      <c r="Q71" s="45" t="s">
        <v>225</v>
      </c>
      <c r="R71" s="45"/>
      <c r="S71" s="45"/>
      <c r="T71" s="45"/>
      <c r="U71" s="17" t="str">
        <f>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pans="1:21" s="44" customFormat="1" ht="15.75" customHeight="1" x14ac:dyDescent="0.2">
      <c r="A72" s="44" t="str">
        <f t="shared" si="1"/>
        <v>PROS</v>
      </c>
      <c r="B72" s="45" t="s">
        <v>245</v>
      </c>
      <c r="C72" s="46" t="s">
        <v>246</v>
      </c>
      <c r="D72" s="45" t="s">
        <v>85</v>
      </c>
      <c r="E72" s="45" t="s">
        <v>244</v>
      </c>
      <c r="F72" s="47" t="str">
        <f>IF(E72="","",IFERROR(IF(INDEX('Dashboard Items'!$B$2:$B$495,MATCH(E72,'Dashboard Items'!$A$2:$A$495,0))="Objective","Objectives go in the next column",IF(OR(D72="",INDEX('Dashboard Items'!$B$2:$B$495,MATCH(E72,'Dashboard Items'!$A$2:$A$495,0))=D72),INDEX('Dashboard Items'!$C$2:$C$495,MATCH(E72,'Dashboard Items'!$A$2:$A$495,0)),"Level does not match ID")),"ID not found"))</f>
        <v>Business Support Services</v>
      </c>
      <c r="G72" s="48"/>
      <c r="H72" s="47" t="str">
        <f>IF(G72="","",IF(ISNUMBER(SEARCH(",",G72)),"Several items (the script lists them)",IFERROR(INDEX('Dashboard Items'!$B$2:$B$495,MATCH(G72,'Dashboard Items'!$A$2:$A$495,0))&amp;": "&amp;INDEX('Dashboard Items'!$C$2:$C$495,MATCH(G72,'Dashboard Items'!$A$2:$A$495,0)),"ID not found")))</f>
        <v/>
      </c>
      <c r="I72" s="45" t="s">
        <v>145</v>
      </c>
      <c r="J72" s="45">
        <v>2</v>
      </c>
      <c r="K72" s="45" t="s">
        <v>71</v>
      </c>
      <c r="L72" s="45" t="s">
        <v>72</v>
      </c>
      <c r="M72" s="45">
        <v>0</v>
      </c>
      <c r="N72" s="45">
        <v>0</v>
      </c>
      <c r="O72" s="45" t="s">
        <v>71</v>
      </c>
      <c r="P72" s="45" t="s">
        <v>126</v>
      </c>
      <c r="Q72" s="45" t="s">
        <v>225</v>
      </c>
      <c r="R72" s="45"/>
      <c r="S72" s="45"/>
      <c r="T72" s="45"/>
      <c r="U72" s="17" t="str">
        <f>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Sets Program status chip</v>
      </c>
    </row>
    <row r="73" spans="1:21" s="44" customFormat="1" ht="15.75" customHeight="1" x14ac:dyDescent="0.2">
      <c r="A73" s="44" t="str">
        <f t="shared" ref="A73:A104" si="2">LEFT(B73, FIND("-", B73) - 1)</f>
        <v>PROS</v>
      </c>
      <c r="B73" s="45" t="s">
        <v>247</v>
      </c>
      <c r="C73" s="46" t="s">
        <v>248</v>
      </c>
      <c r="D73" s="45" t="s">
        <v>85</v>
      </c>
      <c r="E73" s="45" t="s">
        <v>244</v>
      </c>
      <c r="F73" s="47" t="str">
        <f>IF(E73="","",IFERROR(IF(INDEX('Dashboard Items'!$B$2:$B$495,MATCH(E73,'Dashboard Items'!$A$2:$A$495,0))="Objective","Objectives go in the next column",IF(OR(D73="",INDEX('Dashboard Items'!$B$2:$B$495,MATCH(E73,'Dashboard Items'!$A$2:$A$495,0))=D73),INDEX('Dashboard Items'!$C$2:$C$495,MATCH(E73,'Dashboard Items'!$A$2:$A$495,0)),"Level does not match ID")),"ID not found"))</f>
        <v>Business Support Services</v>
      </c>
      <c r="G73" s="48"/>
      <c r="H73" s="47" t="str">
        <f>IF(G73="","",IF(ISNUMBER(SEARCH(",",G73)),"Several items (the script lists them)",IFERROR(INDEX('Dashboard Items'!$B$2:$B$495,MATCH(G73,'Dashboard Items'!$A$2:$A$495,0))&amp;": "&amp;INDEX('Dashboard Items'!$C$2:$C$495,MATCH(G73,'Dashboard Items'!$A$2:$A$495,0)),"ID not found")))</f>
        <v/>
      </c>
      <c r="I73" s="45" t="s">
        <v>145</v>
      </c>
      <c r="J73" s="45">
        <v>2</v>
      </c>
      <c r="K73" s="45" t="s">
        <v>71</v>
      </c>
      <c r="L73" s="45" t="s">
        <v>72</v>
      </c>
      <c r="M73" s="45">
        <v>0</v>
      </c>
      <c r="N73" s="45">
        <v>0</v>
      </c>
      <c r="O73" s="45" t="s">
        <v>71</v>
      </c>
      <c r="P73" s="45" t="s">
        <v>126</v>
      </c>
      <c r="Q73" s="45" t="s">
        <v>225</v>
      </c>
      <c r="R73" s="45"/>
      <c r="S73" s="45"/>
      <c r="T73" s="45"/>
      <c r="U73" s="17" t="str">
        <f>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Sets Program status chip</v>
      </c>
    </row>
    <row r="74" spans="1:21" s="44" customFormat="1" ht="15.75" customHeight="1" x14ac:dyDescent="0.2">
      <c r="A74" s="44" t="str">
        <f t="shared" si="2"/>
        <v>PROS</v>
      </c>
      <c r="B74" s="45" t="s">
        <v>249</v>
      </c>
      <c r="C74" s="46" t="s">
        <v>250</v>
      </c>
      <c r="D74" s="45" t="s">
        <v>67</v>
      </c>
      <c r="E74" s="45" t="s">
        <v>251</v>
      </c>
      <c r="F74" s="47" t="str">
        <f>IF(E74="","",IFERROR(IF(INDEX('Dashboard Items'!$B$2:$B$495,MATCH(E74,'Dashboard Items'!$A$2:$A$495,0))="Objective","Objectives go in the next column",IF(OR(D74="",INDEX('Dashboard Items'!$B$2:$B$495,MATCH(E74,'Dashboard Items'!$A$2:$A$495,0))=D74),INDEX('Dashboard Items'!$C$2:$C$495,MATCH(E74,'Dashboard Items'!$A$2:$A$495,0)),"Level does not match ID")),"ID not found"))</f>
        <v>Recreation &amp; Community Programs</v>
      </c>
      <c r="G74" s="48" t="s">
        <v>252</v>
      </c>
      <c r="H74" s="47" t="str">
        <f>IF(G74="","",IF(ISNUMBER(SEARCH(",",G74)),"Several items (the script lists them)",IFERROR(INDEX('Dashboard Items'!$B$2:$B$495,MATCH(G74,'Dashboard Items'!$A$2:$A$495,0))&amp;": "&amp;INDEX('Dashboard Items'!$C$2:$C$495,MATCH(G74,'Dashboard Items'!$A$2:$A$495,0)),"ID not found")))</f>
        <v>Program: Vendor Management</v>
      </c>
      <c r="I74" s="45" t="s">
        <v>145</v>
      </c>
      <c r="J74" s="45">
        <v>2</v>
      </c>
      <c r="K74" s="45" t="s">
        <v>71</v>
      </c>
      <c r="L74" s="45" t="s">
        <v>72</v>
      </c>
      <c r="M74" s="45">
        <v>0</v>
      </c>
      <c r="N74" s="45">
        <v>0</v>
      </c>
      <c r="O74" s="45" t="s">
        <v>71</v>
      </c>
      <c r="P74" s="45" t="s">
        <v>126</v>
      </c>
      <c r="Q74" s="45" t="s">
        <v>225</v>
      </c>
      <c r="R74" s="45"/>
      <c r="S74" s="45"/>
      <c r="T74" s="45"/>
      <c r="U74" s="17" t="str">
        <f>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Counts in Key Service gauge</v>
      </c>
    </row>
    <row r="75" spans="1:21" s="44" customFormat="1" ht="15.75" customHeight="1" x14ac:dyDescent="0.2">
      <c r="A75" s="44" t="str">
        <f t="shared" si="2"/>
        <v>PROS</v>
      </c>
      <c r="B75" s="45" t="s">
        <v>253</v>
      </c>
      <c r="C75" s="46" t="s">
        <v>254</v>
      </c>
      <c r="D75" s="45" t="s">
        <v>85</v>
      </c>
      <c r="E75" s="45" t="s">
        <v>252</v>
      </c>
      <c r="F75" s="47" t="str">
        <f>IF(E75="","",IFERROR(IF(INDEX('Dashboard Items'!$B$2:$B$495,MATCH(E75,'Dashboard Items'!$A$2:$A$495,0))="Objective","Objectives go in the next column",IF(OR(D75="",INDEX('Dashboard Items'!$B$2:$B$495,MATCH(E75,'Dashboard Items'!$A$2:$A$495,0))=D75),INDEX('Dashboard Items'!$C$2:$C$495,MATCH(E75,'Dashboard Items'!$A$2:$A$495,0)),"Level does not match ID")),"ID not found"))</f>
        <v>Vendor Management</v>
      </c>
      <c r="G75" s="48"/>
      <c r="H75" s="47" t="str">
        <f>IF(G75="","",IF(ISNUMBER(SEARCH(",",G75)),"Several items (the script lists them)",IFERROR(INDEX('Dashboard Items'!$B$2:$B$495,MATCH(G75,'Dashboard Items'!$A$2:$A$495,0))&amp;": "&amp;INDEX('Dashboard Items'!$C$2:$C$495,MATCH(G75,'Dashboard Items'!$A$2:$A$495,0)),"ID not found")))</f>
        <v/>
      </c>
      <c r="I75" s="45" t="s">
        <v>145</v>
      </c>
      <c r="J75" s="45">
        <v>2</v>
      </c>
      <c r="K75" s="45" t="s">
        <v>71</v>
      </c>
      <c r="L75" s="45" t="s">
        <v>72</v>
      </c>
      <c r="M75" s="45">
        <v>0</v>
      </c>
      <c r="N75" s="45">
        <v>0</v>
      </c>
      <c r="O75" s="45" t="s">
        <v>71</v>
      </c>
      <c r="P75" s="45" t="s">
        <v>126</v>
      </c>
      <c r="Q75" s="45" t="s">
        <v>225</v>
      </c>
      <c r="R75" s="45"/>
      <c r="S75" s="45"/>
      <c r="T75" s="45"/>
      <c r="U75" s="17" t="str">
        <f>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pans="1:21" s="44" customFormat="1" ht="15.75" customHeight="1" x14ac:dyDescent="0.2">
      <c r="A76" s="44" t="str">
        <f t="shared" si="2"/>
        <v>PROS</v>
      </c>
      <c r="B76" s="45" t="s">
        <v>255</v>
      </c>
      <c r="C76" s="46" t="s">
        <v>256</v>
      </c>
      <c r="D76" s="45" t="s">
        <v>85</v>
      </c>
      <c r="E76" s="45" t="s">
        <v>252</v>
      </c>
      <c r="F76" s="47" t="str">
        <f>IF(E76="","",IFERROR(IF(INDEX('Dashboard Items'!$B$2:$B$495,MATCH(E76,'Dashboard Items'!$A$2:$A$495,0))="Objective","Objectives go in the next column",IF(OR(D76="",INDEX('Dashboard Items'!$B$2:$B$495,MATCH(E76,'Dashboard Items'!$A$2:$A$495,0))=D76),INDEX('Dashboard Items'!$C$2:$C$495,MATCH(E76,'Dashboard Items'!$A$2:$A$495,0)),"Level does not match ID")),"ID not found"))</f>
        <v>Vendor Management</v>
      </c>
      <c r="G76" s="48"/>
      <c r="H76" s="47" t="str">
        <f>IF(G76="","",IF(ISNUMBER(SEARCH(",",G76)),"Several items (the script lists them)",IFERROR(INDEX('Dashboard Items'!$B$2:$B$495,MATCH(G76,'Dashboard Items'!$A$2:$A$495,0))&amp;": "&amp;INDEX('Dashboard Items'!$C$2:$C$495,MATCH(G76,'Dashboard Items'!$A$2:$A$495,0)),"ID not found")))</f>
        <v/>
      </c>
      <c r="I76" s="45" t="s">
        <v>145</v>
      </c>
      <c r="J76" s="45">
        <v>2</v>
      </c>
      <c r="K76" s="45" t="s">
        <v>71</v>
      </c>
      <c r="L76" s="45" t="s">
        <v>72</v>
      </c>
      <c r="M76" s="45">
        <v>0</v>
      </c>
      <c r="N76" s="45">
        <v>0</v>
      </c>
      <c r="O76" s="45" t="s">
        <v>71</v>
      </c>
      <c r="P76" s="45" t="s">
        <v>126</v>
      </c>
      <c r="Q76" s="45" t="s">
        <v>225</v>
      </c>
      <c r="R76" s="45"/>
      <c r="S76" s="45"/>
      <c r="T76" s="45"/>
      <c r="U76" s="17" t="str">
        <f>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Sets Program status chip</v>
      </c>
    </row>
    <row r="77" spans="1:21" s="49" customFormat="1" ht="15.75" customHeight="1" x14ac:dyDescent="0.2">
      <c r="A77" s="49" t="str">
        <f t="shared" si="2"/>
        <v>PD</v>
      </c>
      <c r="B77" s="50" t="s">
        <v>257</v>
      </c>
      <c r="C77" s="51" t="s">
        <v>258</v>
      </c>
      <c r="D77" s="50" t="s">
        <v>67</v>
      </c>
      <c r="E77" s="50" t="s">
        <v>259</v>
      </c>
      <c r="F77" s="52" t="str">
        <f>IF(E77="","",IFERROR(IF(INDEX('Dashboard Items'!$B$2:$B$495,MATCH(E77,'Dashboard Items'!$A$2:$A$495,0))="Objective","Objectives go in the next column",IF(OR(D77="",INDEX('Dashboard Items'!$B$2:$B$495,MATCH(E77,'Dashboard Items'!$A$2:$A$495,0))=D77),INDEX('Dashboard Items'!$C$2:$C$495,MATCH(E77,'Dashboard Items'!$A$2:$A$495,0)),"Level does not match ID")),"ID not found"))</f>
        <v>Public Safety Services</v>
      </c>
      <c r="G77" s="53"/>
      <c r="H77" s="52" t="str">
        <f>IF(G77="","",IF(ISNUMBER(SEARCH(",",G77)),"Several items (the script lists them)",IFERROR(INDEX('Dashboard Items'!$B$2:$B$495,MATCH(G77,'Dashboard Items'!$A$2:$A$495,0))&amp;": "&amp;INDEX('Dashboard Items'!$C$2:$C$495,MATCH(G77,'Dashboard Items'!$A$2:$A$495,0)),"ID not found")))</f>
        <v/>
      </c>
      <c r="I77" s="50" t="s">
        <v>145</v>
      </c>
      <c r="J77" s="50">
        <v>2</v>
      </c>
      <c r="K77" s="50" t="s">
        <v>71</v>
      </c>
      <c r="L77" s="50" t="s">
        <v>72</v>
      </c>
      <c r="M77" s="50">
        <v>0</v>
      </c>
      <c r="N77" s="50">
        <v>0</v>
      </c>
      <c r="O77" s="50" t="s">
        <v>71</v>
      </c>
      <c r="P77" s="50" t="s">
        <v>126</v>
      </c>
      <c r="Q77" s="50" t="s">
        <v>260</v>
      </c>
      <c r="R77" s="50"/>
      <c r="S77" s="50"/>
      <c r="T77" s="50"/>
      <c r="U77" s="17" t="str">
        <f>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v>
      </c>
    </row>
    <row r="78" spans="1:21" s="49" customFormat="1" ht="15.75" customHeight="1" x14ac:dyDescent="0.2">
      <c r="A78" s="49" t="str">
        <f t="shared" si="2"/>
        <v>PD</v>
      </c>
      <c r="B78" s="50" t="s">
        <v>261</v>
      </c>
      <c r="C78" s="51" t="s">
        <v>262</v>
      </c>
      <c r="D78" s="50" t="s">
        <v>67</v>
      </c>
      <c r="E78" s="50" t="s">
        <v>259</v>
      </c>
      <c r="F78" s="52" t="str">
        <f>IF(E78="","",IFERROR(IF(INDEX('Dashboard Items'!$B$2:$B$495,MATCH(E78,'Dashboard Items'!$A$2:$A$495,0))="Objective","Objectives go in the next column",IF(OR(D78="",INDEX('Dashboard Items'!$B$2:$B$495,MATCH(E78,'Dashboard Items'!$A$2:$A$495,0))=D78),INDEX('Dashboard Items'!$C$2:$C$495,MATCH(E78,'Dashboard Items'!$A$2:$A$495,0)),"Level does not match ID")),"ID not found"))</f>
        <v>Public Safety Services</v>
      </c>
      <c r="G78" s="53"/>
      <c r="H78" s="52" t="str">
        <f>IF(G78="","",IF(ISNUMBER(SEARCH(",",G78)),"Several items (the script lists them)",IFERROR(INDEX('Dashboard Items'!$B$2:$B$495,MATCH(G78,'Dashboard Items'!$A$2:$A$495,0))&amp;": "&amp;INDEX('Dashboard Items'!$C$2:$C$495,MATCH(G78,'Dashboard Items'!$A$2:$A$495,0)),"ID not found")))</f>
        <v/>
      </c>
      <c r="I78" s="50" t="s">
        <v>145</v>
      </c>
      <c r="J78" s="50">
        <v>2</v>
      </c>
      <c r="K78" s="50" t="s">
        <v>71</v>
      </c>
      <c r="L78" s="50" t="s">
        <v>72</v>
      </c>
      <c r="M78" s="50">
        <v>0</v>
      </c>
      <c r="N78" s="50">
        <v>0</v>
      </c>
      <c r="O78" s="50" t="s">
        <v>71</v>
      </c>
      <c r="P78" s="50" t="s">
        <v>126</v>
      </c>
      <c r="Q78" s="50" t="s">
        <v>260</v>
      </c>
      <c r="R78" s="50"/>
      <c r="S78" s="50"/>
      <c r="T78" s="50"/>
      <c r="U78" s="17" t="str">
        <f>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v>
      </c>
    </row>
    <row r="79" spans="1:21" s="49" customFormat="1" ht="15.75" customHeight="1" x14ac:dyDescent="0.2">
      <c r="A79" s="49" t="str">
        <f t="shared" si="2"/>
        <v>PD</v>
      </c>
      <c r="B79" s="50" t="s">
        <v>263</v>
      </c>
      <c r="C79" s="51" t="s">
        <v>264</v>
      </c>
      <c r="D79" s="50" t="s">
        <v>67</v>
      </c>
      <c r="E79" s="50" t="s">
        <v>259</v>
      </c>
      <c r="F79" s="52" t="str">
        <f>IF(E79="","",IFERROR(IF(INDEX('Dashboard Items'!$B$2:$B$495,MATCH(E79,'Dashboard Items'!$A$2:$A$495,0))="Objective","Objectives go in the next column",IF(OR(D79="",INDEX('Dashboard Items'!$B$2:$B$495,MATCH(E79,'Dashboard Items'!$A$2:$A$495,0))=D79),INDEX('Dashboard Items'!$C$2:$C$495,MATCH(E79,'Dashboard Items'!$A$2:$A$495,0)),"Level does not match ID")),"ID not found"))</f>
        <v>Public Safety Services</v>
      </c>
      <c r="G79" s="53"/>
      <c r="H79" s="52" t="str">
        <f>IF(G79="","",IF(ISNUMBER(SEARCH(",",G79)),"Several items (the script lists them)",IFERROR(INDEX('Dashboard Items'!$B$2:$B$495,MATCH(G79,'Dashboard Items'!$A$2:$A$495,0))&amp;": "&amp;INDEX('Dashboard Items'!$C$2:$C$495,MATCH(G79,'Dashboard Items'!$A$2:$A$495,0)),"ID not found")))</f>
        <v/>
      </c>
      <c r="I79" s="50" t="s">
        <v>145</v>
      </c>
      <c r="J79" s="50">
        <v>2</v>
      </c>
      <c r="K79" s="50" t="s">
        <v>71</v>
      </c>
      <c r="L79" s="50" t="s">
        <v>72</v>
      </c>
      <c r="M79" s="50">
        <v>0</v>
      </c>
      <c r="N79" s="50">
        <v>0</v>
      </c>
      <c r="O79" s="50" t="s">
        <v>71</v>
      </c>
      <c r="P79" s="50" t="s">
        <v>126</v>
      </c>
      <c r="Q79" s="50" t="s">
        <v>260</v>
      </c>
      <c r="R79" s="50"/>
      <c r="S79" s="50"/>
      <c r="T79" s="50"/>
      <c r="U79" s="17" t="str">
        <f>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pans="1:21" s="49" customFormat="1" ht="15.75" customHeight="1" x14ac:dyDescent="0.2">
      <c r="A80" s="49" t="str">
        <f t="shared" si="2"/>
        <v>PD</v>
      </c>
      <c r="B80" s="50" t="s">
        <v>265</v>
      </c>
      <c r="C80" s="51" t="s">
        <v>266</v>
      </c>
      <c r="D80" s="50" t="s">
        <v>67</v>
      </c>
      <c r="E80" s="50" t="s">
        <v>259</v>
      </c>
      <c r="F80" s="52" t="str">
        <f>IF(E80="","",IFERROR(IF(INDEX('Dashboard Items'!$B$2:$B$495,MATCH(E80,'Dashboard Items'!$A$2:$A$495,0))="Objective","Objectives go in the next column",IF(OR(D80="",INDEX('Dashboard Items'!$B$2:$B$495,MATCH(E80,'Dashboard Items'!$A$2:$A$495,0))=D80),INDEX('Dashboard Items'!$C$2:$C$495,MATCH(E80,'Dashboard Items'!$A$2:$A$495,0)),"Level does not match ID")),"ID not found"))</f>
        <v>Public Safety Services</v>
      </c>
      <c r="G80" s="53" t="s">
        <v>267</v>
      </c>
      <c r="H80" s="52" t="str">
        <f>IF(G80="","",IF(ISNUMBER(SEARCH(",",G80)),"Several items (the script lists them)",IFERROR(INDEX('Dashboard Items'!$B$2:$B$495,MATCH(G80,'Dashboard Items'!$A$2:$A$495,0))&amp;": "&amp;INDEX('Dashboard Items'!$C$2:$C$495,MATCH(G80,'Dashboard Items'!$A$2:$A$495,0)),"ID not found")))</f>
        <v>Several items (the script lists them)</v>
      </c>
      <c r="I80" s="50" t="s">
        <v>145</v>
      </c>
      <c r="J80" s="50">
        <v>2</v>
      </c>
      <c r="K80" s="50" t="s">
        <v>71</v>
      </c>
      <c r="L80" s="50" t="s">
        <v>72</v>
      </c>
      <c r="M80" s="50">
        <v>0</v>
      </c>
      <c r="N80" s="50">
        <v>0</v>
      </c>
      <c r="O80" s="50" t="s">
        <v>71</v>
      </c>
      <c r="P80" s="50" t="s">
        <v>126</v>
      </c>
      <c r="Q80" s="50" t="s">
        <v>260</v>
      </c>
      <c r="R80" s="50"/>
      <c r="S80" s="50"/>
      <c r="T80" s="50"/>
      <c r="U80" s="17" t="str">
        <f>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Counts in Key Service gauge</v>
      </c>
    </row>
    <row r="81" spans="1:21" s="49" customFormat="1" ht="15.75" customHeight="1" x14ac:dyDescent="0.2">
      <c r="A81" s="49" t="str">
        <f t="shared" si="2"/>
        <v>PD</v>
      </c>
      <c r="B81" s="50" t="s">
        <v>268</v>
      </c>
      <c r="C81" s="51" t="s">
        <v>269</v>
      </c>
      <c r="D81" s="50" t="s">
        <v>67</v>
      </c>
      <c r="E81" s="50" t="s">
        <v>259</v>
      </c>
      <c r="F81" s="52" t="str">
        <f>IF(E81="","",IFERROR(IF(INDEX('Dashboard Items'!$B$2:$B$495,MATCH(E81,'Dashboard Items'!$A$2:$A$495,0))="Objective","Objectives go in the next column",IF(OR(D81="",INDEX('Dashboard Items'!$B$2:$B$495,MATCH(E81,'Dashboard Items'!$A$2:$A$495,0))=D81),INDEX('Dashboard Items'!$C$2:$C$495,MATCH(E81,'Dashboard Items'!$A$2:$A$495,0)),"Level does not match ID")),"ID not found"))</f>
        <v>Public Safety Services</v>
      </c>
      <c r="G81" s="53"/>
      <c r="H81" s="52" t="str">
        <f>IF(G81="","",IF(ISNUMBER(SEARCH(",",G81)),"Several items (the script lists them)",IFERROR(INDEX('Dashboard Items'!$B$2:$B$495,MATCH(G81,'Dashboard Items'!$A$2:$A$495,0))&amp;": "&amp;INDEX('Dashboard Items'!$C$2:$C$495,MATCH(G81,'Dashboard Items'!$A$2:$A$495,0)),"ID not found")))</f>
        <v/>
      </c>
      <c r="I81" s="50" t="s">
        <v>145</v>
      </c>
      <c r="J81" s="50">
        <v>2</v>
      </c>
      <c r="K81" s="50" t="s">
        <v>71</v>
      </c>
      <c r="L81" s="50" t="s">
        <v>72</v>
      </c>
      <c r="M81" s="50">
        <v>0</v>
      </c>
      <c r="N81" s="50">
        <v>0</v>
      </c>
      <c r="O81" s="50" t="s">
        <v>71</v>
      </c>
      <c r="P81" s="50" t="s">
        <v>126</v>
      </c>
      <c r="Q81" s="50" t="s">
        <v>260</v>
      </c>
      <c r="R81" s="50"/>
      <c r="S81" s="50"/>
      <c r="T81" s="50"/>
      <c r="U81" s="17" t="str">
        <f>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Counts in Key Service gauge</v>
      </c>
    </row>
    <row r="82" spans="1:21" s="49" customFormat="1" ht="15.75" customHeight="1" x14ac:dyDescent="0.2">
      <c r="A82" s="49" t="str">
        <f t="shared" si="2"/>
        <v>PD</v>
      </c>
      <c r="B82" s="50" t="s">
        <v>270</v>
      </c>
      <c r="C82" s="51" t="s">
        <v>271</v>
      </c>
      <c r="D82" s="50" t="s">
        <v>67</v>
      </c>
      <c r="E82" s="50" t="s">
        <v>259</v>
      </c>
      <c r="F82" s="52" t="str">
        <f>IF(E82="","",IFERROR(IF(INDEX('Dashboard Items'!$B$2:$B$495,MATCH(E82,'Dashboard Items'!$A$2:$A$495,0))="Objective","Objectives go in the next column",IF(OR(D82="",INDEX('Dashboard Items'!$B$2:$B$495,MATCH(E82,'Dashboard Items'!$A$2:$A$495,0))=D82),INDEX('Dashboard Items'!$C$2:$C$495,MATCH(E82,'Dashboard Items'!$A$2:$A$495,0)),"Level does not match ID")),"ID not found"))</f>
        <v>Public Safety Services</v>
      </c>
      <c r="G82" s="53"/>
      <c r="H82" s="52" t="str">
        <f>IF(G82="","",IF(ISNUMBER(SEARCH(",",G82)),"Several items (the script lists them)",IFERROR(INDEX('Dashboard Items'!$B$2:$B$495,MATCH(G82,'Dashboard Items'!$A$2:$A$495,0))&amp;": "&amp;INDEX('Dashboard Items'!$C$2:$C$495,MATCH(G82,'Dashboard Items'!$A$2:$A$495,0)),"ID not found")))</f>
        <v/>
      </c>
      <c r="I82" s="50" t="s">
        <v>145</v>
      </c>
      <c r="J82" s="50">
        <v>2</v>
      </c>
      <c r="K82" s="50" t="s">
        <v>71</v>
      </c>
      <c r="L82" s="50" t="s">
        <v>72</v>
      </c>
      <c r="M82" s="50">
        <v>0</v>
      </c>
      <c r="N82" s="50">
        <v>0</v>
      </c>
      <c r="O82" s="50" t="s">
        <v>71</v>
      </c>
      <c r="P82" s="50" t="s">
        <v>126</v>
      </c>
      <c r="Q82" s="50" t="s">
        <v>260</v>
      </c>
      <c r="R82" s="50"/>
      <c r="S82" s="50"/>
      <c r="T82" s="50"/>
      <c r="U82" s="17" t="str">
        <f>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Counts in Key Service gauge</v>
      </c>
    </row>
    <row r="83" spans="1:21" s="49" customFormat="1" ht="15.75" customHeight="1" x14ac:dyDescent="0.2">
      <c r="A83" s="49" t="str">
        <f t="shared" si="2"/>
        <v>PD</v>
      </c>
      <c r="B83" s="50" t="s">
        <v>272</v>
      </c>
      <c r="C83" s="51" t="s">
        <v>273</v>
      </c>
      <c r="D83" s="50" t="s">
        <v>85</v>
      </c>
      <c r="E83" s="50" t="s">
        <v>274</v>
      </c>
      <c r="F83" s="52" t="str">
        <f>IF(E83="","",IFERROR(IF(INDEX('Dashboard Items'!$B$2:$B$495,MATCH(E83,'Dashboard Items'!$A$2:$A$495,0))="Objective","Objectives go in the next column",IF(OR(D83="",INDEX('Dashboard Items'!$B$2:$B$495,MATCH(E83,'Dashboard Items'!$A$2:$A$495,0))=D83),INDEX('Dashboard Items'!$C$2:$C$495,MATCH(E83,'Dashboard Items'!$A$2:$A$495,0)),"Level does not match ID")),"ID not found"))</f>
        <v>Aircraft Rescue and Firefighting</v>
      </c>
      <c r="G83" s="53"/>
      <c r="H83" s="52" t="str">
        <f>IF(G83="","",IF(ISNUMBER(SEARCH(",",G83)),"Several items (the script lists them)",IFERROR(INDEX('Dashboard Items'!$B$2:$B$495,MATCH(G83,'Dashboard Items'!$A$2:$A$495,0))&amp;": "&amp;INDEX('Dashboard Items'!$C$2:$C$495,MATCH(G83,'Dashboard Items'!$A$2:$A$495,0)),"ID not found")))</f>
        <v/>
      </c>
      <c r="I83" s="50" t="s">
        <v>145</v>
      </c>
      <c r="J83" s="50">
        <v>2</v>
      </c>
      <c r="K83" s="50" t="s">
        <v>71</v>
      </c>
      <c r="L83" s="50" t="s">
        <v>72</v>
      </c>
      <c r="M83" s="50">
        <v>0</v>
      </c>
      <c r="N83" s="50">
        <v>0</v>
      </c>
      <c r="O83" s="50" t="s">
        <v>71</v>
      </c>
      <c r="P83" s="50" t="s">
        <v>126</v>
      </c>
      <c r="Q83" s="50" t="s">
        <v>260</v>
      </c>
      <c r="R83" s="50"/>
      <c r="S83" s="50"/>
      <c r="T83" s="50"/>
      <c r="U83" s="17" t="str">
        <f>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pans="1:21" s="49" customFormat="1" ht="15.75" customHeight="1" x14ac:dyDescent="0.2">
      <c r="A84" s="49" t="str">
        <f t="shared" si="2"/>
        <v>PD</v>
      </c>
      <c r="B84" s="50" t="s">
        <v>275</v>
      </c>
      <c r="C84" s="51" t="s">
        <v>276</v>
      </c>
      <c r="D84" s="50" t="s">
        <v>85</v>
      </c>
      <c r="E84" s="50" t="s">
        <v>274</v>
      </c>
      <c r="F84" s="52" t="str">
        <f>IF(E84="","",IFERROR(IF(INDEX('Dashboard Items'!$B$2:$B$495,MATCH(E84,'Dashboard Items'!$A$2:$A$495,0))="Objective","Objectives go in the next column",IF(OR(D84="",INDEX('Dashboard Items'!$B$2:$B$495,MATCH(E84,'Dashboard Items'!$A$2:$A$495,0))=D84),INDEX('Dashboard Items'!$C$2:$C$495,MATCH(E84,'Dashboard Items'!$A$2:$A$495,0)),"Level does not match ID")),"ID not found"))</f>
        <v>Aircraft Rescue and Firefighting</v>
      </c>
      <c r="G84" s="53"/>
      <c r="H84" s="52" t="str">
        <f>IF(G84="","",IF(ISNUMBER(SEARCH(",",G84)),"Several items (the script lists them)",IFERROR(INDEX('Dashboard Items'!$B$2:$B$495,MATCH(G84,'Dashboard Items'!$A$2:$A$495,0))&amp;": "&amp;INDEX('Dashboard Items'!$C$2:$C$495,MATCH(G84,'Dashboard Items'!$A$2:$A$495,0)),"ID not found")))</f>
        <v/>
      </c>
      <c r="I84" s="50" t="s">
        <v>145</v>
      </c>
      <c r="J84" s="50">
        <v>2</v>
      </c>
      <c r="K84" s="50" t="s">
        <v>71</v>
      </c>
      <c r="L84" s="50" t="s">
        <v>72</v>
      </c>
      <c r="M84" s="50">
        <v>0</v>
      </c>
      <c r="N84" s="50">
        <v>0</v>
      </c>
      <c r="O84" s="50" t="s">
        <v>71</v>
      </c>
      <c r="P84" s="50" t="s">
        <v>126</v>
      </c>
      <c r="Q84" s="50" t="s">
        <v>260</v>
      </c>
      <c r="R84" s="50"/>
      <c r="S84" s="50"/>
      <c r="T84" s="50"/>
      <c r="U84" s="17" t="str">
        <f>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Sets Program status chip</v>
      </c>
    </row>
    <row r="85" spans="1:21" s="49" customFormat="1" ht="15.75" customHeight="1" x14ac:dyDescent="0.2">
      <c r="A85" s="49" t="str">
        <f t="shared" si="2"/>
        <v>PD</v>
      </c>
      <c r="B85" s="50" t="s">
        <v>277</v>
      </c>
      <c r="C85" s="51" t="s">
        <v>278</v>
      </c>
      <c r="D85" s="50" t="s">
        <v>85</v>
      </c>
      <c r="E85" s="50" t="s">
        <v>274</v>
      </c>
      <c r="F85" s="52" t="str">
        <f>IF(E85="","",IFERROR(IF(INDEX('Dashboard Items'!$B$2:$B$495,MATCH(E85,'Dashboard Items'!$A$2:$A$495,0))="Objective","Objectives go in the next column",IF(OR(D85="",INDEX('Dashboard Items'!$B$2:$B$495,MATCH(E85,'Dashboard Items'!$A$2:$A$495,0))=D85),INDEX('Dashboard Items'!$C$2:$C$495,MATCH(E85,'Dashboard Items'!$A$2:$A$495,0)),"Level does not match ID")),"ID not found"))</f>
        <v>Aircraft Rescue and Firefighting</v>
      </c>
      <c r="G85" s="53"/>
      <c r="H85" s="52" t="str">
        <f>IF(G85="","",IF(ISNUMBER(SEARCH(",",G85)),"Several items (the script lists them)",IFERROR(INDEX('Dashboard Items'!$B$2:$B$495,MATCH(G85,'Dashboard Items'!$A$2:$A$495,0))&amp;": "&amp;INDEX('Dashboard Items'!$C$2:$C$495,MATCH(G85,'Dashboard Items'!$A$2:$A$495,0)),"ID not found")))</f>
        <v/>
      </c>
      <c r="I85" s="50" t="s">
        <v>145</v>
      </c>
      <c r="J85" s="50">
        <v>2</v>
      </c>
      <c r="K85" s="50" t="s">
        <v>71</v>
      </c>
      <c r="L85" s="50" t="s">
        <v>72</v>
      </c>
      <c r="M85" s="50">
        <v>0</v>
      </c>
      <c r="N85" s="50">
        <v>0</v>
      </c>
      <c r="O85" s="50" t="s">
        <v>71</v>
      </c>
      <c r="P85" s="50" t="s">
        <v>126</v>
      </c>
      <c r="Q85" s="50" t="s">
        <v>260</v>
      </c>
      <c r="R85" s="50"/>
      <c r="S85" s="50"/>
      <c r="T85" s="50"/>
      <c r="U85" s="17" t="str">
        <f>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pans="1:21" s="49" customFormat="1" ht="15.75" customHeight="1" x14ac:dyDescent="0.2">
      <c r="A86" s="49" t="str">
        <f t="shared" si="2"/>
        <v>PD</v>
      </c>
      <c r="B86" s="50" t="s">
        <v>279</v>
      </c>
      <c r="C86" s="51" t="s">
        <v>280</v>
      </c>
      <c r="D86" s="50" t="s">
        <v>85</v>
      </c>
      <c r="E86" s="50" t="s">
        <v>274</v>
      </c>
      <c r="F86" s="52" t="str">
        <f>IF(E86="","",IFERROR(IF(INDEX('Dashboard Items'!$B$2:$B$495,MATCH(E86,'Dashboard Items'!$A$2:$A$495,0))="Objective","Objectives go in the next column",IF(OR(D86="",INDEX('Dashboard Items'!$B$2:$B$495,MATCH(E86,'Dashboard Items'!$A$2:$A$495,0))=D86),INDEX('Dashboard Items'!$C$2:$C$495,MATCH(E86,'Dashboard Items'!$A$2:$A$495,0)),"Level does not match ID")),"ID not found"))</f>
        <v>Aircraft Rescue and Firefighting</v>
      </c>
      <c r="G86" s="53"/>
      <c r="H86" s="52" t="str">
        <f>IF(G86="","",IF(ISNUMBER(SEARCH(",",G86)),"Several items (the script lists them)",IFERROR(INDEX('Dashboard Items'!$B$2:$B$495,MATCH(G86,'Dashboard Items'!$A$2:$A$495,0))&amp;": "&amp;INDEX('Dashboard Items'!$C$2:$C$495,MATCH(G86,'Dashboard Items'!$A$2:$A$495,0)),"ID not found")))</f>
        <v/>
      </c>
      <c r="I86" s="50" t="s">
        <v>145</v>
      </c>
      <c r="J86" s="50">
        <v>2</v>
      </c>
      <c r="K86" s="50" t="s">
        <v>71</v>
      </c>
      <c r="L86" s="50" t="s">
        <v>72</v>
      </c>
      <c r="M86" s="50">
        <v>0</v>
      </c>
      <c r="N86" s="50">
        <v>0</v>
      </c>
      <c r="O86" s="50" t="s">
        <v>71</v>
      </c>
      <c r="P86" s="50" t="s">
        <v>126</v>
      </c>
      <c r="Q86" s="50" t="s">
        <v>260</v>
      </c>
      <c r="R86" s="50"/>
      <c r="S86" s="50"/>
      <c r="T86" s="50"/>
      <c r="U86" s="17" t="str">
        <f>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pans="1:21" s="49" customFormat="1" ht="15.75" customHeight="1" x14ac:dyDescent="0.2">
      <c r="A87" s="49" t="str">
        <f t="shared" si="2"/>
        <v>PD</v>
      </c>
      <c r="B87" s="50" t="s">
        <v>281</v>
      </c>
      <c r="C87" s="51" t="s">
        <v>282</v>
      </c>
      <c r="D87" s="50" t="s">
        <v>85</v>
      </c>
      <c r="E87" s="50" t="s">
        <v>274</v>
      </c>
      <c r="F87" s="52" t="str">
        <f>IF(E87="","",IFERROR(IF(INDEX('Dashboard Items'!$B$2:$B$495,MATCH(E87,'Dashboard Items'!$A$2:$A$495,0))="Objective","Objectives go in the next column",IF(OR(D87="",INDEX('Dashboard Items'!$B$2:$B$495,MATCH(E87,'Dashboard Items'!$A$2:$A$495,0))=D87),INDEX('Dashboard Items'!$C$2:$C$495,MATCH(E87,'Dashboard Items'!$A$2:$A$495,0)),"Level does not match ID")),"ID not found"))</f>
        <v>Aircraft Rescue and Firefighting</v>
      </c>
      <c r="G87" s="53"/>
      <c r="H87" s="52" t="str">
        <f>IF(G87="","",IF(ISNUMBER(SEARCH(",",G87)),"Several items (the script lists them)",IFERROR(INDEX('Dashboard Items'!$B$2:$B$495,MATCH(G87,'Dashboard Items'!$A$2:$A$495,0))&amp;": "&amp;INDEX('Dashboard Items'!$C$2:$C$495,MATCH(G87,'Dashboard Items'!$A$2:$A$495,0)),"ID not found")))</f>
        <v/>
      </c>
      <c r="I87" s="50" t="s">
        <v>145</v>
      </c>
      <c r="J87" s="50">
        <v>2</v>
      </c>
      <c r="K87" s="50" t="s">
        <v>71</v>
      </c>
      <c r="L87" s="50" t="s">
        <v>72</v>
      </c>
      <c r="M87" s="50">
        <v>0</v>
      </c>
      <c r="N87" s="50">
        <v>0</v>
      </c>
      <c r="O87" s="50" t="s">
        <v>71</v>
      </c>
      <c r="P87" s="50" t="s">
        <v>126</v>
      </c>
      <c r="Q87" s="50" t="s">
        <v>260</v>
      </c>
      <c r="R87" s="50"/>
      <c r="S87" s="50"/>
      <c r="T87" s="50"/>
      <c r="U87" s="17" t="str">
        <f>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Sets Program status chip</v>
      </c>
    </row>
    <row r="88" spans="1:21" s="49" customFormat="1" ht="15.75" customHeight="1" x14ac:dyDescent="0.2">
      <c r="A88" s="49" t="str">
        <f t="shared" si="2"/>
        <v>PD</v>
      </c>
      <c r="B88" s="50" t="s">
        <v>283</v>
      </c>
      <c r="C88" s="51" t="s">
        <v>284</v>
      </c>
      <c r="D88" s="50" t="s">
        <v>85</v>
      </c>
      <c r="E88" s="50" t="s">
        <v>285</v>
      </c>
      <c r="F88" s="52" t="str">
        <f>IF(E88="","",IFERROR(IF(INDEX('Dashboard Items'!$B$2:$B$495,MATCH(E88,'Dashboard Items'!$A$2:$A$495,0))="Objective","Objectives go in the next column",IF(OR(D88="",INDEX('Dashboard Items'!$B$2:$B$495,MATCH(E88,'Dashboard Items'!$A$2:$A$495,0))=D88),INDEX('Dashboard Items'!$C$2:$C$495,MATCH(E88,'Dashboard Items'!$A$2:$A$495,0)),"Level does not match ID")),"ID not found"))</f>
        <v>Police Patrol</v>
      </c>
      <c r="G88" s="53"/>
      <c r="H88" s="52" t="str">
        <f>IF(G88="","",IF(ISNUMBER(SEARCH(",",G88)),"Several items (the script lists them)",IFERROR(INDEX('Dashboard Items'!$B$2:$B$495,MATCH(G88,'Dashboard Items'!$A$2:$A$495,0))&amp;": "&amp;INDEX('Dashboard Items'!$C$2:$C$495,MATCH(G88,'Dashboard Items'!$A$2:$A$495,0)),"ID not found")))</f>
        <v/>
      </c>
      <c r="I88" s="50" t="s">
        <v>145</v>
      </c>
      <c r="J88" s="50">
        <v>2</v>
      </c>
      <c r="K88" s="50" t="s">
        <v>71</v>
      </c>
      <c r="L88" s="50" t="s">
        <v>72</v>
      </c>
      <c r="M88" s="50">
        <v>0</v>
      </c>
      <c r="N88" s="50">
        <v>0</v>
      </c>
      <c r="O88" s="50" t="s">
        <v>71</v>
      </c>
      <c r="P88" s="50" t="s">
        <v>126</v>
      </c>
      <c r="Q88" s="50" t="s">
        <v>260</v>
      </c>
      <c r="R88" s="50"/>
      <c r="S88" s="50"/>
      <c r="T88" s="50"/>
      <c r="U88" s="17" t="str">
        <f>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pans="1:21" s="49" customFormat="1" ht="15.75" customHeight="1" x14ac:dyDescent="0.2">
      <c r="A89" s="49" t="str">
        <f t="shared" si="2"/>
        <v>PD</v>
      </c>
      <c r="B89" s="50" t="s">
        <v>286</v>
      </c>
      <c r="C89" s="51" t="s">
        <v>287</v>
      </c>
      <c r="D89" s="50" t="s">
        <v>85</v>
      </c>
      <c r="E89" s="50" t="s">
        <v>285</v>
      </c>
      <c r="F89" s="52" t="str">
        <f>IF(E89="","",IFERROR(IF(INDEX('Dashboard Items'!$B$2:$B$495,MATCH(E89,'Dashboard Items'!$A$2:$A$495,0))="Objective","Objectives go in the next column",IF(OR(D89="",INDEX('Dashboard Items'!$B$2:$B$495,MATCH(E89,'Dashboard Items'!$A$2:$A$495,0))=D89),INDEX('Dashboard Items'!$C$2:$C$495,MATCH(E89,'Dashboard Items'!$A$2:$A$495,0)),"Level does not match ID")),"ID not found"))</f>
        <v>Police Patrol</v>
      </c>
      <c r="G89" s="53"/>
      <c r="H89" s="52" t="str">
        <f>IF(G89="","",IF(ISNUMBER(SEARCH(",",G89)),"Several items (the script lists them)",IFERROR(INDEX('Dashboard Items'!$B$2:$B$495,MATCH(G89,'Dashboard Items'!$A$2:$A$495,0))&amp;": "&amp;INDEX('Dashboard Items'!$C$2:$C$495,MATCH(G89,'Dashboard Items'!$A$2:$A$495,0)),"ID not found")))</f>
        <v/>
      </c>
      <c r="I89" s="50" t="s">
        <v>145</v>
      </c>
      <c r="J89" s="50">
        <v>2</v>
      </c>
      <c r="K89" s="50" t="s">
        <v>71</v>
      </c>
      <c r="L89" s="50" t="s">
        <v>72</v>
      </c>
      <c r="M89" s="50">
        <v>0</v>
      </c>
      <c r="N89" s="50">
        <v>0</v>
      </c>
      <c r="O89" s="50" t="s">
        <v>71</v>
      </c>
      <c r="P89" s="50" t="s">
        <v>126</v>
      </c>
      <c r="Q89" s="50" t="s">
        <v>260</v>
      </c>
      <c r="R89" s="50"/>
      <c r="S89" s="50"/>
      <c r="T89" s="50"/>
      <c r="U89" s="17" t="str">
        <f>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Sets Program status chip</v>
      </c>
    </row>
    <row r="90" spans="1:21" s="49" customFormat="1" ht="15.75" customHeight="1" x14ac:dyDescent="0.2">
      <c r="A90" s="49" t="str">
        <f t="shared" si="2"/>
        <v>PD</v>
      </c>
      <c r="B90" s="50" t="s">
        <v>288</v>
      </c>
      <c r="C90" s="51" t="s">
        <v>289</v>
      </c>
      <c r="D90" s="50" t="s">
        <v>85</v>
      </c>
      <c r="E90" s="50" t="s">
        <v>285</v>
      </c>
      <c r="F90" s="52" t="str">
        <f>IF(E90="","",IFERROR(IF(INDEX('Dashboard Items'!$B$2:$B$495,MATCH(E90,'Dashboard Items'!$A$2:$A$495,0))="Objective","Objectives go in the next column",IF(OR(D90="",INDEX('Dashboard Items'!$B$2:$B$495,MATCH(E90,'Dashboard Items'!$A$2:$A$495,0))=D90),INDEX('Dashboard Items'!$C$2:$C$495,MATCH(E90,'Dashboard Items'!$A$2:$A$495,0)),"Level does not match ID")),"ID not found"))</f>
        <v>Police Patrol</v>
      </c>
      <c r="G90" s="53"/>
      <c r="H90" s="52" t="str">
        <f>IF(G90="","",IF(ISNUMBER(SEARCH(",",G90)),"Several items (the script lists them)",IFERROR(INDEX('Dashboard Items'!$B$2:$B$495,MATCH(G90,'Dashboard Items'!$A$2:$A$495,0))&amp;": "&amp;INDEX('Dashboard Items'!$C$2:$C$495,MATCH(G90,'Dashboard Items'!$A$2:$A$495,0)),"ID not found")))</f>
        <v/>
      </c>
      <c r="I90" s="50" t="s">
        <v>145</v>
      </c>
      <c r="J90" s="50">
        <v>2</v>
      </c>
      <c r="K90" s="50" t="s">
        <v>71</v>
      </c>
      <c r="L90" s="50" t="s">
        <v>72</v>
      </c>
      <c r="M90" s="50">
        <v>0</v>
      </c>
      <c r="N90" s="50">
        <v>0</v>
      </c>
      <c r="O90" s="50" t="s">
        <v>71</v>
      </c>
      <c r="P90" s="50" t="s">
        <v>126</v>
      </c>
      <c r="Q90" s="50" t="s">
        <v>260</v>
      </c>
      <c r="R90" s="50"/>
      <c r="S90" s="50"/>
      <c r="T90" s="50"/>
      <c r="U90" s="17" t="str">
        <f>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Sets Program status chip</v>
      </c>
    </row>
    <row r="91" spans="1:21" s="49" customFormat="1" ht="15.75" customHeight="1" x14ac:dyDescent="0.2">
      <c r="A91" s="49" t="str">
        <f t="shared" si="2"/>
        <v>PD</v>
      </c>
      <c r="B91" s="50" t="s">
        <v>290</v>
      </c>
      <c r="C91" s="51" t="s">
        <v>291</v>
      </c>
      <c r="D91" s="50" t="s">
        <v>85</v>
      </c>
      <c r="E91" s="50" t="s">
        <v>285</v>
      </c>
      <c r="F91" s="52" t="str">
        <f>IF(E91="","",IFERROR(IF(INDEX('Dashboard Items'!$B$2:$B$495,MATCH(E91,'Dashboard Items'!$A$2:$A$495,0))="Objective","Objectives go in the next column",IF(OR(D91="",INDEX('Dashboard Items'!$B$2:$B$495,MATCH(E91,'Dashboard Items'!$A$2:$A$495,0))=D91),INDEX('Dashboard Items'!$C$2:$C$495,MATCH(E91,'Dashboard Items'!$A$2:$A$495,0)),"Level does not match ID")),"ID not found"))</f>
        <v>Police Patrol</v>
      </c>
      <c r="G91" s="53"/>
      <c r="H91" s="52" t="str">
        <f>IF(G91="","",IF(ISNUMBER(SEARCH(",",G91)),"Several items (the script lists them)",IFERROR(INDEX('Dashboard Items'!$B$2:$B$495,MATCH(G91,'Dashboard Items'!$A$2:$A$495,0))&amp;": "&amp;INDEX('Dashboard Items'!$C$2:$C$495,MATCH(G91,'Dashboard Items'!$A$2:$A$495,0)),"ID not found")))</f>
        <v/>
      </c>
      <c r="I91" s="50" t="s">
        <v>145</v>
      </c>
      <c r="J91" s="50">
        <v>2</v>
      </c>
      <c r="K91" s="50" t="s">
        <v>71</v>
      </c>
      <c r="L91" s="50" t="s">
        <v>72</v>
      </c>
      <c r="M91" s="50">
        <v>0</v>
      </c>
      <c r="N91" s="50">
        <v>0</v>
      </c>
      <c r="O91" s="50" t="s">
        <v>71</v>
      </c>
      <c r="P91" s="50" t="s">
        <v>126</v>
      </c>
      <c r="Q91" s="50" t="s">
        <v>260</v>
      </c>
      <c r="R91" s="50"/>
      <c r="S91" s="50"/>
      <c r="T91" s="50"/>
      <c r="U91" s="17" t="str">
        <f>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pans="1:21" s="49" customFormat="1" ht="15.75" customHeight="1" x14ac:dyDescent="0.2">
      <c r="A92" s="49" t="str">
        <f t="shared" si="2"/>
        <v>PD</v>
      </c>
      <c r="B92" s="50" t="s">
        <v>292</v>
      </c>
      <c r="C92" s="51" t="s">
        <v>293</v>
      </c>
      <c r="D92" s="50" t="s">
        <v>85</v>
      </c>
      <c r="E92" s="53" t="s">
        <v>294</v>
      </c>
      <c r="F92" s="52" t="str">
        <f>IF(E92="","",IFERROR(IF(INDEX('Dashboard Items'!$B$2:$B$495,MATCH(E92,'Dashboard Items'!$A$2:$A$495,0))="Objective","Objectives go in the next column",IF(OR(D92="",INDEX('Dashboard Items'!$B$2:$B$495,MATCH(E92,'Dashboard Items'!$A$2:$A$495,0))=D92),INDEX('Dashboard Items'!$C$2:$C$495,MATCH(E92,'Dashboard Items'!$A$2:$A$495,0)),"Level does not match ID")),"ID not found"))</f>
        <v>Administrative Public Safety Services</v>
      </c>
      <c r="G92" s="53"/>
      <c r="H92" s="52" t="str">
        <f>IF(G92="","",IF(ISNUMBER(SEARCH(",",G92)),"Several items (the script lists them)",IFERROR(INDEX('Dashboard Items'!$B$2:$B$495,MATCH(G92,'Dashboard Items'!$A$2:$A$495,0))&amp;": "&amp;INDEX('Dashboard Items'!$C$2:$C$495,MATCH(G92,'Dashboard Items'!$A$2:$A$495,0)),"ID not found")))</f>
        <v/>
      </c>
      <c r="I92" s="50" t="s">
        <v>145</v>
      </c>
      <c r="J92" s="50">
        <v>2</v>
      </c>
      <c r="K92" s="50" t="s">
        <v>71</v>
      </c>
      <c r="L92" s="50" t="s">
        <v>72</v>
      </c>
      <c r="M92" s="50">
        <v>0</v>
      </c>
      <c r="N92" s="50">
        <v>0</v>
      </c>
      <c r="O92" s="50" t="s">
        <v>71</v>
      </c>
      <c r="P92" s="50" t="s">
        <v>126</v>
      </c>
      <c r="Q92" s="50" t="s">
        <v>260</v>
      </c>
      <c r="R92" s="50"/>
      <c r="S92" s="50"/>
      <c r="T92" s="50"/>
      <c r="U92" s="17" t="str">
        <f>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Sets Program status chip</v>
      </c>
    </row>
    <row r="93" spans="1:21" s="49" customFormat="1" ht="15.75" customHeight="1" x14ac:dyDescent="0.2">
      <c r="A93" s="49" t="str">
        <f t="shared" si="2"/>
        <v>PD</v>
      </c>
      <c r="B93" s="50" t="s">
        <v>295</v>
      </c>
      <c r="C93" s="51" t="s">
        <v>296</v>
      </c>
      <c r="D93" s="50" t="s">
        <v>85</v>
      </c>
      <c r="E93" s="53" t="s">
        <v>294</v>
      </c>
      <c r="F93" s="52" t="str">
        <f>IF(E93="","",IFERROR(IF(INDEX('Dashboard Items'!$B$2:$B$495,MATCH(E93,'Dashboard Items'!$A$2:$A$495,0))="Objective","Objectives go in the next column",IF(OR(D93="",INDEX('Dashboard Items'!$B$2:$B$495,MATCH(E93,'Dashboard Items'!$A$2:$A$495,0))=D93),INDEX('Dashboard Items'!$C$2:$C$495,MATCH(E93,'Dashboard Items'!$A$2:$A$495,0)),"Level does not match ID")),"ID not found"))</f>
        <v>Administrative Public Safety Services</v>
      </c>
      <c r="G93" s="53"/>
      <c r="H93" s="52" t="str">
        <f>IF(G93="","",IF(ISNUMBER(SEARCH(",",G93)),"Several items (the script lists them)",IFERROR(INDEX('Dashboard Items'!$B$2:$B$495,MATCH(G93,'Dashboard Items'!$A$2:$A$495,0))&amp;": "&amp;INDEX('Dashboard Items'!$C$2:$C$495,MATCH(G93,'Dashboard Items'!$A$2:$A$495,0)),"ID not found")))</f>
        <v/>
      </c>
      <c r="I93" s="50" t="s">
        <v>145</v>
      </c>
      <c r="J93" s="50">
        <v>2</v>
      </c>
      <c r="K93" s="50" t="s">
        <v>71</v>
      </c>
      <c r="L93" s="50" t="s">
        <v>72</v>
      </c>
      <c r="M93" s="50">
        <v>0</v>
      </c>
      <c r="N93" s="50">
        <v>0</v>
      </c>
      <c r="O93" s="50" t="s">
        <v>71</v>
      </c>
      <c r="P93" s="50" t="s">
        <v>126</v>
      </c>
      <c r="Q93" s="50" t="s">
        <v>260</v>
      </c>
      <c r="R93" s="50"/>
      <c r="S93" s="50"/>
      <c r="T93" s="50"/>
      <c r="U93" s="17" t="str">
        <f>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pans="1:21" s="49" customFormat="1" ht="15.75" customHeight="1" x14ac:dyDescent="0.2">
      <c r="A94" s="49" t="str">
        <f t="shared" si="2"/>
        <v>PD</v>
      </c>
      <c r="B94" s="50" t="s">
        <v>297</v>
      </c>
      <c r="C94" s="51" t="s">
        <v>298</v>
      </c>
      <c r="D94" s="50" t="s">
        <v>85</v>
      </c>
      <c r="E94" s="53" t="s">
        <v>294</v>
      </c>
      <c r="F94" s="52" t="str">
        <f>IF(E94="","",IFERROR(IF(INDEX('Dashboard Items'!$B$2:$B$495,MATCH(E94,'Dashboard Items'!$A$2:$A$495,0))="Objective","Objectives go in the next column",IF(OR(D94="",INDEX('Dashboard Items'!$B$2:$B$495,MATCH(E94,'Dashboard Items'!$A$2:$A$495,0))=D94),INDEX('Dashboard Items'!$C$2:$C$495,MATCH(E94,'Dashboard Items'!$A$2:$A$495,0)),"Level does not match ID")),"ID not found"))</f>
        <v>Administrative Public Safety Services</v>
      </c>
      <c r="G94" s="53"/>
      <c r="H94" s="52" t="str">
        <f>IF(G94="","",IF(ISNUMBER(SEARCH(",",G94)),"Several items (the script lists them)",IFERROR(INDEX('Dashboard Items'!$B$2:$B$495,MATCH(G94,'Dashboard Items'!$A$2:$A$495,0))&amp;": "&amp;INDEX('Dashboard Items'!$C$2:$C$495,MATCH(G94,'Dashboard Items'!$A$2:$A$495,0)),"ID not found")))</f>
        <v/>
      </c>
      <c r="I94" s="50" t="s">
        <v>145</v>
      </c>
      <c r="J94" s="50">
        <v>2</v>
      </c>
      <c r="K94" s="50" t="s">
        <v>71</v>
      </c>
      <c r="L94" s="50" t="s">
        <v>72</v>
      </c>
      <c r="M94" s="50">
        <v>0</v>
      </c>
      <c r="N94" s="50">
        <v>0</v>
      </c>
      <c r="O94" s="50" t="s">
        <v>71</v>
      </c>
      <c r="P94" s="50" t="s">
        <v>126</v>
      </c>
      <c r="Q94" s="50" t="s">
        <v>260</v>
      </c>
      <c r="R94" s="50"/>
      <c r="S94" s="50"/>
      <c r="T94" s="50"/>
      <c r="U94" s="17" t="str">
        <f>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pans="1:21" s="49" customFormat="1" ht="15.75" customHeight="1" x14ac:dyDescent="0.2">
      <c r="A95" s="49" t="str">
        <f t="shared" si="2"/>
        <v>PD</v>
      </c>
      <c r="B95" s="50" t="s">
        <v>299</v>
      </c>
      <c r="C95" s="51" t="s">
        <v>300</v>
      </c>
      <c r="D95" s="50" t="s">
        <v>85</v>
      </c>
      <c r="E95" s="53" t="s">
        <v>294</v>
      </c>
      <c r="F95" s="52" t="str">
        <f>IF(E95="","",IFERROR(IF(INDEX('Dashboard Items'!$B$2:$B$495,MATCH(E95,'Dashboard Items'!$A$2:$A$495,0))="Objective","Objectives go in the next column",IF(OR(D95="",INDEX('Dashboard Items'!$B$2:$B$495,MATCH(E95,'Dashboard Items'!$A$2:$A$495,0))=D95),INDEX('Dashboard Items'!$C$2:$C$495,MATCH(E95,'Dashboard Items'!$A$2:$A$495,0)),"Level does not match ID")),"ID not found"))</f>
        <v>Administrative Public Safety Services</v>
      </c>
      <c r="G95" s="53"/>
      <c r="H95" s="52" t="str">
        <f>IF(G95="","",IF(ISNUMBER(SEARCH(",",G95)),"Several items (the script lists them)",IFERROR(INDEX('Dashboard Items'!$B$2:$B$495,MATCH(G95,'Dashboard Items'!$A$2:$A$495,0))&amp;": "&amp;INDEX('Dashboard Items'!$C$2:$C$495,MATCH(G95,'Dashboard Items'!$A$2:$A$495,0)),"ID not found")))</f>
        <v/>
      </c>
      <c r="I95" s="50" t="s">
        <v>145</v>
      </c>
      <c r="J95" s="50">
        <v>2</v>
      </c>
      <c r="K95" s="50" t="s">
        <v>71</v>
      </c>
      <c r="L95" s="50" t="s">
        <v>72</v>
      </c>
      <c r="M95" s="50">
        <v>0</v>
      </c>
      <c r="N95" s="50">
        <v>0</v>
      </c>
      <c r="O95" s="50" t="s">
        <v>71</v>
      </c>
      <c r="P95" s="50" t="s">
        <v>126</v>
      </c>
      <c r="Q95" s="50" t="s">
        <v>260</v>
      </c>
      <c r="R95" s="50"/>
      <c r="S95" s="50"/>
      <c r="T95" s="50"/>
      <c r="U95" s="17" t="str">
        <f>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pans="1:21" s="49" customFormat="1" ht="15.75" customHeight="1" x14ac:dyDescent="0.2">
      <c r="A96" s="49" t="str">
        <f t="shared" si="2"/>
        <v>PD</v>
      </c>
      <c r="B96" s="50" t="s">
        <v>301</v>
      </c>
      <c r="C96" s="51" t="s">
        <v>302</v>
      </c>
      <c r="D96" s="50" t="s">
        <v>85</v>
      </c>
      <c r="E96" s="53" t="s">
        <v>294</v>
      </c>
      <c r="F96" s="52" t="str">
        <f>IF(E96="","",IFERROR(IF(INDEX('Dashboard Items'!$B$2:$B$495,MATCH(E96,'Dashboard Items'!$A$2:$A$495,0))="Objective","Objectives go in the next column",IF(OR(D96="",INDEX('Dashboard Items'!$B$2:$B$495,MATCH(E96,'Dashboard Items'!$A$2:$A$495,0))=D96),INDEX('Dashboard Items'!$C$2:$C$495,MATCH(E96,'Dashboard Items'!$A$2:$A$495,0)),"Level does not match ID")),"ID not found"))</f>
        <v>Administrative Public Safety Services</v>
      </c>
      <c r="G96" s="53"/>
      <c r="H96" s="52" t="str">
        <f>IF(G96="","",IF(ISNUMBER(SEARCH(",",G96)),"Several items (the script lists them)",IFERROR(INDEX('Dashboard Items'!$B$2:$B$495,MATCH(G96,'Dashboard Items'!$A$2:$A$495,0))&amp;": "&amp;INDEX('Dashboard Items'!$C$2:$C$495,MATCH(G96,'Dashboard Items'!$A$2:$A$495,0)),"ID not found")))</f>
        <v/>
      </c>
      <c r="I96" s="50" t="s">
        <v>145</v>
      </c>
      <c r="J96" s="50">
        <v>2</v>
      </c>
      <c r="K96" s="50" t="s">
        <v>71</v>
      </c>
      <c r="L96" s="50" t="s">
        <v>72</v>
      </c>
      <c r="M96" s="50">
        <v>0</v>
      </c>
      <c r="N96" s="50">
        <v>0</v>
      </c>
      <c r="O96" s="50" t="s">
        <v>71</v>
      </c>
      <c r="P96" s="50" t="s">
        <v>126</v>
      </c>
      <c r="Q96" s="50" t="s">
        <v>260</v>
      </c>
      <c r="R96" s="50"/>
      <c r="S96" s="50"/>
      <c r="T96" s="50"/>
      <c r="U96" s="17" t="str">
        <f>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Sets Program status chip</v>
      </c>
    </row>
    <row r="97" spans="1:21" s="49" customFormat="1" ht="15.75" customHeight="1" x14ac:dyDescent="0.2">
      <c r="A97" s="49" t="str">
        <f t="shared" si="2"/>
        <v>PD</v>
      </c>
      <c r="B97" s="50" t="s">
        <v>303</v>
      </c>
      <c r="C97" s="51" t="s">
        <v>304</v>
      </c>
      <c r="D97" s="50" t="s">
        <v>85</v>
      </c>
      <c r="E97" s="53" t="s">
        <v>294</v>
      </c>
      <c r="F97" s="52" t="str">
        <f>IF(E97="","",IFERROR(IF(INDEX('Dashboard Items'!$B$2:$B$495,MATCH(E97,'Dashboard Items'!$A$2:$A$495,0))="Objective","Objectives go in the next column",IF(OR(D97="",INDEX('Dashboard Items'!$B$2:$B$495,MATCH(E97,'Dashboard Items'!$A$2:$A$495,0))=D97),INDEX('Dashboard Items'!$C$2:$C$495,MATCH(E97,'Dashboard Items'!$A$2:$A$495,0)),"Level does not match ID")),"ID not found"))</f>
        <v>Administrative Public Safety Services</v>
      </c>
      <c r="G97" s="53"/>
      <c r="H97" s="52" t="str">
        <f>IF(G97="","",IF(ISNUMBER(SEARCH(",",G97)),"Several items (the script lists them)",IFERROR(INDEX('Dashboard Items'!$B$2:$B$495,MATCH(G97,'Dashboard Items'!$A$2:$A$495,0))&amp;": "&amp;INDEX('Dashboard Items'!$C$2:$C$495,MATCH(G97,'Dashboard Items'!$A$2:$A$495,0)),"ID not found")))</f>
        <v/>
      </c>
      <c r="I97" s="50" t="s">
        <v>145</v>
      </c>
      <c r="J97" s="50">
        <v>2</v>
      </c>
      <c r="K97" s="50" t="s">
        <v>71</v>
      </c>
      <c r="L97" s="50" t="s">
        <v>72</v>
      </c>
      <c r="M97" s="50">
        <v>0</v>
      </c>
      <c r="N97" s="50">
        <v>0</v>
      </c>
      <c r="O97" s="50" t="s">
        <v>71</v>
      </c>
      <c r="P97" s="50" t="s">
        <v>126</v>
      </c>
      <c r="Q97" s="50" t="s">
        <v>260</v>
      </c>
      <c r="R97" s="50"/>
      <c r="S97" s="50"/>
      <c r="T97" s="50"/>
      <c r="U97" s="17" t="str">
        <f>IF(B97="","",IF(IF(D97&lt;&gt;"",D97,IFERROR(INDEX('Dashboard Items'!$B$2:$B$495,MATCH(E97,'Dashboard Items'!$A$2:$A$495,0)),""))="Key Service",IF(O97="No","Key Service: shown, not counted","Counts in Key Service gauge"),IF(IF(D97&lt;&gt;"",D97,IFERROR(INDEX('Dashboard Items'!$B$2:$B$495,MATCH(E97,'Dashboard Items'!$A$2:$A$495,0)),""))="Program",IF(ISNUMBER(SEARCH("ks",G97)),IF(O97="No","Program, also at Key Service: not counted","Counts in Key Service gauge + sets Program chip"),IF(O97="No","Program: shown, no status chip","Sets Program status chip")),IF(IF(D97&lt;&gt;"",D97,IFERROR(INDEX('Dashboard Items'!$B$2:$B$495,MATCH(E97,'Dashboard Items'!$A$2:$A$495,0)),""))="Work System","Work System: shown, not counted","Check Level"))))</f>
        <v>Sets Program status chip</v>
      </c>
    </row>
    <row r="98" spans="1:21" s="49" customFormat="1" ht="15.75" customHeight="1" x14ac:dyDescent="0.2">
      <c r="A98" s="49" t="str">
        <f t="shared" si="2"/>
        <v>PD</v>
      </c>
      <c r="B98" s="50" t="s">
        <v>305</v>
      </c>
      <c r="C98" s="51" t="s">
        <v>306</v>
      </c>
      <c r="D98" s="50" t="s">
        <v>85</v>
      </c>
      <c r="E98" s="53" t="s">
        <v>294</v>
      </c>
      <c r="F98" s="52" t="str">
        <f>IF(E98="","",IFERROR(IF(INDEX('Dashboard Items'!$B$2:$B$495,MATCH(E98,'Dashboard Items'!$A$2:$A$495,0))="Objective","Objectives go in the next column",IF(OR(D98="",INDEX('Dashboard Items'!$B$2:$B$495,MATCH(E98,'Dashboard Items'!$A$2:$A$495,0))=D98),INDEX('Dashboard Items'!$C$2:$C$495,MATCH(E98,'Dashboard Items'!$A$2:$A$495,0)),"Level does not match ID")),"ID not found"))</f>
        <v>Administrative Public Safety Services</v>
      </c>
      <c r="G98" s="53"/>
      <c r="H98" s="52" t="str">
        <f>IF(G98="","",IF(ISNUMBER(SEARCH(",",G98)),"Several items (the script lists them)",IFERROR(INDEX('Dashboard Items'!$B$2:$B$495,MATCH(G98,'Dashboard Items'!$A$2:$A$495,0))&amp;": "&amp;INDEX('Dashboard Items'!$C$2:$C$495,MATCH(G98,'Dashboard Items'!$A$2:$A$495,0)),"ID not found")))</f>
        <v/>
      </c>
      <c r="I98" s="50" t="s">
        <v>145</v>
      </c>
      <c r="J98" s="50">
        <v>2</v>
      </c>
      <c r="K98" s="50" t="s">
        <v>71</v>
      </c>
      <c r="L98" s="50" t="s">
        <v>72</v>
      </c>
      <c r="M98" s="50">
        <v>0</v>
      </c>
      <c r="N98" s="50">
        <v>0</v>
      </c>
      <c r="O98" s="50" t="s">
        <v>71</v>
      </c>
      <c r="P98" s="50" t="s">
        <v>126</v>
      </c>
      <c r="Q98" s="50" t="s">
        <v>260</v>
      </c>
      <c r="R98" s="50"/>
      <c r="S98" s="50"/>
      <c r="T98" s="50"/>
      <c r="U98" s="17" t="str">
        <f>IF(B98="","",IF(IF(D98&lt;&gt;"",D98,IFERROR(INDEX('Dashboard Items'!$B$2:$B$495,MATCH(E98,'Dashboard Items'!$A$2:$A$495,0)),""))="Key Service",IF(O98="No","Key Service: shown, not counted","Counts in Key Service gauge"),IF(IF(D98&lt;&gt;"",D98,IFERROR(INDEX('Dashboard Items'!$B$2:$B$495,MATCH(E98,'Dashboard Items'!$A$2:$A$495,0)),""))="Program",IF(ISNUMBER(SEARCH("ks",G98)),IF(O98="No","Program, also at Key Service: not counted","Counts in Key Service gauge + sets Program chip"),IF(O98="No","Program: shown, no status chip","Sets Program status chip")),IF(IF(D98&lt;&gt;"",D98,IFERROR(INDEX('Dashboard Items'!$B$2:$B$495,MATCH(E98,'Dashboard Items'!$A$2:$A$495,0)),""))="Work System","Work System: shown, not counted","Check Level"))))</f>
        <v>Sets Program status chip</v>
      </c>
    </row>
    <row r="99" spans="1:21" s="49" customFormat="1" ht="15.75" customHeight="1" x14ac:dyDescent="0.2">
      <c r="A99" s="49" t="str">
        <f t="shared" si="2"/>
        <v>PD</v>
      </c>
      <c r="B99" s="50" t="s">
        <v>307</v>
      </c>
      <c r="C99" s="51" t="s">
        <v>308</v>
      </c>
      <c r="D99" s="50" t="s">
        <v>85</v>
      </c>
      <c r="E99" s="53" t="s">
        <v>294</v>
      </c>
      <c r="F99" s="52" t="str">
        <f>IF(E99="","",IFERROR(IF(INDEX('Dashboard Items'!$B$2:$B$495,MATCH(E99,'Dashboard Items'!$A$2:$A$495,0))="Objective","Objectives go in the next column",IF(OR(D99="",INDEX('Dashboard Items'!$B$2:$B$495,MATCH(E99,'Dashboard Items'!$A$2:$A$495,0))=D99),INDEX('Dashboard Items'!$C$2:$C$495,MATCH(E99,'Dashboard Items'!$A$2:$A$495,0)),"Level does not match ID")),"ID not found"))</f>
        <v>Administrative Public Safety Services</v>
      </c>
      <c r="G99" s="53"/>
      <c r="H99" s="52" t="str">
        <f>IF(G99="","",IF(ISNUMBER(SEARCH(",",G99)),"Several items (the script lists them)",IFERROR(INDEX('Dashboard Items'!$B$2:$B$495,MATCH(G99,'Dashboard Items'!$A$2:$A$495,0))&amp;": "&amp;INDEX('Dashboard Items'!$C$2:$C$495,MATCH(G99,'Dashboard Items'!$A$2:$A$495,0)),"ID not found")))</f>
        <v/>
      </c>
      <c r="I99" s="50" t="s">
        <v>145</v>
      </c>
      <c r="J99" s="50">
        <v>2</v>
      </c>
      <c r="K99" s="50" t="s">
        <v>71</v>
      </c>
      <c r="L99" s="50" t="s">
        <v>72</v>
      </c>
      <c r="M99" s="50">
        <v>0</v>
      </c>
      <c r="N99" s="50">
        <v>0</v>
      </c>
      <c r="O99" s="50" t="s">
        <v>71</v>
      </c>
      <c r="P99" s="50" t="s">
        <v>126</v>
      </c>
      <c r="Q99" s="50" t="s">
        <v>260</v>
      </c>
      <c r="R99" s="50"/>
      <c r="S99" s="50"/>
      <c r="T99" s="50"/>
      <c r="U99" s="17" t="str">
        <f>IF(B99="","",IF(IF(D99&lt;&gt;"",D99,IFERROR(INDEX('Dashboard Items'!$B$2:$B$495,MATCH(E99,'Dashboard Items'!$A$2:$A$495,0)),""))="Key Service",IF(O99="No","Key Service: shown, not counted","Counts in Key Service gauge"),IF(IF(D99&lt;&gt;"",D99,IFERROR(INDEX('Dashboard Items'!$B$2:$B$495,MATCH(E99,'Dashboard Items'!$A$2:$A$495,0)),""))="Program",IF(ISNUMBER(SEARCH("ks",G99)),IF(O99="No","Program, also at Key Service: not counted","Counts in Key Service gauge + sets Program chip"),IF(O99="No","Program: shown, no status chip","Sets Program status chip")),IF(IF(D99&lt;&gt;"",D99,IFERROR(INDEX('Dashboard Items'!$B$2:$B$495,MATCH(E99,'Dashboard Items'!$A$2:$A$495,0)),""))="Work System","Work System: shown, not counted","Check Level"))))</f>
        <v>Sets Program status chip</v>
      </c>
    </row>
    <row r="100" spans="1:21" s="49" customFormat="1" ht="15.75" customHeight="1" x14ac:dyDescent="0.2">
      <c r="A100" s="49" t="str">
        <f t="shared" si="2"/>
        <v>PD</v>
      </c>
      <c r="B100" s="50" t="s">
        <v>309</v>
      </c>
      <c r="C100" s="51" t="s">
        <v>310</v>
      </c>
      <c r="D100" s="50" t="s">
        <v>85</v>
      </c>
      <c r="E100" s="53" t="s">
        <v>311</v>
      </c>
      <c r="F100" s="52" t="str">
        <f>IF(E100="","",IFERROR(IF(INDEX('Dashboard Items'!$B$2:$B$495,MATCH(E100,'Dashboard Items'!$A$2:$A$495,0))="Objective","Objectives go in the next column",IF(OR(D100="",INDEX('Dashboard Items'!$B$2:$B$495,MATCH(E100,'Dashboard Items'!$A$2:$A$495,0))=D100),INDEX('Dashboard Items'!$C$2:$C$495,MATCH(E100,'Dashboard Items'!$A$2:$A$495,0)),"Level does not match ID")),"ID not found"))</f>
        <v>Public Safety Technology NG (NextGen) 911 Technologies</v>
      </c>
      <c r="G100" s="53"/>
      <c r="H100" s="52" t="str">
        <f>IF(G100="","",IF(ISNUMBER(SEARCH(",",G100)),"Several items (the script lists them)",IFERROR(INDEX('Dashboard Items'!$B$2:$B$495,MATCH(G100,'Dashboard Items'!$A$2:$A$495,0))&amp;": "&amp;INDEX('Dashboard Items'!$C$2:$C$495,MATCH(G100,'Dashboard Items'!$A$2:$A$495,0)),"ID not found")))</f>
        <v/>
      </c>
      <c r="I100" s="50" t="s">
        <v>145</v>
      </c>
      <c r="J100" s="50">
        <v>2</v>
      </c>
      <c r="K100" s="50" t="s">
        <v>71</v>
      </c>
      <c r="L100" s="50" t="s">
        <v>72</v>
      </c>
      <c r="M100" s="50">
        <v>0</v>
      </c>
      <c r="N100" s="50">
        <v>0</v>
      </c>
      <c r="O100" s="50" t="s">
        <v>71</v>
      </c>
      <c r="P100" s="50" t="s">
        <v>126</v>
      </c>
      <c r="Q100" s="50" t="s">
        <v>260</v>
      </c>
      <c r="R100" s="50"/>
      <c r="S100" s="50"/>
      <c r="T100" s="50"/>
      <c r="U100" s="17" t="str">
        <f>IF(B100="","",IF(IF(D100&lt;&gt;"",D100,IFERROR(INDEX('Dashboard Items'!$B$2:$B$495,MATCH(E100,'Dashboard Items'!$A$2:$A$495,0)),""))="Key Service",IF(O100="No","Key Service: shown, not counted","Counts in Key Service gauge"),IF(IF(D100&lt;&gt;"",D100,IFERROR(INDEX('Dashboard Items'!$B$2:$B$495,MATCH(E100,'Dashboard Items'!$A$2:$A$495,0)),""))="Program",IF(ISNUMBER(SEARCH("ks",G100)),IF(O100="No","Program, also at Key Service: not counted","Counts in Key Service gauge + sets Program chip"),IF(O100="No","Program: shown, no status chip","Sets Program status chip")),IF(IF(D100&lt;&gt;"",D100,IFERROR(INDEX('Dashboard Items'!$B$2:$B$495,MATCH(E100,'Dashboard Items'!$A$2:$A$495,0)),""))="Work System","Work System: shown, not counted","Check Level"))))</f>
        <v>Sets Program status chip</v>
      </c>
    </row>
    <row r="101" spans="1:21" s="18" customFormat="1" ht="16.5" customHeight="1" x14ac:dyDescent="0.2">
      <c r="A101" s="18" t="str">
        <f t="shared" si="2"/>
        <v>911</v>
      </c>
      <c r="B101" s="13" t="s">
        <v>312</v>
      </c>
      <c r="C101" s="54" t="s">
        <v>313</v>
      </c>
      <c r="D101" s="13" t="s">
        <v>67</v>
      </c>
      <c r="E101" s="13" t="s">
        <v>259</v>
      </c>
      <c r="F101" s="15" t="str">
        <f>IF(E101="","",IFERROR(IF(INDEX('Dashboard Items'!$B$2:$B$495,MATCH(E101,'Dashboard Items'!$A$2:$A$495,0))="Objective","Objectives go in the next column",IF(OR(D101="",INDEX('Dashboard Items'!$B$2:$B$495,MATCH(E101,'Dashboard Items'!$A$2:$A$495,0))=D101),INDEX('Dashboard Items'!$C$2:$C$495,MATCH(E101,'Dashboard Items'!$A$2:$A$495,0)),"Level does not match ID")),"ID not found"))</f>
        <v>Public Safety Services</v>
      </c>
      <c r="G101" s="16" t="s">
        <v>314</v>
      </c>
      <c r="H101" s="15" t="str">
        <f>IF(G101="","",IF(ISNUMBER(SEARCH(",",G101)),"Several items (the script lists them)",IFERROR(INDEX('Dashboard Items'!$B$2:$B$495,MATCH(G101,'Dashboard Items'!$A$2:$A$495,0))&amp;": "&amp;INDEX('Dashboard Items'!$C$2:$C$495,MATCH(G101,'Dashboard Items'!$A$2:$A$495,0)),"ID not found")))</f>
        <v>Program: 911 Emergency Services</v>
      </c>
      <c r="I101" s="13" t="s">
        <v>145</v>
      </c>
      <c r="J101" s="13">
        <v>2</v>
      </c>
      <c r="K101" s="13" t="s">
        <v>71</v>
      </c>
      <c r="L101" s="13" t="s">
        <v>72</v>
      </c>
      <c r="M101" s="13">
        <v>0</v>
      </c>
      <c r="N101" s="13">
        <v>0</v>
      </c>
      <c r="O101" s="13" t="s">
        <v>71</v>
      </c>
      <c r="P101" s="13" t="s">
        <v>126</v>
      </c>
      <c r="Q101" s="13" t="s">
        <v>260</v>
      </c>
      <c r="R101" s="13"/>
      <c r="S101" s="13"/>
      <c r="T101" s="13"/>
      <c r="U101" s="17" t="str">
        <f>IF(B101="","",IF(IF(D101&lt;&gt;"",D101,IFERROR(INDEX('Dashboard Items'!$B$2:$B$495,MATCH(E101,'Dashboard Items'!$A$2:$A$495,0)),""))="Key Service",IF(O101="No","Key Service: shown, not counted","Counts in Key Service gauge"),IF(IF(D101&lt;&gt;"",D101,IFERROR(INDEX('Dashboard Items'!$B$2:$B$495,MATCH(E101,'Dashboard Items'!$A$2:$A$495,0)),""))="Program",IF(ISNUMBER(SEARCH("ks",G101)),IF(O101="No","Program, also at Key Service: not counted","Counts in Key Service gauge + sets Program chip"),IF(O101="No","Program: shown, no status chip","Sets Program status chip")),IF(IF(D101&lt;&gt;"",D101,IFERROR(INDEX('Dashboard Items'!$B$2:$B$495,MATCH(E101,'Dashboard Items'!$A$2:$A$495,0)),""))="Work System","Work System: shown, not counted","Check Level"))))</f>
        <v>Counts in Key Service gauge</v>
      </c>
    </row>
    <row r="102" spans="1:21" s="18" customFormat="1" ht="16.5" customHeight="1" x14ac:dyDescent="0.2">
      <c r="A102" s="18" t="str">
        <f t="shared" si="2"/>
        <v>911</v>
      </c>
      <c r="B102" s="13" t="s">
        <v>315</v>
      </c>
      <c r="C102" s="54" t="s">
        <v>316</v>
      </c>
      <c r="D102" s="13" t="s">
        <v>85</v>
      </c>
      <c r="E102" s="13" t="s">
        <v>314</v>
      </c>
      <c r="F102" s="15" t="str">
        <f>IF(E102="","",IFERROR(IF(INDEX('Dashboard Items'!$B$2:$B$495,MATCH(E102,'Dashboard Items'!$A$2:$A$495,0))="Objective","Objectives go in the next column",IF(OR(D102="",INDEX('Dashboard Items'!$B$2:$B$495,MATCH(E102,'Dashboard Items'!$A$2:$A$495,0))=D102),INDEX('Dashboard Items'!$C$2:$C$495,MATCH(E102,'Dashboard Items'!$A$2:$A$495,0)),"Level does not match ID")),"ID not found"))</f>
        <v>911 Emergency Services</v>
      </c>
      <c r="G102" s="16" t="s">
        <v>294</v>
      </c>
      <c r="H102" s="15" t="str">
        <f>IF(G102="","",IF(ISNUMBER(SEARCH(",",G102)),"Several items (the script lists them)",IFERROR(INDEX('Dashboard Items'!$B$2:$B$495,MATCH(G102,'Dashboard Items'!$A$2:$A$495,0))&amp;": "&amp;INDEX('Dashboard Items'!$C$2:$C$495,MATCH(G102,'Dashboard Items'!$A$2:$A$495,0)),"ID not found")))</f>
        <v>Program: Administrative Public Safety Services</v>
      </c>
      <c r="I102" s="13" t="s">
        <v>145</v>
      </c>
      <c r="J102" s="13">
        <v>2</v>
      </c>
      <c r="K102" s="13" t="s">
        <v>71</v>
      </c>
      <c r="L102" s="13" t="s">
        <v>72</v>
      </c>
      <c r="M102" s="13">
        <v>0</v>
      </c>
      <c r="N102" s="13">
        <v>0</v>
      </c>
      <c r="O102" s="13" t="s">
        <v>71</v>
      </c>
      <c r="P102" s="13" t="s">
        <v>126</v>
      </c>
      <c r="Q102" s="13" t="s">
        <v>260</v>
      </c>
      <c r="R102" s="13"/>
      <c r="S102" s="13"/>
      <c r="T102" s="13"/>
      <c r="U102" s="17" t="str">
        <f>IF(B102="","",IF(IF(D102&lt;&gt;"",D102,IFERROR(INDEX('Dashboard Items'!$B$2:$B$495,MATCH(E102,'Dashboard Items'!$A$2:$A$495,0)),""))="Key Service",IF(O102="No","Key Service: shown, not counted","Counts in Key Service gauge"),IF(IF(D102&lt;&gt;"",D102,IFERROR(INDEX('Dashboard Items'!$B$2:$B$495,MATCH(E102,'Dashboard Items'!$A$2:$A$495,0)),""))="Program",IF(ISNUMBER(SEARCH("ks",G102)),IF(O102="No","Program, also at Key Service: not counted","Counts in Key Service gauge + sets Program chip"),IF(O102="No","Program: shown, no status chip","Sets Program status chip")),IF(IF(D102&lt;&gt;"",D102,IFERROR(INDEX('Dashboard Items'!$B$2:$B$495,MATCH(E102,'Dashboard Items'!$A$2:$A$495,0)),""))="Work System","Work System: shown, not counted","Check Level"))))</f>
        <v>Sets Program status chip</v>
      </c>
    </row>
    <row r="103" spans="1:21" s="18" customFormat="1" ht="16.5" customHeight="1" x14ac:dyDescent="0.2">
      <c r="A103" s="18" t="str">
        <f t="shared" si="2"/>
        <v>911</v>
      </c>
      <c r="B103" s="13" t="s">
        <v>317</v>
      </c>
      <c r="C103" s="54" t="s">
        <v>318</v>
      </c>
      <c r="D103" s="13" t="s">
        <v>85</v>
      </c>
      <c r="E103" s="13" t="s">
        <v>314</v>
      </c>
      <c r="F103" s="15" t="str">
        <f>IF(E103="","",IFERROR(IF(INDEX('Dashboard Items'!$B$2:$B$495,MATCH(E103,'Dashboard Items'!$A$2:$A$495,0))="Objective","Objectives go in the next column",IF(OR(D103="",INDEX('Dashboard Items'!$B$2:$B$495,MATCH(E103,'Dashboard Items'!$A$2:$A$495,0))=D103),INDEX('Dashboard Items'!$C$2:$C$495,MATCH(E103,'Dashboard Items'!$A$2:$A$495,0)),"Level does not match ID")),"ID not found"))</f>
        <v>911 Emergency Services</v>
      </c>
      <c r="G103" s="16"/>
      <c r="H103" s="15" t="str">
        <f>IF(G103="","",IF(ISNUMBER(SEARCH(",",G103)),"Several items (the script lists them)",IFERROR(INDEX('Dashboard Items'!$B$2:$B$495,MATCH(G103,'Dashboard Items'!$A$2:$A$495,0))&amp;": "&amp;INDEX('Dashboard Items'!$C$2:$C$495,MATCH(G103,'Dashboard Items'!$A$2:$A$495,0)),"ID not found")))</f>
        <v/>
      </c>
      <c r="I103" s="13" t="s">
        <v>145</v>
      </c>
      <c r="J103" s="13">
        <v>2</v>
      </c>
      <c r="K103" s="13" t="s">
        <v>71</v>
      </c>
      <c r="L103" s="13" t="s">
        <v>72</v>
      </c>
      <c r="M103" s="13">
        <v>0</v>
      </c>
      <c r="N103" s="13">
        <v>0</v>
      </c>
      <c r="O103" s="13" t="s">
        <v>71</v>
      </c>
      <c r="P103" s="13" t="s">
        <v>126</v>
      </c>
      <c r="Q103" s="13" t="s">
        <v>260</v>
      </c>
      <c r="R103" s="13"/>
      <c r="S103" s="13"/>
      <c r="T103" s="13"/>
      <c r="U103" s="17" t="str">
        <f>IF(B103="","",IF(IF(D103&lt;&gt;"",D103,IFERROR(INDEX('Dashboard Items'!$B$2:$B$495,MATCH(E103,'Dashboard Items'!$A$2:$A$495,0)),""))="Key Service",IF(O103="No","Key Service: shown, not counted","Counts in Key Service gauge"),IF(IF(D103&lt;&gt;"",D103,IFERROR(INDEX('Dashboard Items'!$B$2:$B$495,MATCH(E103,'Dashboard Items'!$A$2:$A$495,0)),""))="Program",IF(ISNUMBER(SEARCH("ks",G103)),IF(O103="No","Program, also at Key Service: not counted","Counts in Key Service gauge + sets Program chip"),IF(O103="No","Program: shown, no status chip","Sets Program status chip")),IF(IF(D103&lt;&gt;"",D103,IFERROR(INDEX('Dashboard Items'!$B$2:$B$495,MATCH(E103,'Dashboard Items'!$A$2:$A$495,0)),""))="Work System","Work System: shown, not counted","Check Level"))))</f>
        <v>Sets Program status chip</v>
      </c>
    </row>
    <row r="104" spans="1:21" s="18" customFormat="1" ht="16.5" customHeight="1" x14ac:dyDescent="0.2">
      <c r="A104" s="18" t="str">
        <f t="shared" si="2"/>
        <v>911</v>
      </c>
      <c r="B104" s="13" t="s">
        <v>319</v>
      </c>
      <c r="C104" s="54" t="s">
        <v>320</v>
      </c>
      <c r="D104" s="13" t="s">
        <v>85</v>
      </c>
      <c r="E104" s="13" t="s">
        <v>314</v>
      </c>
      <c r="F104" s="15" t="str">
        <f>IF(E104="","",IFERROR(IF(INDEX('Dashboard Items'!$B$2:$B$495,MATCH(E104,'Dashboard Items'!$A$2:$A$495,0))="Objective","Objectives go in the next column",IF(OR(D104="",INDEX('Dashboard Items'!$B$2:$B$495,MATCH(E104,'Dashboard Items'!$A$2:$A$495,0))=D104),INDEX('Dashboard Items'!$C$2:$C$495,MATCH(E104,'Dashboard Items'!$A$2:$A$495,0)),"Level does not match ID")),"ID not found"))</f>
        <v>911 Emergency Services</v>
      </c>
      <c r="G104" s="16"/>
      <c r="H104" s="15" t="str">
        <f>IF(G104="","",IF(ISNUMBER(SEARCH(",",G104)),"Several items (the script lists them)",IFERROR(INDEX('Dashboard Items'!$B$2:$B$495,MATCH(G104,'Dashboard Items'!$A$2:$A$495,0))&amp;": "&amp;INDEX('Dashboard Items'!$C$2:$C$495,MATCH(G104,'Dashboard Items'!$A$2:$A$495,0)),"ID not found")))</f>
        <v/>
      </c>
      <c r="I104" s="13" t="s">
        <v>145</v>
      </c>
      <c r="J104" s="13">
        <v>2</v>
      </c>
      <c r="K104" s="13" t="s">
        <v>71</v>
      </c>
      <c r="L104" s="13" t="s">
        <v>72</v>
      </c>
      <c r="M104" s="13">
        <v>0</v>
      </c>
      <c r="N104" s="13">
        <v>0</v>
      </c>
      <c r="O104" s="13" t="s">
        <v>71</v>
      </c>
      <c r="P104" s="13" t="s">
        <v>126</v>
      </c>
      <c r="Q104" s="13" t="s">
        <v>260</v>
      </c>
      <c r="R104" s="13"/>
      <c r="S104" s="13"/>
      <c r="T104" s="13"/>
      <c r="U104" s="17" t="str">
        <f>IF(B104="","",IF(IF(D104&lt;&gt;"",D104,IFERROR(INDEX('Dashboard Items'!$B$2:$B$495,MATCH(E104,'Dashboard Items'!$A$2:$A$495,0)),""))="Key Service",IF(O104="No","Key Service: shown, not counted","Counts in Key Service gauge"),IF(IF(D104&lt;&gt;"",D104,IFERROR(INDEX('Dashboard Items'!$B$2:$B$495,MATCH(E104,'Dashboard Items'!$A$2:$A$495,0)),""))="Program",IF(ISNUMBER(SEARCH("ks",G104)),IF(O104="No","Program, also at Key Service: not counted","Counts in Key Service gauge + sets Program chip"),IF(O104="No","Program: shown, no status chip","Sets Program status chip")),IF(IF(D104&lt;&gt;"",D104,IFERROR(INDEX('Dashboard Items'!$B$2:$B$495,MATCH(E104,'Dashboard Items'!$A$2:$A$495,0)),""))="Work System","Work System: shown, not counted","Check Level"))))</f>
        <v>Sets Program status chip</v>
      </c>
    </row>
    <row r="105" spans="1:21" s="18" customFormat="1" ht="15.75" customHeight="1" x14ac:dyDescent="0.2">
      <c r="A105" s="18" t="str">
        <f t="shared" ref="A105:A107" si="3">LEFT(B105, FIND("-", B105) - 1)</f>
        <v>911</v>
      </c>
      <c r="B105" s="13" t="s">
        <v>321</v>
      </c>
      <c r="C105" s="55" t="s">
        <v>322</v>
      </c>
      <c r="D105" s="13" t="s">
        <v>85</v>
      </c>
      <c r="E105" s="13" t="s">
        <v>294</v>
      </c>
      <c r="F105" s="15" t="str">
        <f>IF(E105="","",IFERROR(IF(INDEX('Dashboard Items'!$B$2:$B$495,MATCH(E105,'Dashboard Items'!$A$2:$A$495,0))="Objective","Objectives go in the next column",IF(OR(D105="",INDEX('Dashboard Items'!$B$2:$B$495,MATCH(E105,'Dashboard Items'!$A$2:$A$495,0))=D105),INDEX('Dashboard Items'!$C$2:$C$495,MATCH(E105,'Dashboard Items'!$A$2:$A$495,0)),"Level does not match ID")),"ID not found"))</f>
        <v>Administrative Public Safety Services</v>
      </c>
      <c r="G105" s="16" t="s">
        <v>294</v>
      </c>
      <c r="H105" s="15" t="str">
        <f>IF(G105="","",IF(ISNUMBER(SEARCH(",",G105)),"Several items (the script lists them)",IFERROR(INDEX('Dashboard Items'!$B$2:$B$495,MATCH(G105,'Dashboard Items'!$A$2:$A$495,0))&amp;": "&amp;INDEX('Dashboard Items'!$C$2:$C$495,MATCH(G105,'Dashboard Items'!$A$2:$A$495,0)),"ID not found")))</f>
        <v>Program: Administrative Public Safety Services</v>
      </c>
      <c r="I105" s="13" t="s">
        <v>145</v>
      </c>
      <c r="J105" s="13">
        <v>2</v>
      </c>
      <c r="K105" s="13" t="s">
        <v>71</v>
      </c>
      <c r="L105" s="13" t="s">
        <v>72</v>
      </c>
      <c r="M105" s="13">
        <v>0</v>
      </c>
      <c r="N105" s="13">
        <v>0</v>
      </c>
      <c r="O105" s="13" t="s">
        <v>71</v>
      </c>
      <c r="P105" s="13" t="s">
        <v>126</v>
      </c>
      <c r="Q105" s="13" t="s">
        <v>260</v>
      </c>
      <c r="R105" s="13"/>
      <c r="S105" s="13"/>
      <c r="T105" s="13"/>
      <c r="U105" s="17" t="str">
        <f>IF(B105="","",IF(IF(D105&lt;&gt;"",D105,IFERROR(INDEX('Dashboard Items'!$B$2:$B$495,MATCH(E105,'Dashboard Items'!$A$2:$A$495,0)),""))="Key Service",IF(O105="No","Key Service: shown, not counted","Counts in Key Service gauge"),IF(IF(D105&lt;&gt;"",D105,IFERROR(INDEX('Dashboard Items'!$B$2:$B$495,MATCH(E105,'Dashboard Items'!$A$2:$A$495,0)),""))="Program",IF(ISNUMBER(SEARCH("ks",G105)),IF(O105="No","Program, also at Key Service: not counted","Counts in Key Service gauge + sets Program chip"),IF(O105="No","Program: shown, no status chip","Sets Program status chip")),IF(IF(D105&lt;&gt;"",D105,IFERROR(INDEX('Dashboard Items'!$B$2:$B$495,MATCH(E105,'Dashboard Items'!$A$2:$A$495,0)),""))="Work System","Work System: shown, not counted","Check Level"))))</f>
        <v>Sets Program status chip</v>
      </c>
    </row>
    <row r="106" spans="1:21" s="18" customFormat="1" ht="15.75" customHeight="1" x14ac:dyDescent="0.2">
      <c r="A106" s="18" t="str">
        <f t="shared" si="3"/>
        <v>911</v>
      </c>
      <c r="B106" s="13" t="s">
        <v>323</v>
      </c>
      <c r="C106" s="55" t="s">
        <v>324</v>
      </c>
      <c r="D106" s="13" t="s">
        <v>85</v>
      </c>
      <c r="E106" s="13" t="s">
        <v>311</v>
      </c>
      <c r="F106" s="15" t="str">
        <f>IF(E106="","",IFERROR(IF(INDEX('Dashboard Items'!$B$2:$B$495,MATCH(E106,'Dashboard Items'!$A$2:$A$495,0))="Objective","Objectives go in the next column",IF(OR(D106="",INDEX('Dashboard Items'!$B$2:$B$495,MATCH(E106,'Dashboard Items'!$A$2:$A$495,0))=D106),INDEX('Dashboard Items'!$C$2:$C$495,MATCH(E106,'Dashboard Items'!$A$2:$A$495,0)),"Level does not match ID")),"ID not found"))</f>
        <v>Public Safety Technology NG (NextGen) 911 Technologies</v>
      </c>
      <c r="G106" s="16"/>
      <c r="H106" s="15" t="str">
        <f>IF(G106="","",IF(ISNUMBER(SEARCH(",",G106)),"Several items (the script lists them)",IFERROR(INDEX('Dashboard Items'!$B$2:$B$495,MATCH(G106,'Dashboard Items'!$A$2:$A$495,0))&amp;": "&amp;INDEX('Dashboard Items'!$C$2:$C$495,MATCH(G106,'Dashboard Items'!$A$2:$A$495,0)),"ID not found")))</f>
        <v/>
      </c>
      <c r="I106" s="13" t="s">
        <v>145</v>
      </c>
      <c r="J106" s="13">
        <v>2</v>
      </c>
      <c r="K106" s="13" t="s">
        <v>71</v>
      </c>
      <c r="L106" s="13" t="s">
        <v>72</v>
      </c>
      <c r="M106" s="13">
        <v>0</v>
      </c>
      <c r="N106" s="13">
        <v>0</v>
      </c>
      <c r="O106" s="13" t="s">
        <v>71</v>
      </c>
      <c r="P106" s="13" t="s">
        <v>126</v>
      </c>
      <c r="Q106" s="13" t="s">
        <v>260</v>
      </c>
      <c r="R106" s="13"/>
      <c r="S106" s="13"/>
      <c r="T106" s="13"/>
      <c r="U106" s="17" t="str">
        <f>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Sets Program status chip</v>
      </c>
    </row>
    <row r="107" spans="1:21" s="18" customFormat="1" ht="15.75" customHeight="1" x14ac:dyDescent="0.2">
      <c r="A107" s="18" t="str">
        <f t="shared" si="3"/>
        <v>911</v>
      </c>
      <c r="B107" s="13" t="s">
        <v>325</v>
      </c>
      <c r="C107" s="55" t="s">
        <v>326</v>
      </c>
      <c r="D107" s="13" t="s">
        <v>67</v>
      </c>
      <c r="E107" s="13" t="s">
        <v>259</v>
      </c>
      <c r="F107" s="15" t="str">
        <f>IF(E107="","",IFERROR(IF(INDEX('Dashboard Items'!$B$2:$B$495,MATCH(E107,'Dashboard Items'!$A$2:$A$495,0))="Objective","Objectives go in the next column",IF(OR(D107="",INDEX('Dashboard Items'!$B$2:$B$495,MATCH(E107,'Dashboard Items'!$A$2:$A$495,0))=D107),INDEX('Dashboard Items'!$C$2:$C$495,MATCH(E107,'Dashboard Items'!$A$2:$A$495,0)),"Level does not match ID")),"ID not found"))</f>
        <v>Public Safety Services</v>
      </c>
      <c r="G107" s="16"/>
      <c r="H107" s="15" t="str">
        <f>IF(G107="","",IF(ISNUMBER(SEARCH(",",G107)),"Several items (the script lists them)",IFERROR(INDEX('Dashboard Items'!$B$2:$B$495,MATCH(G107,'Dashboard Items'!$A$2:$A$495,0))&amp;": "&amp;INDEX('Dashboard Items'!$C$2:$C$495,MATCH(G107,'Dashboard Items'!$A$2:$A$495,0)),"ID not found")))</f>
        <v/>
      </c>
      <c r="I107" s="13" t="s">
        <v>145</v>
      </c>
      <c r="J107" s="13">
        <v>2</v>
      </c>
      <c r="K107" s="13" t="s">
        <v>71</v>
      </c>
      <c r="L107" s="13" t="s">
        <v>72</v>
      </c>
      <c r="M107" s="13">
        <v>0</v>
      </c>
      <c r="N107" s="13">
        <v>0</v>
      </c>
      <c r="O107" s="13" t="s">
        <v>71</v>
      </c>
      <c r="P107" s="13" t="s">
        <v>126</v>
      </c>
      <c r="Q107" s="13" t="s">
        <v>260</v>
      </c>
      <c r="R107" s="13"/>
      <c r="S107" s="13"/>
      <c r="T107" s="13"/>
      <c r="U107" s="17" t="str">
        <f>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Counts in Key Service gauge</v>
      </c>
    </row>
    <row r="108" spans="1:21" x14ac:dyDescent="0.2">
      <c r="B108" s="56"/>
      <c r="C108" s="56"/>
      <c r="D108" s="56"/>
      <c r="E108" s="56"/>
      <c r="F108" s="57" t="str">
        <f>IF(E108="","",IFERROR(IF(INDEX('Dashboard Items'!$B$2:$B$495,MATCH(E108,'Dashboard Items'!$A$2:$A$495,0))="Objective","Objectives go in the next column",IF(OR(D108="",INDEX('Dashboard Items'!$B$2:$B$495,MATCH(E108,'Dashboard Items'!$A$2:$A$495,0))=D108),INDEX('Dashboard Items'!$C$2:$C$495,MATCH(E108,'Dashboard Items'!$A$2:$A$495,0)),"Level does not match ID")),"ID not found"))</f>
        <v/>
      </c>
      <c r="G108" s="58"/>
      <c r="H108" s="57" t="str">
        <f>IF(G108="","",IF(ISNUMBER(SEARCH(",",G108)),"Several items (the script lists them)",IFERROR(INDEX('Dashboard Items'!$B$2:$B$495,MATCH(G108,'Dashboard Items'!$A$2:$A$495,0))&amp;": "&amp;INDEX('Dashboard Items'!$C$2:$C$495,MATCH(G108,'Dashboard Items'!$A$2:$A$495,0)),"ID not found")))</f>
        <v/>
      </c>
      <c r="I108" s="56"/>
      <c r="J108" s="56"/>
      <c r="K108" s="56"/>
      <c r="L108" s="56"/>
      <c r="M108" s="56"/>
      <c r="N108" s="56"/>
      <c r="O108" s="56"/>
      <c r="P108" s="56"/>
      <c r="Q108" s="56"/>
      <c r="R108" s="56"/>
      <c r="S108" s="56"/>
      <c r="T108" s="56"/>
      <c r="U108" s="17" t="str">
        <f>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
      </c>
    </row>
    <row r="109" spans="1:21" x14ac:dyDescent="0.2">
      <c r="B109" s="56"/>
      <c r="C109" s="56"/>
      <c r="D109" s="56"/>
      <c r="E109" s="56"/>
      <c r="F109" s="57" t="str">
        <f>IF(E109="","",IFERROR(IF(INDEX('Dashboard Items'!$B$2:$B$495,MATCH(E109,'Dashboard Items'!$A$2:$A$495,0))="Objective","Objectives go in the next column",IF(OR(D109="",INDEX('Dashboard Items'!$B$2:$B$495,MATCH(E109,'Dashboard Items'!$A$2:$A$495,0))=D109),INDEX('Dashboard Items'!$C$2:$C$495,MATCH(E109,'Dashboard Items'!$A$2:$A$495,0)),"Level does not match ID")),"ID not found"))</f>
        <v/>
      </c>
      <c r="G109" s="58"/>
      <c r="H109" s="57" t="str">
        <f>IF(G109="","",IF(ISNUMBER(SEARCH(",",G109)),"Several items (the script lists them)",IFERROR(INDEX('Dashboard Items'!$B$2:$B$495,MATCH(G109,'Dashboard Items'!$A$2:$A$495,0))&amp;": "&amp;INDEX('Dashboard Items'!$C$2:$C$495,MATCH(G109,'Dashboard Items'!$A$2:$A$495,0)),"ID not found")))</f>
        <v/>
      </c>
      <c r="I109" s="56"/>
      <c r="J109" s="56"/>
      <c r="K109" s="56"/>
      <c r="L109" s="56"/>
      <c r="M109" s="56"/>
      <c r="N109" s="56"/>
      <c r="O109" s="56"/>
      <c r="P109" s="56"/>
      <c r="Q109" s="56"/>
      <c r="R109" s="56"/>
      <c r="S109" s="56"/>
      <c r="T109" s="56"/>
      <c r="U109" s="17" t="str">
        <f>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
      </c>
    </row>
    <row r="110" spans="1:21" x14ac:dyDescent="0.2">
      <c r="B110" s="56"/>
      <c r="C110" s="56"/>
      <c r="D110" s="56"/>
      <c r="E110" s="56"/>
      <c r="F110" s="57" t="str">
        <f>IF(E110="","",IFERROR(IF(INDEX('Dashboard Items'!$B$2:$B$495,MATCH(E110,'Dashboard Items'!$A$2:$A$495,0))="Objective","Objectives go in the next column",IF(OR(D110="",INDEX('Dashboard Items'!$B$2:$B$495,MATCH(E110,'Dashboard Items'!$A$2:$A$495,0))=D110),INDEX('Dashboard Items'!$C$2:$C$495,MATCH(E110,'Dashboard Items'!$A$2:$A$495,0)),"Level does not match ID")),"ID not found"))</f>
        <v/>
      </c>
      <c r="G110" s="58"/>
      <c r="H110" s="57" t="str">
        <f>IF(G110="","",IF(ISNUMBER(SEARCH(",",G110)),"Several items (the script lists them)",IFERROR(INDEX('Dashboard Items'!$B$2:$B$495,MATCH(G110,'Dashboard Items'!$A$2:$A$495,0))&amp;": "&amp;INDEX('Dashboard Items'!$C$2:$C$495,MATCH(G110,'Dashboard Items'!$A$2:$A$495,0)),"ID not found")))</f>
        <v/>
      </c>
      <c r="I110" s="56"/>
      <c r="J110" s="56"/>
      <c r="K110" s="56"/>
      <c r="L110" s="56"/>
      <c r="M110" s="56"/>
      <c r="N110" s="56"/>
      <c r="O110" s="56"/>
      <c r="P110" s="56"/>
      <c r="Q110" s="56"/>
      <c r="R110" s="56"/>
      <c r="S110" s="56"/>
      <c r="T110" s="56"/>
      <c r="U110" s="17" t="str">
        <f>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
      </c>
    </row>
    <row r="111" spans="1:21" x14ac:dyDescent="0.2">
      <c r="B111" s="56"/>
      <c r="C111" s="56"/>
      <c r="D111" s="56"/>
      <c r="E111" s="56"/>
      <c r="F111" s="57" t="str">
        <f>IF(E111="","",IFERROR(IF(INDEX('Dashboard Items'!$B$2:$B$495,MATCH(E111,'Dashboard Items'!$A$2:$A$495,0))="Objective","Objectives go in the next column",IF(OR(D111="",INDEX('Dashboard Items'!$B$2:$B$495,MATCH(E111,'Dashboard Items'!$A$2:$A$495,0))=D111),INDEX('Dashboard Items'!$C$2:$C$495,MATCH(E111,'Dashboard Items'!$A$2:$A$495,0)),"Level does not match ID")),"ID not found"))</f>
        <v/>
      </c>
      <c r="G111" s="58"/>
      <c r="H111" s="57" t="str">
        <f>IF(G111="","",IF(ISNUMBER(SEARCH(",",G111)),"Several items (the script lists them)",IFERROR(INDEX('Dashboard Items'!$B$2:$B$495,MATCH(G111,'Dashboard Items'!$A$2:$A$495,0))&amp;": "&amp;INDEX('Dashboard Items'!$C$2:$C$495,MATCH(G111,'Dashboard Items'!$A$2:$A$495,0)),"ID not found")))</f>
        <v/>
      </c>
      <c r="I111" s="56"/>
      <c r="J111" s="56"/>
      <c r="K111" s="56"/>
      <c r="L111" s="56"/>
      <c r="M111" s="56"/>
      <c r="N111" s="56"/>
      <c r="O111" s="56"/>
      <c r="P111" s="56"/>
      <c r="Q111" s="56"/>
      <c r="R111" s="56"/>
      <c r="S111" s="56"/>
      <c r="T111" s="56"/>
      <c r="U111" s="17" t="str">
        <f>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
      </c>
    </row>
    <row r="112" spans="1:21" x14ac:dyDescent="0.2">
      <c r="B112" s="56"/>
      <c r="C112" s="56"/>
      <c r="D112" s="56"/>
      <c r="E112" s="56"/>
      <c r="F112" s="57" t="str">
        <f>IF(E112="","",IFERROR(IF(INDEX('Dashboard Items'!$B$2:$B$495,MATCH(E112,'Dashboard Items'!$A$2:$A$495,0))="Objective","Objectives go in the next column",IF(OR(D112="",INDEX('Dashboard Items'!$B$2:$B$495,MATCH(E112,'Dashboard Items'!$A$2:$A$495,0))=D112),INDEX('Dashboard Items'!$C$2:$C$495,MATCH(E112,'Dashboard Items'!$A$2:$A$495,0)),"Level does not match ID")),"ID not found"))</f>
        <v/>
      </c>
      <c r="G112" s="58"/>
      <c r="H112" s="57" t="str">
        <f>IF(G112="","",IF(ISNUMBER(SEARCH(",",G112)),"Several items (the script lists them)",IFERROR(INDEX('Dashboard Items'!$B$2:$B$495,MATCH(G112,'Dashboard Items'!$A$2:$A$495,0))&amp;": "&amp;INDEX('Dashboard Items'!$C$2:$C$495,MATCH(G112,'Dashboard Items'!$A$2:$A$495,0)),"ID not found")))</f>
        <v/>
      </c>
      <c r="I112" s="56"/>
      <c r="J112" s="56"/>
      <c r="K112" s="56"/>
      <c r="L112" s="56"/>
      <c r="M112" s="56"/>
      <c r="N112" s="56"/>
      <c r="O112" s="56"/>
      <c r="P112" s="56"/>
      <c r="Q112" s="56"/>
      <c r="R112" s="56"/>
      <c r="S112" s="56"/>
      <c r="T112" s="56"/>
      <c r="U112" s="17" t="str">
        <f>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
      </c>
    </row>
    <row r="113" spans="2:21" x14ac:dyDescent="0.2">
      <c r="B113" s="56"/>
      <c r="C113" s="56"/>
      <c r="D113" s="56"/>
      <c r="E113" s="56"/>
      <c r="F113" s="57" t="str">
        <f>IF(E113="","",IFERROR(IF(INDEX('Dashboard Items'!$B$2:$B$495,MATCH(E113,'Dashboard Items'!$A$2:$A$495,0))="Objective","Objectives go in the next column",IF(OR(D113="",INDEX('Dashboard Items'!$B$2:$B$495,MATCH(E113,'Dashboard Items'!$A$2:$A$495,0))=D113),INDEX('Dashboard Items'!$C$2:$C$495,MATCH(E113,'Dashboard Items'!$A$2:$A$495,0)),"Level does not match ID")),"ID not found"))</f>
        <v/>
      </c>
      <c r="G113" s="58"/>
      <c r="H113" s="57" t="str">
        <f>IF(G113="","",IF(ISNUMBER(SEARCH(",",G113)),"Several items (the script lists them)",IFERROR(INDEX('Dashboard Items'!$B$2:$B$495,MATCH(G113,'Dashboard Items'!$A$2:$A$495,0))&amp;": "&amp;INDEX('Dashboard Items'!$C$2:$C$495,MATCH(G113,'Dashboard Items'!$A$2:$A$495,0)),"ID not found")))</f>
        <v/>
      </c>
      <c r="I113" s="56"/>
      <c r="J113" s="56"/>
      <c r="K113" s="56"/>
      <c r="L113" s="56"/>
      <c r="M113" s="56"/>
      <c r="N113" s="56"/>
      <c r="O113" s="56"/>
      <c r="P113" s="56"/>
      <c r="Q113" s="56"/>
      <c r="R113" s="56"/>
      <c r="S113" s="56"/>
      <c r="T113" s="56"/>
      <c r="U113" s="17" t="str">
        <f>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
      </c>
    </row>
    <row r="114" spans="2:21" x14ac:dyDescent="0.2">
      <c r="B114" s="56"/>
      <c r="C114" s="56"/>
      <c r="D114" s="56"/>
      <c r="E114" s="56"/>
      <c r="F114" s="57" t="str">
        <f>IF(E114="","",IFERROR(IF(INDEX('Dashboard Items'!$B$2:$B$495,MATCH(E114,'Dashboard Items'!$A$2:$A$495,0))="Objective","Objectives go in the next column",IF(OR(D114="",INDEX('Dashboard Items'!$B$2:$B$495,MATCH(E114,'Dashboard Items'!$A$2:$A$495,0))=D114),INDEX('Dashboard Items'!$C$2:$C$495,MATCH(E114,'Dashboard Items'!$A$2:$A$495,0)),"Level does not match ID")),"ID not found"))</f>
        <v/>
      </c>
      <c r="G114" s="58"/>
      <c r="H114" s="57" t="str">
        <f>IF(G114="","",IF(ISNUMBER(SEARCH(",",G114)),"Several items (the script lists them)",IFERROR(INDEX('Dashboard Items'!$B$2:$B$495,MATCH(G114,'Dashboard Items'!$A$2:$A$495,0))&amp;": "&amp;INDEX('Dashboard Items'!$C$2:$C$495,MATCH(G114,'Dashboard Items'!$A$2:$A$495,0)),"ID not found")))</f>
        <v/>
      </c>
      <c r="I114" s="56"/>
      <c r="J114" s="56"/>
      <c r="K114" s="56"/>
      <c r="L114" s="56"/>
      <c r="M114" s="56"/>
      <c r="N114" s="56"/>
      <c r="O114" s="56"/>
      <c r="P114" s="56"/>
      <c r="Q114" s="56"/>
      <c r="R114" s="56"/>
      <c r="S114" s="56"/>
      <c r="T114" s="56"/>
      <c r="U114" s="17" t="str">
        <f>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
      </c>
    </row>
    <row r="115" spans="2:21" x14ac:dyDescent="0.2">
      <c r="B115" s="56"/>
      <c r="C115" s="56"/>
      <c r="D115" s="56"/>
      <c r="E115" s="56"/>
      <c r="F115" s="57" t="str">
        <f>IF(E115="","",IFERROR(IF(INDEX('Dashboard Items'!$B$2:$B$495,MATCH(E115,'Dashboard Items'!$A$2:$A$495,0))="Objective","Objectives go in the next column",IF(OR(D115="",INDEX('Dashboard Items'!$B$2:$B$495,MATCH(E115,'Dashboard Items'!$A$2:$A$495,0))=D115),INDEX('Dashboard Items'!$C$2:$C$495,MATCH(E115,'Dashboard Items'!$A$2:$A$495,0)),"Level does not match ID")),"ID not found"))</f>
        <v/>
      </c>
      <c r="G115" s="58"/>
      <c r="H115" s="57" t="str">
        <f>IF(G115="","",IF(ISNUMBER(SEARCH(",",G115)),"Several items (the script lists them)",IFERROR(INDEX('Dashboard Items'!$B$2:$B$495,MATCH(G115,'Dashboard Items'!$A$2:$A$495,0))&amp;": "&amp;INDEX('Dashboard Items'!$C$2:$C$495,MATCH(G115,'Dashboard Items'!$A$2:$A$495,0)),"ID not found")))</f>
        <v/>
      </c>
      <c r="I115" s="56"/>
      <c r="J115" s="56"/>
      <c r="K115" s="56"/>
      <c r="L115" s="56"/>
      <c r="M115" s="56"/>
      <c r="N115" s="56"/>
      <c r="O115" s="56"/>
      <c r="P115" s="56"/>
      <c r="Q115" s="56"/>
      <c r="R115" s="56"/>
      <c r="S115" s="56"/>
      <c r="T115" s="56"/>
      <c r="U115" s="17" t="str">
        <f>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
      </c>
    </row>
    <row r="116" spans="2:21" x14ac:dyDescent="0.2">
      <c r="B116" s="56"/>
      <c r="C116" s="56"/>
      <c r="D116" s="56"/>
      <c r="E116" s="56"/>
      <c r="F116" s="57" t="str">
        <f>IF(E116="","",IFERROR(IF(INDEX('Dashboard Items'!$B$2:$B$495,MATCH(E116,'Dashboard Items'!$A$2:$A$495,0))="Objective","Objectives go in the next column",IF(OR(D116="",INDEX('Dashboard Items'!$B$2:$B$495,MATCH(E116,'Dashboard Items'!$A$2:$A$495,0))=D116),INDEX('Dashboard Items'!$C$2:$C$495,MATCH(E116,'Dashboard Items'!$A$2:$A$495,0)),"Level does not match ID")),"ID not found"))</f>
        <v/>
      </c>
      <c r="G116" s="58"/>
      <c r="H116" s="57" t="str">
        <f>IF(G116="","",IF(ISNUMBER(SEARCH(",",G116)),"Several items (the script lists them)",IFERROR(INDEX('Dashboard Items'!$B$2:$B$495,MATCH(G116,'Dashboard Items'!$A$2:$A$495,0))&amp;": "&amp;INDEX('Dashboard Items'!$C$2:$C$495,MATCH(G116,'Dashboard Items'!$A$2:$A$495,0)),"ID not found")))</f>
        <v/>
      </c>
      <c r="I116" s="56"/>
      <c r="J116" s="56"/>
      <c r="K116" s="56"/>
      <c r="L116" s="56"/>
      <c r="M116" s="56"/>
      <c r="N116" s="56"/>
      <c r="O116" s="56"/>
      <c r="P116" s="56"/>
      <c r="Q116" s="56"/>
      <c r="R116" s="56"/>
      <c r="S116" s="56"/>
      <c r="T116" s="56"/>
      <c r="U116" s="17" t="str">
        <f>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
      </c>
    </row>
    <row r="117" spans="2:21" x14ac:dyDescent="0.2">
      <c r="B117" s="56"/>
      <c r="C117" s="56"/>
      <c r="D117" s="56"/>
      <c r="E117" s="56"/>
      <c r="F117" s="57" t="str">
        <f>IF(E117="","",IFERROR(IF(INDEX('Dashboard Items'!$B$2:$B$495,MATCH(E117,'Dashboard Items'!$A$2:$A$495,0))="Objective","Objectives go in the next column",IF(OR(D117="",INDEX('Dashboard Items'!$B$2:$B$495,MATCH(E117,'Dashboard Items'!$A$2:$A$495,0))=D117),INDEX('Dashboard Items'!$C$2:$C$495,MATCH(E117,'Dashboard Items'!$A$2:$A$495,0)),"Level does not match ID")),"ID not found"))</f>
        <v/>
      </c>
      <c r="G117" s="58"/>
      <c r="H117" s="57" t="str">
        <f>IF(G117="","",IF(ISNUMBER(SEARCH(",",G117)),"Several items (the script lists them)",IFERROR(INDEX('Dashboard Items'!$B$2:$B$495,MATCH(G117,'Dashboard Items'!$A$2:$A$495,0))&amp;": "&amp;INDEX('Dashboard Items'!$C$2:$C$495,MATCH(G117,'Dashboard Items'!$A$2:$A$495,0)),"ID not found")))</f>
        <v/>
      </c>
      <c r="I117" s="56"/>
      <c r="J117" s="56"/>
      <c r="K117" s="56"/>
      <c r="L117" s="56"/>
      <c r="M117" s="56"/>
      <c r="N117" s="56"/>
      <c r="O117" s="56"/>
      <c r="P117" s="56"/>
      <c r="Q117" s="56"/>
      <c r="R117" s="56"/>
      <c r="S117" s="56"/>
      <c r="T117" s="56"/>
      <c r="U117" s="17" t="str">
        <f>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
      </c>
    </row>
    <row r="118" spans="2:21" x14ac:dyDescent="0.2">
      <c r="B118" s="56"/>
      <c r="C118" s="56"/>
      <c r="D118" s="56"/>
      <c r="E118" s="56"/>
      <c r="F118" s="57" t="str">
        <f>IF(E118="","",IFERROR(IF(INDEX('Dashboard Items'!$B$2:$B$495,MATCH(E118,'Dashboard Items'!$A$2:$A$495,0))="Objective","Objectives go in the next column",IF(OR(D118="",INDEX('Dashboard Items'!$B$2:$B$495,MATCH(E118,'Dashboard Items'!$A$2:$A$495,0))=D118),INDEX('Dashboard Items'!$C$2:$C$495,MATCH(E118,'Dashboard Items'!$A$2:$A$495,0)),"Level does not match ID")),"ID not found"))</f>
        <v/>
      </c>
      <c r="G118" s="58"/>
      <c r="H118" s="57" t="str">
        <f>IF(G118="","",IF(ISNUMBER(SEARCH(",",G118)),"Several items (the script lists them)",IFERROR(INDEX('Dashboard Items'!$B$2:$B$495,MATCH(G118,'Dashboard Items'!$A$2:$A$495,0))&amp;": "&amp;INDEX('Dashboard Items'!$C$2:$C$495,MATCH(G118,'Dashboard Items'!$A$2:$A$495,0)),"ID not found")))</f>
        <v/>
      </c>
      <c r="I118" s="56"/>
      <c r="J118" s="56"/>
      <c r="K118" s="56"/>
      <c r="L118" s="56"/>
      <c r="M118" s="56"/>
      <c r="N118" s="56"/>
      <c r="O118" s="56"/>
      <c r="P118" s="56"/>
      <c r="Q118" s="56"/>
      <c r="R118" s="56"/>
      <c r="S118" s="56"/>
      <c r="T118" s="56"/>
      <c r="U118" s="17" t="str">
        <f>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
      </c>
    </row>
    <row r="119" spans="2:21" x14ac:dyDescent="0.2">
      <c r="B119" s="56"/>
      <c r="C119" s="56"/>
      <c r="D119" s="56"/>
      <c r="E119" s="56"/>
      <c r="F119" s="57" t="str">
        <f>IF(E119="","",IFERROR(IF(INDEX('Dashboard Items'!$B$2:$B$495,MATCH(E119,'Dashboard Items'!$A$2:$A$495,0))="Objective","Objectives go in the next column",IF(OR(D119="",INDEX('Dashboard Items'!$B$2:$B$495,MATCH(E119,'Dashboard Items'!$A$2:$A$495,0))=D119),INDEX('Dashboard Items'!$C$2:$C$495,MATCH(E119,'Dashboard Items'!$A$2:$A$495,0)),"Level does not match ID")),"ID not found"))</f>
        <v/>
      </c>
      <c r="G119" s="58"/>
      <c r="H119" s="57" t="str">
        <f>IF(G119="","",IF(ISNUMBER(SEARCH(",",G119)),"Several items (the script lists them)",IFERROR(INDEX('Dashboard Items'!$B$2:$B$495,MATCH(G119,'Dashboard Items'!$A$2:$A$495,0))&amp;": "&amp;INDEX('Dashboard Items'!$C$2:$C$495,MATCH(G119,'Dashboard Items'!$A$2:$A$495,0)),"ID not found")))</f>
        <v/>
      </c>
      <c r="I119" s="56"/>
      <c r="J119" s="56"/>
      <c r="K119" s="56"/>
      <c r="L119" s="56"/>
      <c r="M119" s="56"/>
      <c r="N119" s="56"/>
      <c r="O119" s="56"/>
      <c r="P119" s="56"/>
      <c r="Q119" s="56"/>
      <c r="R119" s="56"/>
      <c r="S119" s="56"/>
      <c r="T119" s="56"/>
      <c r="U119" s="17" t="str">
        <f>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
      </c>
    </row>
    <row r="120" spans="2:21" x14ac:dyDescent="0.2">
      <c r="B120" s="56"/>
      <c r="C120" s="56"/>
      <c r="D120" s="56"/>
      <c r="E120" s="56"/>
      <c r="F120" s="57" t="str">
        <f>IF(E120="","",IFERROR(IF(INDEX('Dashboard Items'!$B$2:$B$495,MATCH(E120,'Dashboard Items'!$A$2:$A$495,0))="Objective","Objectives go in the next column",IF(OR(D120="",INDEX('Dashboard Items'!$B$2:$B$495,MATCH(E120,'Dashboard Items'!$A$2:$A$495,0))=D120),INDEX('Dashboard Items'!$C$2:$C$495,MATCH(E120,'Dashboard Items'!$A$2:$A$495,0)),"Level does not match ID")),"ID not found"))</f>
        <v/>
      </c>
      <c r="G120" s="58"/>
      <c r="H120" s="57" t="str">
        <f>IF(G120="","",IF(ISNUMBER(SEARCH(",",G120)),"Several items (the script lists them)",IFERROR(INDEX('Dashboard Items'!$B$2:$B$495,MATCH(G120,'Dashboard Items'!$A$2:$A$495,0))&amp;": "&amp;INDEX('Dashboard Items'!$C$2:$C$495,MATCH(G120,'Dashboard Items'!$A$2:$A$495,0)),"ID not found")))</f>
        <v/>
      </c>
      <c r="I120" s="56"/>
      <c r="J120" s="56"/>
      <c r="K120" s="56"/>
      <c r="L120" s="56"/>
      <c r="M120" s="56"/>
      <c r="N120" s="56"/>
      <c r="O120" s="56"/>
      <c r="P120" s="56"/>
      <c r="Q120" s="56"/>
      <c r="R120" s="56"/>
      <c r="S120" s="56"/>
      <c r="T120" s="56"/>
      <c r="U120" s="17" t="str">
        <f>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
      </c>
    </row>
    <row r="121" spans="2:21" x14ac:dyDescent="0.2">
      <c r="B121" s="56"/>
      <c r="C121" s="56"/>
      <c r="D121" s="56"/>
      <c r="E121" s="56"/>
      <c r="F121" s="57" t="str">
        <f>IF(E121="","",IFERROR(IF(INDEX('Dashboard Items'!$B$2:$B$495,MATCH(E121,'Dashboard Items'!$A$2:$A$495,0))="Objective","Objectives go in the next column",IF(OR(D121="",INDEX('Dashboard Items'!$B$2:$B$495,MATCH(E121,'Dashboard Items'!$A$2:$A$495,0))=D121),INDEX('Dashboard Items'!$C$2:$C$495,MATCH(E121,'Dashboard Items'!$A$2:$A$495,0)),"Level does not match ID")),"ID not found"))</f>
        <v/>
      </c>
      <c r="G121" s="58"/>
      <c r="H121" s="57" t="str">
        <f>IF(G121="","",IF(ISNUMBER(SEARCH(",",G121)),"Several items (the script lists them)",IFERROR(INDEX('Dashboard Items'!$B$2:$B$495,MATCH(G121,'Dashboard Items'!$A$2:$A$495,0))&amp;": "&amp;INDEX('Dashboard Items'!$C$2:$C$495,MATCH(G121,'Dashboard Items'!$A$2:$A$495,0)),"ID not found")))</f>
        <v/>
      </c>
      <c r="I121" s="56"/>
      <c r="J121" s="56"/>
      <c r="K121" s="56"/>
      <c r="L121" s="56"/>
      <c r="M121" s="56"/>
      <c r="N121" s="56"/>
      <c r="O121" s="56"/>
      <c r="P121" s="56"/>
      <c r="Q121" s="56"/>
      <c r="R121" s="56"/>
      <c r="S121" s="56"/>
      <c r="T121" s="56"/>
      <c r="U121" s="17" t="str">
        <f>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
      </c>
    </row>
    <row r="122" spans="2:21" x14ac:dyDescent="0.2">
      <c r="B122" s="56"/>
      <c r="C122" s="56"/>
      <c r="D122" s="56"/>
      <c r="E122" s="56"/>
      <c r="F122" s="57" t="str">
        <f>IF(E122="","",IFERROR(IF(INDEX('Dashboard Items'!$B$2:$B$495,MATCH(E122,'Dashboard Items'!$A$2:$A$495,0))="Objective","Objectives go in the next column",IF(OR(D122="",INDEX('Dashboard Items'!$B$2:$B$495,MATCH(E122,'Dashboard Items'!$A$2:$A$495,0))=D122),INDEX('Dashboard Items'!$C$2:$C$495,MATCH(E122,'Dashboard Items'!$A$2:$A$495,0)),"Level does not match ID")),"ID not found"))</f>
        <v/>
      </c>
      <c r="G122" s="58"/>
      <c r="H122" s="57" t="str">
        <f>IF(G122="","",IF(ISNUMBER(SEARCH(",",G122)),"Several items (the script lists them)",IFERROR(INDEX('Dashboard Items'!$B$2:$B$495,MATCH(G122,'Dashboard Items'!$A$2:$A$495,0))&amp;": "&amp;INDEX('Dashboard Items'!$C$2:$C$495,MATCH(G122,'Dashboard Items'!$A$2:$A$495,0)),"ID not found")))</f>
        <v/>
      </c>
      <c r="I122" s="56"/>
      <c r="J122" s="56"/>
      <c r="K122" s="56"/>
      <c r="L122" s="56"/>
      <c r="M122" s="56"/>
      <c r="N122" s="56"/>
      <c r="O122" s="56"/>
      <c r="P122" s="56"/>
      <c r="Q122" s="56"/>
      <c r="R122" s="56"/>
      <c r="S122" s="56"/>
      <c r="T122" s="56"/>
      <c r="U122" s="17" t="str">
        <f>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
      </c>
    </row>
    <row r="123" spans="2:21" x14ac:dyDescent="0.2">
      <c r="B123" s="56"/>
      <c r="C123" s="56"/>
      <c r="D123" s="56"/>
      <c r="E123" s="56"/>
      <c r="F123" s="57" t="str">
        <f>IF(E123="","",IFERROR(IF(INDEX('Dashboard Items'!$B$2:$B$495,MATCH(E123,'Dashboard Items'!$A$2:$A$495,0))="Objective","Objectives go in the next column",IF(OR(D123="",INDEX('Dashboard Items'!$B$2:$B$495,MATCH(E123,'Dashboard Items'!$A$2:$A$495,0))=D123),INDEX('Dashboard Items'!$C$2:$C$495,MATCH(E123,'Dashboard Items'!$A$2:$A$495,0)),"Level does not match ID")),"ID not found"))</f>
        <v/>
      </c>
      <c r="G123" s="58"/>
      <c r="H123" s="57" t="str">
        <f>IF(G123="","",IF(ISNUMBER(SEARCH(",",G123)),"Several items (the script lists them)",IFERROR(INDEX('Dashboard Items'!$B$2:$B$495,MATCH(G123,'Dashboard Items'!$A$2:$A$495,0))&amp;": "&amp;INDEX('Dashboard Items'!$C$2:$C$495,MATCH(G123,'Dashboard Items'!$A$2:$A$495,0)),"ID not found")))</f>
        <v/>
      </c>
      <c r="I123" s="56"/>
      <c r="J123" s="56"/>
      <c r="K123" s="56"/>
      <c r="L123" s="56"/>
      <c r="M123" s="56"/>
      <c r="N123" s="56"/>
      <c r="O123" s="56"/>
      <c r="P123" s="56"/>
      <c r="Q123" s="56"/>
      <c r="R123" s="56"/>
      <c r="S123" s="56"/>
      <c r="T123" s="56"/>
      <c r="U123" s="17" t="str">
        <f>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
      </c>
    </row>
    <row r="124" spans="2:21" x14ac:dyDescent="0.2">
      <c r="B124" s="56"/>
      <c r="C124" s="56"/>
      <c r="D124" s="56"/>
      <c r="E124" s="56"/>
      <c r="F124" s="57" t="str">
        <f>IF(E124="","",IFERROR(IF(INDEX('Dashboard Items'!$B$2:$B$495,MATCH(E124,'Dashboard Items'!$A$2:$A$495,0))="Objective","Objectives go in the next column",IF(OR(D124="",INDEX('Dashboard Items'!$B$2:$B$495,MATCH(E124,'Dashboard Items'!$A$2:$A$495,0))=D124),INDEX('Dashboard Items'!$C$2:$C$495,MATCH(E124,'Dashboard Items'!$A$2:$A$495,0)),"Level does not match ID")),"ID not found"))</f>
        <v/>
      </c>
      <c r="G124" s="58"/>
      <c r="H124" s="57" t="str">
        <f>IF(G124="","",IF(ISNUMBER(SEARCH(",",G124)),"Several items (the script lists them)",IFERROR(INDEX('Dashboard Items'!$B$2:$B$495,MATCH(G124,'Dashboard Items'!$A$2:$A$495,0))&amp;": "&amp;INDEX('Dashboard Items'!$C$2:$C$495,MATCH(G124,'Dashboard Items'!$A$2:$A$495,0)),"ID not found")))</f>
        <v/>
      </c>
      <c r="I124" s="56"/>
      <c r="J124" s="56"/>
      <c r="K124" s="56"/>
      <c r="L124" s="56"/>
      <c r="M124" s="56"/>
      <c r="N124" s="56"/>
      <c r="O124" s="56"/>
      <c r="P124" s="56"/>
      <c r="Q124" s="56"/>
      <c r="R124" s="56"/>
      <c r="S124" s="56"/>
      <c r="T124" s="56"/>
      <c r="U124" s="17" t="str">
        <f>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
      </c>
    </row>
    <row r="125" spans="2:21" x14ac:dyDescent="0.2">
      <c r="B125" s="56"/>
      <c r="C125" s="56"/>
      <c r="D125" s="56"/>
      <c r="E125" s="56"/>
      <c r="F125" s="57" t="str">
        <f>IF(E125="","",IFERROR(IF(INDEX('Dashboard Items'!$B$2:$B$495,MATCH(E125,'Dashboard Items'!$A$2:$A$495,0))="Objective","Objectives go in the next column",IF(OR(D125="",INDEX('Dashboard Items'!$B$2:$B$495,MATCH(E125,'Dashboard Items'!$A$2:$A$495,0))=D125),INDEX('Dashboard Items'!$C$2:$C$495,MATCH(E125,'Dashboard Items'!$A$2:$A$495,0)),"Level does not match ID")),"ID not found"))</f>
        <v/>
      </c>
      <c r="G125" s="58"/>
      <c r="H125" s="57" t="str">
        <f>IF(G125="","",IF(ISNUMBER(SEARCH(",",G125)),"Several items (the script lists them)",IFERROR(INDEX('Dashboard Items'!$B$2:$B$495,MATCH(G125,'Dashboard Items'!$A$2:$A$495,0))&amp;": "&amp;INDEX('Dashboard Items'!$C$2:$C$495,MATCH(G125,'Dashboard Items'!$A$2:$A$495,0)),"ID not found")))</f>
        <v/>
      </c>
      <c r="I125" s="56"/>
      <c r="J125" s="56"/>
      <c r="K125" s="56"/>
      <c r="L125" s="56"/>
      <c r="M125" s="56"/>
      <c r="N125" s="56"/>
      <c r="O125" s="56"/>
      <c r="P125" s="56"/>
      <c r="Q125" s="56"/>
      <c r="R125" s="56"/>
      <c r="S125" s="56"/>
      <c r="T125" s="56"/>
      <c r="U125" s="17" t="str">
        <f>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
      </c>
    </row>
    <row r="126" spans="2:21" x14ac:dyDescent="0.2">
      <c r="B126" s="56"/>
      <c r="C126" s="56"/>
      <c r="D126" s="56"/>
      <c r="E126" s="56"/>
      <c r="F126" s="57" t="str">
        <f>IF(E126="","",IFERROR(IF(INDEX('Dashboard Items'!$B$2:$B$495,MATCH(E126,'Dashboard Items'!$A$2:$A$495,0))="Objective","Objectives go in the next column",IF(OR(D126="",INDEX('Dashboard Items'!$B$2:$B$495,MATCH(E126,'Dashboard Items'!$A$2:$A$495,0))=D126),INDEX('Dashboard Items'!$C$2:$C$495,MATCH(E126,'Dashboard Items'!$A$2:$A$495,0)),"Level does not match ID")),"ID not found"))</f>
        <v/>
      </c>
      <c r="G126" s="58"/>
      <c r="H126" s="57" t="str">
        <f>IF(G126="","",IF(ISNUMBER(SEARCH(",",G126)),"Several items (the script lists them)",IFERROR(INDEX('Dashboard Items'!$B$2:$B$495,MATCH(G126,'Dashboard Items'!$A$2:$A$495,0))&amp;": "&amp;INDEX('Dashboard Items'!$C$2:$C$495,MATCH(G126,'Dashboard Items'!$A$2:$A$495,0)),"ID not found")))</f>
        <v/>
      </c>
      <c r="I126" s="56"/>
      <c r="J126" s="56"/>
      <c r="K126" s="56"/>
      <c r="L126" s="56"/>
      <c r="M126" s="56"/>
      <c r="N126" s="56"/>
      <c r="O126" s="56"/>
      <c r="P126" s="56"/>
      <c r="Q126" s="56"/>
      <c r="R126" s="56"/>
      <c r="S126" s="56"/>
      <c r="T126" s="56"/>
      <c r="U126" s="17" t="str">
        <f>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
      </c>
    </row>
    <row r="127" spans="2:21" x14ac:dyDescent="0.2">
      <c r="B127" s="56"/>
      <c r="C127" s="56"/>
      <c r="D127" s="56"/>
      <c r="E127" s="56"/>
      <c r="F127" s="57" t="str">
        <f>IF(E127="","",IFERROR(IF(INDEX('Dashboard Items'!$B$2:$B$495,MATCH(E127,'Dashboard Items'!$A$2:$A$495,0))="Objective","Objectives go in the next column",IF(OR(D127="",INDEX('Dashboard Items'!$B$2:$B$495,MATCH(E127,'Dashboard Items'!$A$2:$A$495,0))=D127),INDEX('Dashboard Items'!$C$2:$C$495,MATCH(E127,'Dashboard Items'!$A$2:$A$495,0)),"Level does not match ID")),"ID not found"))</f>
        <v/>
      </c>
      <c r="G127" s="58"/>
      <c r="H127" s="57" t="str">
        <f>IF(G127="","",IF(ISNUMBER(SEARCH(",",G127)),"Several items (the script lists them)",IFERROR(INDEX('Dashboard Items'!$B$2:$B$495,MATCH(G127,'Dashboard Items'!$A$2:$A$495,0))&amp;": "&amp;INDEX('Dashboard Items'!$C$2:$C$495,MATCH(G127,'Dashboard Items'!$A$2:$A$495,0)),"ID not found")))</f>
        <v/>
      </c>
      <c r="I127" s="56"/>
      <c r="J127" s="56"/>
      <c r="K127" s="56"/>
      <c r="L127" s="56"/>
      <c r="M127" s="56"/>
      <c r="N127" s="56"/>
      <c r="O127" s="56"/>
      <c r="P127" s="56"/>
      <c r="Q127" s="56"/>
      <c r="R127" s="56"/>
      <c r="S127" s="56"/>
      <c r="T127" s="56"/>
      <c r="U127" s="17" t="str">
        <f>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
      </c>
    </row>
    <row r="128" spans="2:21" x14ac:dyDescent="0.2">
      <c r="B128" s="56"/>
      <c r="C128" s="56"/>
      <c r="D128" s="56"/>
      <c r="E128" s="56"/>
      <c r="F128" s="57" t="str">
        <f>IF(E128="","",IFERROR(IF(INDEX('Dashboard Items'!$B$2:$B$495,MATCH(E128,'Dashboard Items'!$A$2:$A$495,0))="Objective","Objectives go in the next column",IF(OR(D128="",INDEX('Dashboard Items'!$B$2:$B$495,MATCH(E128,'Dashboard Items'!$A$2:$A$495,0))=D128),INDEX('Dashboard Items'!$C$2:$C$495,MATCH(E128,'Dashboard Items'!$A$2:$A$495,0)),"Level does not match ID")),"ID not found"))</f>
        <v/>
      </c>
      <c r="G128" s="58"/>
      <c r="H128" s="57" t="str">
        <f>IF(G128="","",IF(ISNUMBER(SEARCH(",",G128)),"Several items (the script lists them)",IFERROR(INDEX('Dashboard Items'!$B$2:$B$495,MATCH(G128,'Dashboard Items'!$A$2:$A$495,0))&amp;": "&amp;INDEX('Dashboard Items'!$C$2:$C$495,MATCH(G128,'Dashboard Items'!$A$2:$A$495,0)),"ID not found")))</f>
        <v/>
      </c>
      <c r="I128" s="56"/>
      <c r="J128" s="56"/>
      <c r="K128" s="56"/>
      <c r="L128" s="56"/>
      <c r="M128" s="56"/>
      <c r="N128" s="56"/>
      <c r="O128" s="56"/>
      <c r="P128" s="56"/>
      <c r="Q128" s="56"/>
      <c r="R128" s="56"/>
      <c r="S128" s="56"/>
      <c r="T128" s="56"/>
      <c r="U128" s="17" t="str">
        <f>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
      </c>
    </row>
    <row r="129" spans="2:21" x14ac:dyDescent="0.2">
      <c r="B129" s="56"/>
      <c r="C129" s="56"/>
      <c r="D129" s="56"/>
      <c r="E129" s="56"/>
      <c r="F129" s="57" t="str">
        <f>IF(E129="","",IFERROR(IF(INDEX('Dashboard Items'!$B$2:$B$495,MATCH(E129,'Dashboard Items'!$A$2:$A$495,0))="Objective","Objectives go in the next column",IF(OR(D129="",INDEX('Dashboard Items'!$B$2:$B$495,MATCH(E129,'Dashboard Items'!$A$2:$A$495,0))=D129),INDEX('Dashboard Items'!$C$2:$C$495,MATCH(E129,'Dashboard Items'!$A$2:$A$495,0)),"Level does not match ID")),"ID not found"))</f>
        <v/>
      </c>
      <c r="G129" s="58"/>
      <c r="H129" s="57" t="str">
        <f>IF(G129="","",IF(ISNUMBER(SEARCH(",",G129)),"Several items (the script lists them)",IFERROR(INDEX('Dashboard Items'!$B$2:$B$495,MATCH(G129,'Dashboard Items'!$A$2:$A$495,0))&amp;": "&amp;INDEX('Dashboard Items'!$C$2:$C$495,MATCH(G129,'Dashboard Items'!$A$2:$A$495,0)),"ID not found")))</f>
        <v/>
      </c>
      <c r="I129" s="56"/>
      <c r="J129" s="56"/>
      <c r="K129" s="56"/>
      <c r="L129" s="56"/>
      <c r="M129" s="56"/>
      <c r="N129" s="56"/>
      <c r="O129" s="56"/>
      <c r="P129" s="56"/>
      <c r="Q129" s="56"/>
      <c r="R129" s="56"/>
      <c r="S129" s="56"/>
      <c r="T129" s="56"/>
      <c r="U129" s="17" t="str">
        <f>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
      </c>
    </row>
    <row r="130" spans="2:21" x14ac:dyDescent="0.2">
      <c r="B130" s="56"/>
      <c r="C130" s="56"/>
      <c r="D130" s="56"/>
      <c r="E130" s="56"/>
      <c r="F130" s="57" t="str">
        <f>IF(E130="","",IFERROR(IF(INDEX('Dashboard Items'!$B$2:$B$495,MATCH(E130,'Dashboard Items'!$A$2:$A$495,0))="Objective","Objectives go in the next column",IF(OR(D130="",INDEX('Dashboard Items'!$B$2:$B$495,MATCH(E130,'Dashboard Items'!$A$2:$A$495,0))=D130),INDEX('Dashboard Items'!$C$2:$C$495,MATCH(E130,'Dashboard Items'!$A$2:$A$495,0)),"Level does not match ID")),"ID not found"))</f>
        <v/>
      </c>
      <c r="G130" s="58"/>
      <c r="H130" s="57" t="str">
        <f>IF(G130="","",IF(ISNUMBER(SEARCH(",",G130)),"Several items (the script lists them)",IFERROR(INDEX('Dashboard Items'!$B$2:$B$495,MATCH(G130,'Dashboard Items'!$A$2:$A$495,0))&amp;": "&amp;INDEX('Dashboard Items'!$C$2:$C$495,MATCH(G130,'Dashboard Items'!$A$2:$A$495,0)),"ID not found")))</f>
        <v/>
      </c>
      <c r="I130" s="56"/>
      <c r="J130" s="56"/>
      <c r="K130" s="56"/>
      <c r="L130" s="56"/>
      <c r="M130" s="56"/>
      <c r="N130" s="56"/>
      <c r="O130" s="56"/>
      <c r="P130" s="56"/>
      <c r="Q130" s="56"/>
      <c r="R130" s="56"/>
      <c r="S130" s="56"/>
      <c r="T130" s="56"/>
      <c r="U130" s="17" t="str">
        <f>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
      </c>
    </row>
    <row r="131" spans="2:21" x14ac:dyDescent="0.2">
      <c r="B131" s="56"/>
      <c r="C131" s="56"/>
      <c r="D131" s="56"/>
      <c r="E131" s="56"/>
      <c r="F131" s="57" t="str">
        <f>IF(E131="","",IFERROR(IF(INDEX('Dashboard Items'!$B$2:$B$495,MATCH(E131,'Dashboard Items'!$A$2:$A$495,0))="Objective","Objectives go in the next column",IF(OR(D131="",INDEX('Dashboard Items'!$B$2:$B$495,MATCH(E131,'Dashboard Items'!$A$2:$A$495,0))=D131),INDEX('Dashboard Items'!$C$2:$C$495,MATCH(E131,'Dashboard Items'!$A$2:$A$495,0)),"Level does not match ID")),"ID not found"))</f>
        <v/>
      </c>
      <c r="G131" s="58"/>
      <c r="H131" s="57" t="str">
        <f>IF(G131="","",IF(ISNUMBER(SEARCH(",",G131)),"Several items (the script lists them)",IFERROR(INDEX('Dashboard Items'!$B$2:$B$495,MATCH(G131,'Dashboard Items'!$A$2:$A$495,0))&amp;": "&amp;INDEX('Dashboard Items'!$C$2:$C$495,MATCH(G131,'Dashboard Items'!$A$2:$A$495,0)),"ID not found")))</f>
        <v/>
      </c>
      <c r="I131" s="56"/>
      <c r="J131" s="56"/>
      <c r="K131" s="56"/>
      <c r="L131" s="56"/>
      <c r="M131" s="56"/>
      <c r="N131" s="56"/>
      <c r="O131" s="56"/>
      <c r="P131" s="56"/>
      <c r="Q131" s="56"/>
      <c r="R131" s="56"/>
      <c r="S131" s="56"/>
      <c r="T131" s="56"/>
      <c r="U131" s="17" t="str">
        <f>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
      </c>
    </row>
    <row r="132" spans="2:21" x14ac:dyDescent="0.2">
      <c r="B132" s="56"/>
      <c r="C132" s="56"/>
      <c r="D132" s="56"/>
      <c r="E132" s="56"/>
      <c r="F132" s="57" t="str">
        <f>IF(E132="","",IFERROR(IF(INDEX('Dashboard Items'!$B$2:$B$495,MATCH(E132,'Dashboard Items'!$A$2:$A$495,0))="Objective","Objectives go in the next column",IF(OR(D132="",INDEX('Dashboard Items'!$B$2:$B$495,MATCH(E132,'Dashboard Items'!$A$2:$A$495,0))=D132),INDEX('Dashboard Items'!$C$2:$C$495,MATCH(E132,'Dashboard Items'!$A$2:$A$495,0)),"Level does not match ID")),"ID not found"))</f>
        <v/>
      </c>
      <c r="G132" s="58"/>
      <c r="H132" s="57" t="str">
        <f>IF(G132="","",IF(ISNUMBER(SEARCH(",",G132)),"Several items (the script lists them)",IFERROR(INDEX('Dashboard Items'!$B$2:$B$495,MATCH(G132,'Dashboard Items'!$A$2:$A$495,0))&amp;": "&amp;INDEX('Dashboard Items'!$C$2:$C$495,MATCH(G132,'Dashboard Items'!$A$2:$A$495,0)),"ID not found")))</f>
        <v/>
      </c>
      <c r="I132" s="56"/>
      <c r="J132" s="56"/>
      <c r="K132" s="56"/>
      <c r="L132" s="56"/>
      <c r="M132" s="56"/>
      <c r="N132" s="56"/>
      <c r="O132" s="56"/>
      <c r="P132" s="56"/>
      <c r="Q132" s="56"/>
      <c r="R132" s="56"/>
      <c r="S132" s="56"/>
      <c r="T132" s="56"/>
      <c r="U132" s="17" t="str">
        <f>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
      </c>
    </row>
    <row r="133" spans="2:21" x14ac:dyDescent="0.2">
      <c r="B133" s="56"/>
      <c r="C133" s="56"/>
      <c r="D133" s="56"/>
      <c r="E133" s="56"/>
      <c r="F133" s="57" t="str">
        <f>IF(E133="","",IFERROR(IF(INDEX('Dashboard Items'!$B$2:$B$495,MATCH(E133,'Dashboard Items'!$A$2:$A$495,0))="Objective","Objectives go in the next column",IF(OR(D133="",INDEX('Dashboard Items'!$B$2:$B$495,MATCH(E133,'Dashboard Items'!$A$2:$A$495,0))=D133),INDEX('Dashboard Items'!$C$2:$C$495,MATCH(E133,'Dashboard Items'!$A$2:$A$495,0)),"Level does not match ID")),"ID not found"))</f>
        <v/>
      </c>
      <c r="G133" s="58"/>
      <c r="H133" s="57" t="str">
        <f>IF(G133="","",IF(ISNUMBER(SEARCH(",",G133)),"Several items (the script lists them)",IFERROR(INDEX('Dashboard Items'!$B$2:$B$495,MATCH(G133,'Dashboard Items'!$A$2:$A$495,0))&amp;": "&amp;INDEX('Dashboard Items'!$C$2:$C$495,MATCH(G133,'Dashboard Items'!$A$2:$A$495,0)),"ID not found")))</f>
        <v/>
      </c>
      <c r="I133" s="56"/>
      <c r="J133" s="56"/>
      <c r="K133" s="56"/>
      <c r="L133" s="56"/>
      <c r="M133" s="56"/>
      <c r="N133" s="56"/>
      <c r="O133" s="56"/>
      <c r="P133" s="56"/>
      <c r="Q133" s="56"/>
      <c r="R133" s="56"/>
      <c r="S133" s="56"/>
      <c r="T133" s="56"/>
      <c r="U133" s="17" t="str">
        <f>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
      </c>
    </row>
    <row r="134" spans="2:21" x14ac:dyDescent="0.2">
      <c r="B134" s="56"/>
      <c r="C134" s="56"/>
      <c r="D134" s="56"/>
      <c r="E134" s="56"/>
      <c r="F134" s="57" t="str">
        <f>IF(E134="","",IFERROR(IF(INDEX('Dashboard Items'!$B$2:$B$495,MATCH(E134,'Dashboard Items'!$A$2:$A$495,0))="Objective","Objectives go in the next column",IF(OR(D134="",INDEX('Dashboard Items'!$B$2:$B$495,MATCH(E134,'Dashboard Items'!$A$2:$A$495,0))=D134),INDEX('Dashboard Items'!$C$2:$C$495,MATCH(E134,'Dashboard Items'!$A$2:$A$495,0)),"Level does not match ID")),"ID not found"))</f>
        <v/>
      </c>
      <c r="G134" s="58"/>
      <c r="H134" s="57" t="str">
        <f>IF(G134="","",IF(ISNUMBER(SEARCH(",",G134)),"Several items (the script lists them)",IFERROR(INDEX('Dashboard Items'!$B$2:$B$495,MATCH(G134,'Dashboard Items'!$A$2:$A$495,0))&amp;": "&amp;INDEX('Dashboard Items'!$C$2:$C$495,MATCH(G134,'Dashboard Items'!$A$2:$A$495,0)),"ID not found")))</f>
        <v/>
      </c>
      <c r="I134" s="56"/>
      <c r="J134" s="56"/>
      <c r="K134" s="56"/>
      <c r="L134" s="56"/>
      <c r="M134" s="56"/>
      <c r="N134" s="56"/>
      <c r="O134" s="56"/>
      <c r="P134" s="56"/>
      <c r="Q134" s="56"/>
      <c r="R134" s="56"/>
      <c r="S134" s="56"/>
      <c r="T134" s="56"/>
      <c r="U134" s="17" t="str">
        <f>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
      </c>
    </row>
    <row r="135" spans="2:21" x14ac:dyDescent="0.2">
      <c r="B135" s="56"/>
      <c r="C135" s="56"/>
      <c r="D135" s="56"/>
      <c r="E135" s="56"/>
      <c r="F135" s="57" t="str">
        <f>IF(E135="","",IFERROR(IF(INDEX('Dashboard Items'!$B$2:$B$495,MATCH(E135,'Dashboard Items'!$A$2:$A$495,0))="Objective","Objectives go in the next column",IF(OR(D135="",INDEX('Dashboard Items'!$B$2:$B$495,MATCH(E135,'Dashboard Items'!$A$2:$A$495,0))=D135),INDEX('Dashboard Items'!$C$2:$C$495,MATCH(E135,'Dashboard Items'!$A$2:$A$495,0)),"Level does not match ID")),"ID not found"))</f>
        <v/>
      </c>
      <c r="G135" s="58"/>
      <c r="H135" s="57" t="str">
        <f>IF(G135="","",IF(ISNUMBER(SEARCH(",",G135)),"Several items (the script lists them)",IFERROR(INDEX('Dashboard Items'!$B$2:$B$495,MATCH(G135,'Dashboard Items'!$A$2:$A$495,0))&amp;": "&amp;INDEX('Dashboard Items'!$C$2:$C$495,MATCH(G135,'Dashboard Items'!$A$2:$A$495,0)),"ID not found")))</f>
        <v/>
      </c>
      <c r="I135" s="56"/>
      <c r="J135" s="56"/>
      <c r="K135" s="56"/>
      <c r="L135" s="56"/>
      <c r="M135" s="56"/>
      <c r="N135" s="56"/>
      <c r="O135" s="56"/>
      <c r="P135" s="56"/>
      <c r="Q135" s="56"/>
      <c r="R135" s="56"/>
      <c r="S135" s="56"/>
      <c r="T135" s="56"/>
      <c r="U135" s="17" t="str">
        <f>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
      </c>
    </row>
    <row r="136" spans="2:21" x14ac:dyDescent="0.2">
      <c r="B136" s="56"/>
      <c r="C136" s="56"/>
      <c r="D136" s="56"/>
      <c r="E136" s="56"/>
      <c r="F136" s="57" t="str">
        <f>IF(E136="","",IFERROR(IF(INDEX('Dashboard Items'!$B$2:$B$495,MATCH(E136,'Dashboard Items'!$A$2:$A$495,0))="Objective","Objectives go in the next column",IF(OR(D136="",INDEX('Dashboard Items'!$B$2:$B$495,MATCH(E136,'Dashboard Items'!$A$2:$A$495,0))=D136),INDEX('Dashboard Items'!$C$2:$C$495,MATCH(E136,'Dashboard Items'!$A$2:$A$495,0)),"Level does not match ID")),"ID not found"))</f>
        <v/>
      </c>
      <c r="G136" s="58"/>
      <c r="H136" s="57" t="str">
        <f>IF(G136="","",IF(ISNUMBER(SEARCH(",",G136)),"Several items (the script lists them)",IFERROR(INDEX('Dashboard Items'!$B$2:$B$495,MATCH(G136,'Dashboard Items'!$A$2:$A$495,0))&amp;": "&amp;INDEX('Dashboard Items'!$C$2:$C$495,MATCH(G136,'Dashboard Items'!$A$2:$A$495,0)),"ID not found")))</f>
        <v/>
      </c>
      <c r="I136" s="56"/>
      <c r="J136" s="56"/>
      <c r="K136" s="56"/>
      <c r="L136" s="56"/>
      <c r="M136" s="56"/>
      <c r="N136" s="56"/>
      <c r="O136" s="56"/>
      <c r="P136" s="56"/>
      <c r="Q136" s="56"/>
      <c r="R136" s="56"/>
      <c r="S136" s="56"/>
      <c r="T136" s="56"/>
      <c r="U136" s="17" t="str">
        <f>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
      </c>
    </row>
    <row r="137" spans="2:21" x14ac:dyDescent="0.2">
      <c r="B137" s="56"/>
      <c r="C137" s="56"/>
      <c r="D137" s="56"/>
      <c r="E137" s="56"/>
      <c r="F137" s="57" t="str">
        <f>IF(E137="","",IFERROR(IF(INDEX('Dashboard Items'!$B$2:$B$495,MATCH(E137,'Dashboard Items'!$A$2:$A$495,0))="Objective","Objectives go in the next column",IF(OR(D137="",INDEX('Dashboard Items'!$B$2:$B$495,MATCH(E137,'Dashboard Items'!$A$2:$A$495,0))=D137),INDEX('Dashboard Items'!$C$2:$C$495,MATCH(E137,'Dashboard Items'!$A$2:$A$495,0)),"Level does not match ID")),"ID not found"))</f>
        <v/>
      </c>
      <c r="G137" s="58"/>
      <c r="H137" s="57" t="str">
        <f>IF(G137="","",IF(ISNUMBER(SEARCH(",",G137)),"Several items (the script lists them)",IFERROR(INDEX('Dashboard Items'!$B$2:$B$495,MATCH(G137,'Dashboard Items'!$A$2:$A$495,0))&amp;": "&amp;INDEX('Dashboard Items'!$C$2:$C$495,MATCH(G137,'Dashboard Items'!$A$2:$A$495,0)),"ID not found")))</f>
        <v/>
      </c>
      <c r="I137" s="56"/>
      <c r="J137" s="56"/>
      <c r="K137" s="56"/>
      <c r="L137" s="56"/>
      <c r="M137" s="56"/>
      <c r="N137" s="56"/>
      <c r="O137" s="56"/>
      <c r="P137" s="56"/>
      <c r="Q137" s="56"/>
      <c r="R137" s="56"/>
      <c r="S137" s="56"/>
      <c r="T137" s="56"/>
      <c r="U137" s="17" t="str">
        <f>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
      </c>
    </row>
    <row r="138" spans="2:21" x14ac:dyDescent="0.2">
      <c r="B138" s="56"/>
      <c r="C138" s="56"/>
      <c r="D138" s="56"/>
      <c r="E138" s="56"/>
      <c r="F138" s="57" t="str">
        <f>IF(E138="","",IFERROR(IF(INDEX('Dashboard Items'!$B$2:$B$495,MATCH(E138,'Dashboard Items'!$A$2:$A$495,0))="Objective","Objectives go in the next column",IF(OR(D138="",INDEX('Dashboard Items'!$B$2:$B$495,MATCH(E138,'Dashboard Items'!$A$2:$A$495,0))=D138),INDEX('Dashboard Items'!$C$2:$C$495,MATCH(E138,'Dashboard Items'!$A$2:$A$495,0)),"Level does not match ID")),"ID not found"))</f>
        <v/>
      </c>
      <c r="G138" s="58"/>
      <c r="H138" s="57" t="str">
        <f>IF(G138="","",IF(ISNUMBER(SEARCH(",",G138)),"Several items (the script lists them)",IFERROR(INDEX('Dashboard Items'!$B$2:$B$495,MATCH(G138,'Dashboard Items'!$A$2:$A$495,0))&amp;": "&amp;INDEX('Dashboard Items'!$C$2:$C$495,MATCH(G138,'Dashboard Items'!$A$2:$A$495,0)),"ID not found")))</f>
        <v/>
      </c>
      <c r="I138" s="56"/>
      <c r="J138" s="56"/>
      <c r="K138" s="56"/>
      <c r="L138" s="56"/>
      <c r="M138" s="56"/>
      <c r="N138" s="56"/>
      <c r="O138" s="56"/>
      <c r="P138" s="56"/>
      <c r="Q138" s="56"/>
      <c r="R138" s="56"/>
      <c r="S138" s="56"/>
      <c r="T138" s="56"/>
      <c r="U138" s="17" t="str">
        <f>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
      </c>
    </row>
    <row r="139" spans="2:21" x14ac:dyDescent="0.2">
      <c r="B139" s="56"/>
      <c r="C139" s="56"/>
      <c r="D139" s="56"/>
      <c r="E139" s="56"/>
      <c r="F139" s="57" t="str">
        <f>IF(E139="","",IFERROR(IF(INDEX('Dashboard Items'!$B$2:$B$495,MATCH(E139,'Dashboard Items'!$A$2:$A$495,0))="Objective","Objectives go in the next column",IF(OR(D139="",INDEX('Dashboard Items'!$B$2:$B$495,MATCH(E139,'Dashboard Items'!$A$2:$A$495,0))=D139),INDEX('Dashboard Items'!$C$2:$C$495,MATCH(E139,'Dashboard Items'!$A$2:$A$495,0)),"Level does not match ID")),"ID not found"))</f>
        <v/>
      </c>
      <c r="G139" s="58"/>
      <c r="H139" s="57" t="str">
        <f>IF(G139="","",IF(ISNUMBER(SEARCH(",",G139)),"Several items (the script lists them)",IFERROR(INDEX('Dashboard Items'!$B$2:$B$495,MATCH(G139,'Dashboard Items'!$A$2:$A$495,0))&amp;": "&amp;INDEX('Dashboard Items'!$C$2:$C$495,MATCH(G139,'Dashboard Items'!$A$2:$A$495,0)),"ID not found")))</f>
        <v/>
      </c>
      <c r="I139" s="56"/>
      <c r="J139" s="56"/>
      <c r="K139" s="56"/>
      <c r="L139" s="56"/>
      <c r="M139" s="56"/>
      <c r="N139" s="56"/>
      <c r="O139" s="56"/>
      <c r="P139" s="56"/>
      <c r="Q139" s="56"/>
      <c r="R139" s="56"/>
      <c r="S139" s="56"/>
      <c r="T139" s="56"/>
      <c r="U139" s="17" t="str">
        <f>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
      </c>
    </row>
    <row r="140" spans="2:21" x14ac:dyDescent="0.2">
      <c r="B140" s="56"/>
      <c r="C140" s="56"/>
      <c r="D140" s="56"/>
      <c r="E140" s="56"/>
      <c r="F140" s="57" t="str">
        <f>IF(E140="","",IFERROR(IF(INDEX('Dashboard Items'!$B$2:$B$495,MATCH(E140,'Dashboard Items'!$A$2:$A$495,0))="Objective","Objectives go in the next column",IF(OR(D140="",INDEX('Dashboard Items'!$B$2:$B$495,MATCH(E140,'Dashboard Items'!$A$2:$A$495,0))=D140),INDEX('Dashboard Items'!$C$2:$C$495,MATCH(E140,'Dashboard Items'!$A$2:$A$495,0)),"Level does not match ID")),"ID not found"))</f>
        <v/>
      </c>
      <c r="G140" s="58"/>
      <c r="H140" s="57" t="str">
        <f>IF(G140="","",IF(ISNUMBER(SEARCH(",",G140)),"Several items (the script lists them)",IFERROR(INDEX('Dashboard Items'!$B$2:$B$495,MATCH(G140,'Dashboard Items'!$A$2:$A$495,0))&amp;": "&amp;INDEX('Dashboard Items'!$C$2:$C$495,MATCH(G140,'Dashboard Items'!$A$2:$A$495,0)),"ID not found")))</f>
        <v/>
      </c>
      <c r="I140" s="56"/>
      <c r="J140" s="56"/>
      <c r="K140" s="56"/>
      <c r="L140" s="56"/>
      <c r="M140" s="56"/>
      <c r="N140" s="56"/>
      <c r="O140" s="56"/>
      <c r="P140" s="56"/>
      <c r="Q140" s="56"/>
      <c r="R140" s="56"/>
      <c r="S140" s="56"/>
      <c r="T140" s="56"/>
      <c r="U140" s="17" t="str">
        <f>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
      </c>
    </row>
    <row r="141" spans="2:21" x14ac:dyDescent="0.2">
      <c r="B141" s="56"/>
      <c r="C141" s="56"/>
      <c r="D141" s="56"/>
      <c r="E141" s="56"/>
      <c r="F141" s="57" t="str">
        <f>IF(E141="","",IFERROR(IF(INDEX('Dashboard Items'!$B$2:$B$495,MATCH(E141,'Dashboard Items'!$A$2:$A$495,0))="Objective","Objectives go in the next column",IF(OR(D141="",INDEX('Dashboard Items'!$B$2:$B$495,MATCH(E141,'Dashboard Items'!$A$2:$A$495,0))=D141),INDEX('Dashboard Items'!$C$2:$C$495,MATCH(E141,'Dashboard Items'!$A$2:$A$495,0)),"Level does not match ID")),"ID not found"))</f>
        <v/>
      </c>
      <c r="G141" s="58"/>
      <c r="H141" s="57" t="str">
        <f>IF(G141="","",IF(ISNUMBER(SEARCH(",",G141)),"Several items (the script lists them)",IFERROR(INDEX('Dashboard Items'!$B$2:$B$495,MATCH(G141,'Dashboard Items'!$A$2:$A$495,0))&amp;": "&amp;INDEX('Dashboard Items'!$C$2:$C$495,MATCH(G141,'Dashboard Items'!$A$2:$A$495,0)),"ID not found")))</f>
        <v/>
      </c>
      <c r="I141" s="56"/>
      <c r="J141" s="56"/>
      <c r="K141" s="56"/>
      <c r="L141" s="56"/>
      <c r="M141" s="56"/>
      <c r="N141" s="56"/>
      <c r="O141" s="56"/>
      <c r="P141" s="56"/>
      <c r="Q141" s="56"/>
      <c r="R141" s="56"/>
      <c r="S141" s="56"/>
      <c r="T141" s="56"/>
      <c r="U141" s="17" t="str">
        <f>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
      </c>
    </row>
    <row r="142" spans="2:21" x14ac:dyDescent="0.2">
      <c r="B142" s="56"/>
      <c r="C142" s="56"/>
      <c r="D142" s="56"/>
      <c r="E142" s="56"/>
      <c r="F142" s="57" t="str">
        <f>IF(E142="","",IFERROR(IF(INDEX('Dashboard Items'!$B$2:$B$495,MATCH(E142,'Dashboard Items'!$A$2:$A$495,0))="Objective","Objectives go in the next column",IF(OR(D142="",INDEX('Dashboard Items'!$B$2:$B$495,MATCH(E142,'Dashboard Items'!$A$2:$A$495,0))=D142),INDEX('Dashboard Items'!$C$2:$C$495,MATCH(E142,'Dashboard Items'!$A$2:$A$495,0)),"Level does not match ID")),"ID not found"))</f>
        <v/>
      </c>
      <c r="G142" s="58"/>
      <c r="H142" s="57" t="str">
        <f>IF(G142="","",IF(ISNUMBER(SEARCH(",",G142)),"Several items (the script lists them)",IFERROR(INDEX('Dashboard Items'!$B$2:$B$495,MATCH(G142,'Dashboard Items'!$A$2:$A$495,0))&amp;": "&amp;INDEX('Dashboard Items'!$C$2:$C$495,MATCH(G142,'Dashboard Items'!$A$2:$A$495,0)),"ID not found")))</f>
        <v/>
      </c>
      <c r="I142" s="56"/>
      <c r="J142" s="56"/>
      <c r="K142" s="56"/>
      <c r="L142" s="56"/>
      <c r="M142" s="56"/>
      <c r="N142" s="56"/>
      <c r="O142" s="56"/>
      <c r="P142" s="56"/>
      <c r="Q142" s="56"/>
      <c r="R142" s="56"/>
      <c r="S142" s="56"/>
      <c r="T142" s="56"/>
      <c r="U142" s="17" t="str">
        <f>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
      </c>
    </row>
    <row r="143" spans="2:21" x14ac:dyDescent="0.2">
      <c r="B143" s="56"/>
      <c r="C143" s="56"/>
      <c r="D143" s="56"/>
      <c r="E143" s="56"/>
      <c r="F143" s="57" t="str">
        <f>IF(E143="","",IFERROR(IF(INDEX('Dashboard Items'!$B$2:$B$495,MATCH(E143,'Dashboard Items'!$A$2:$A$495,0))="Objective","Objectives go in the next column",IF(OR(D143="",INDEX('Dashboard Items'!$B$2:$B$495,MATCH(E143,'Dashboard Items'!$A$2:$A$495,0))=D143),INDEX('Dashboard Items'!$C$2:$C$495,MATCH(E143,'Dashboard Items'!$A$2:$A$495,0)),"Level does not match ID")),"ID not found"))</f>
        <v/>
      </c>
      <c r="G143" s="58"/>
      <c r="H143" s="57" t="str">
        <f>IF(G143="","",IF(ISNUMBER(SEARCH(",",G143)),"Several items (the script lists them)",IFERROR(INDEX('Dashboard Items'!$B$2:$B$495,MATCH(G143,'Dashboard Items'!$A$2:$A$495,0))&amp;": "&amp;INDEX('Dashboard Items'!$C$2:$C$495,MATCH(G143,'Dashboard Items'!$A$2:$A$495,0)),"ID not found")))</f>
        <v/>
      </c>
      <c r="I143" s="56"/>
      <c r="J143" s="56"/>
      <c r="K143" s="56"/>
      <c r="L143" s="56"/>
      <c r="M143" s="56"/>
      <c r="N143" s="56"/>
      <c r="O143" s="56"/>
      <c r="P143" s="56"/>
      <c r="Q143" s="56"/>
      <c r="R143" s="56"/>
      <c r="S143" s="56"/>
      <c r="T143" s="56"/>
      <c r="U143" s="17" t="str">
        <f>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
      </c>
    </row>
    <row r="144" spans="2:21" x14ac:dyDescent="0.2">
      <c r="B144" s="56"/>
      <c r="C144" s="56"/>
      <c r="D144" s="56"/>
      <c r="E144" s="56"/>
      <c r="F144" s="57" t="str">
        <f>IF(E144="","",IFERROR(IF(INDEX('Dashboard Items'!$B$2:$B$495,MATCH(E144,'Dashboard Items'!$A$2:$A$495,0))="Objective","Objectives go in the next column",IF(OR(D144="",INDEX('Dashboard Items'!$B$2:$B$495,MATCH(E144,'Dashboard Items'!$A$2:$A$495,0))=D144),INDEX('Dashboard Items'!$C$2:$C$495,MATCH(E144,'Dashboard Items'!$A$2:$A$495,0)),"Level does not match ID")),"ID not found"))</f>
        <v/>
      </c>
      <c r="G144" s="58"/>
      <c r="H144" s="57" t="str">
        <f>IF(G144="","",IF(ISNUMBER(SEARCH(",",G144)),"Several items (the script lists them)",IFERROR(INDEX('Dashboard Items'!$B$2:$B$495,MATCH(G144,'Dashboard Items'!$A$2:$A$495,0))&amp;": "&amp;INDEX('Dashboard Items'!$C$2:$C$495,MATCH(G144,'Dashboard Items'!$A$2:$A$495,0)),"ID not found")))</f>
        <v/>
      </c>
      <c r="I144" s="56"/>
      <c r="J144" s="56"/>
      <c r="K144" s="56"/>
      <c r="L144" s="56"/>
      <c r="M144" s="56"/>
      <c r="N144" s="56"/>
      <c r="O144" s="56"/>
      <c r="P144" s="56"/>
      <c r="Q144" s="56"/>
      <c r="R144" s="56"/>
      <c r="S144" s="56"/>
      <c r="T144" s="56"/>
      <c r="U144" s="17" t="str">
        <f>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
      </c>
    </row>
    <row r="145" spans="2:21" x14ac:dyDescent="0.2">
      <c r="B145" s="56"/>
      <c r="C145" s="56"/>
      <c r="D145" s="56"/>
      <c r="E145" s="56"/>
      <c r="F145" s="57" t="str">
        <f>IF(E145="","",IFERROR(IF(INDEX('Dashboard Items'!$B$2:$B$495,MATCH(E145,'Dashboard Items'!$A$2:$A$495,0))="Objective","Objectives go in the next column",IF(OR(D145="",INDEX('Dashboard Items'!$B$2:$B$495,MATCH(E145,'Dashboard Items'!$A$2:$A$495,0))=D145),INDEX('Dashboard Items'!$C$2:$C$495,MATCH(E145,'Dashboard Items'!$A$2:$A$495,0)),"Level does not match ID")),"ID not found"))</f>
        <v/>
      </c>
      <c r="G145" s="58"/>
      <c r="H145" s="57" t="str">
        <f>IF(G145="","",IF(ISNUMBER(SEARCH(",",G145)),"Several items (the script lists them)",IFERROR(INDEX('Dashboard Items'!$B$2:$B$495,MATCH(G145,'Dashboard Items'!$A$2:$A$495,0))&amp;": "&amp;INDEX('Dashboard Items'!$C$2:$C$495,MATCH(G145,'Dashboard Items'!$A$2:$A$495,0)),"ID not found")))</f>
        <v/>
      </c>
      <c r="I145" s="56"/>
      <c r="J145" s="56"/>
      <c r="K145" s="56"/>
      <c r="L145" s="56"/>
      <c r="M145" s="56"/>
      <c r="N145" s="56"/>
      <c r="O145" s="56"/>
      <c r="P145" s="56"/>
      <c r="Q145" s="56"/>
      <c r="R145" s="56"/>
      <c r="S145" s="56"/>
      <c r="T145" s="56"/>
      <c r="U145" s="17" t="str">
        <f>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
      </c>
    </row>
    <row r="146" spans="2:21" x14ac:dyDescent="0.2">
      <c r="B146" s="56"/>
      <c r="C146" s="56"/>
      <c r="D146" s="56"/>
      <c r="E146" s="56"/>
      <c r="F146" s="57" t="str">
        <f>IF(E146="","",IFERROR(IF(INDEX('Dashboard Items'!$B$2:$B$495,MATCH(E146,'Dashboard Items'!$A$2:$A$495,0))="Objective","Objectives go in the next column",IF(OR(D146="",INDEX('Dashboard Items'!$B$2:$B$495,MATCH(E146,'Dashboard Items'!$A$2:$A$495,0))=D146),INDEX('Dashboard Items'!$C$2:$C$495,MATCH(E146,'Dashboard Items'!$A$2:$A$495,0)),"Level does not match ID")),"ID not found"))</f>
        <v/>
      </c>
      <c r="G146" s="58"/>
      <c r="H146" s="57" t="str">
        <f>IF(G146="","",IF(ISNUMBER(SEARCH(",",G146)),"Several items (the script lists them)",IFERROR(INDEX('Dashboard Items'!$B$2:$B$495,MATCH(G146,'Dashboard Items'!$A$2:$A$495,0))&amp;": "&amp;INDEX('Dashboard Items'!$C$2:$C$495,MATCH(G146,'Dashboard Items'!$A$2:$A$495,0)),"ID not found")))</f>
        <v/>
      </c>
      <c r="I146" s="56"/>
      <c r="J146" s="56"/>
      <c r="K146" s="56"/>
      <c r="L146" s="56"/>
      <c r="M146" s="56"/>
      <c r="N146" s="56"/>
      <c r="O146" s="56"/>
      <c r="P146" s="56"/>
      <c r="Q146" s="56"/>
      <c r="R146" s="56"/>
      <c r="S146" s="56"/>
      <c r="T146" s="56"/>
      <c r="U146" s="17" t="str">
        <f>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
      </c>
    </row>
    <row r="147" spans="2:21" x14ac:dyDescent="0.2">
      <c r="B147" s="56"/>
      <c r="C147" s="56"/>
      <c r="D147" s="56"/>
      <c r="E147" s="56"/>
      <c r="F147" s="57" t="str">
        <f>IF(E147="","",IFERROR(IF(INDEX('Dashboard Items'!$B$2:$B$495,MATCH(E147,'Dashboard Items'!$A$2:$A$495,0))="Objective","Objectives go in the next column",IF(OR(D147="",INDEX('Dashboard Items'!$B$2:$B$495,MATCH(E147,'Dashboard Items'!$A$2:$A$495,0))=D147),INDEX('Dashboard Items'!$C$2:$C$495,MATCH(E147,'Dashboard Items'!$A$2:$A$495,0)),"Level does not match ID")),"ID not found"))</f>
        <v/>
      </c>
      <c r="G147" s="58"/>
      <c r="H147" s="57" t="str">
        <f>IF(G147="","",IF(ISNUMBER(SEARCH(",",G147)),"Several items (the script lists them)",IFERROR(INDEX('Dashboard Items'!$B$2:$B$495,MATCH(G147,'Dashboard Items'!$A$2:$A$495,0))&amp;": "&amp;INDEX('Dashboard Items'!$C$2:$C$495,MATCH(G147,'Dashboard Items'!$A$2:$A$495,0)),"ID not found")))</f>
        <v/>
      </c>
      <c r="I147" s="56"/>
      <c r="J147" s="56"/>
      <c r="K147" s="56"/>
      <c r="L147" s="56"/>
      <c r="M147" s="56"/>
      <c r="N147" s="56"/>
      <c r="O147" s="56"/>
      <c r="P147" s="56"/>
      <c r="Q147" s="56"/>
      <c r="R147" s="56"/>
      <c r="S147" s="56"/>
      <c r="T147" s="56"/>
      <c r="U147" s="17" t="str">
        <f>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
      </c>
    </row>
    <row r="148" spans="2:21" x14ac:dyDescent="0.2">
      <c r="B148" s="56"/>
      <c r="C148" s="56"/>
      <c r="D148" s="56"/>
      <c r="E148" s="56"/>
      <c r="F148" s="57" t="str">
        <f>IF(E148="","",IFERROR(IF(INDEX('Dashboard Items'!$B$2:$B$495,MATCH(E148,'Dashboard Items'!$A$2:$A$495,0))="Objective","Objectives go in the next column",IF(OR(D148="",INDEX('Dashboard Items'!$B$2:$B$495,MATCH(E148,'Dashboard Items'!$A$2:$A$495,0))=D148),INDEX('Dashboard Items'!$C$2:$C$495,MATCH(E148,'Dashboard Items'!$A$2:$A$495,0)),"Level does not match ID")),"ID not found"))</f>
        <v/>
      </c>
      <c r="G148" s="58"/>
      <c r="H148" s="57" t="str">
        <f>IF(G148="","",IF(ISNUMBER(SEARCH(",",G148)),"Several items (the script lists them)",IFERROR(INDEX('Dashboard Items'!$B$2:$B$495,MATCH(G148,'Dashboard Items'!$A$2:$A$495,0))&amp;": "&amp;INDEX('Dashboard Items'!$C$2:$C$495,MATCH(G148,'Dashboard Items'!$A$2:$A$495,0)),"ID not found")))</f>
        <v/>
      </c>
      <c r="I148" s="56"/>
      <c r="J148" s="56"/>
      <c r="K148" s="56"/>
      <c r="L148" s="56"/>
      <c r="M148" s="56"/>
      <c r="N148" s="56"/>
      <c r="O148" s="56"/>
      <c r="P148" s="56"/>
      <c r="Q148" s="56"/>
      <c r="R148" s="56"/>
      <c r="S148" s="56"/>
      <c r="T148" s="56"/>
      <c r="U148" s="17" t="str">
        <f>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
      </c>
    </row>
    <row r="149" spans="2:21" x14ac:dyDescent="0.2">
      <c r="B149" s="56"/>
      <c r="C149" s="56"/>
      <c r="D149" s="56"/>
      <c r="E149" s="56"/>
      <c r="F149" s="57" t="str">
        <f>IF(E149="","",IFERROR(IF(INDEX('Dashboard Items'!$B$2:$B$495,MATCH(E149,'Dashboard Items'!$A$2:$A$495,0))="Objective","Objectives go in the next column",IF(OR(D149="",INDEX('Dashboard Items'!$B$2:$B$495,MATCH(E149,'Dashboard Items'!$A$2:$A$495,0))=D149),INDEX('Dashboard Items'!$C$2:$C$495,MATCH(E149,'Dashboard Items'!$A$2:$A$495,0)),"Level does not match ID")),"ID not found"))</f>
        <v/>
      </c>
      <c r="G149" s="58"/>
      <c r="H149" s="57" t="str">
        <f>IF(G149="","",IF(ISNUMBER(SEARCH(",",G149)),"Several items (the script lists them)",IFERROR(INDEX('Dashboard Items'!$B$2:$B$495,MATCH(G149,'Dashboard Items'!$A$2:$A$495,0))&amp;": "&amp;INDEX('Dashboard Items'!$C$2:$C$495,MATCH(G149,'Dashboard Items'!$A$2:$A$495,0)),"ID not found")))</f>
        <v/>
      </c>
      <c r="I149" s="56"/>
      <c r="J149" s="56"/>
      <c r="K149" s="56"/>
      <c r="L149" s="56"/>
      <c r="M149" s="56"/>
      <c r="N149" s="56"/>
      <c r="O149" s="56"/>
      <c r="P149" s="56"/>
      <c r="Q149" s="56"/>
      <c r="R149" s="56"/>
      <c r="S149" s="56"/>
      <c r="T149" s="56"/>
      <c r="U149" s="17" t="str">
        <f>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
      </c>
    </row>
    <row r="150" spans="2:21" x14ac:dyDescent="0.2">
      <c r="B150" s="56"/>
      <c r="C150" s="56"/>
      <c r="D150" s="56"/>
      <c r="E150" s="56"/>
      <c r="F150" s="57" t="str">
        <f>IF(E150="","",IFERROR(IF(INDEX('Dashboard Items'!$B$2:$B$495,MATCH(E150,'Dashboard Items'!$A$2:$A$495,0))="Objective","Objectives go in the next column",IF(OR(D150="",INDEX('Dashboard Items'!$B$2:$B$495,MATCH(E150,'Dashboard Items'!$A$2:$A$495,0))=D150),INDEX('Dashboard Items'!$C$2:$C$495,MATCH(E150,'Dashboard Items'!$A$2:$A$495,0)),"Level does not match ID")),"ID not found"))</f>
        <v/>
      </c>
      <c r="G150" s="58"/>
      <c r="H150" s="57" t="str">
        <f>IF(G150="","",IF(ISNUMBER(SEARCH(",",G150)),"Several items (the script lists them)",IFERROR(INDEX('Dashboard Items'!$B$2:$B$495,MATCH(G150,'Dashboard Items'!$A$2:$A$495,0))&amp;": "&amp;INDEX('Dashboard Items'!$C$2:$C$495,MATCH(G150,'Dashboard Items'!$A$2:$A$495,0)),"ID not found")))</f>
        <v/>
      </c>
      <c r="I150" s="56"/>
      <c r="J150" s="56"/>
      <c r="K150" s="56"/>
      <c r="L150" s="56"/>
      <c r="M150" s="56"/>
      <c r="N150" s="56"/>
      <c r="O150" s="56"/>
      <c r="P150" s="56"/>
      <c r="Q150" s="56"/>
      <c r="R150" s="56"/>
      <c r="S150" s="56"/>
      <c r="T150" s="56"/>
      <c r="U150" s="17" t="str">
        <f>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
      </c>
    </row>
    <row r="151" spans="2:21" x14ac:dyDescent="0.2">
      <c r="B151" s="56"/>
      <c r="C151" s="56"/>
      <c r="D151" s="56"/>
      <c r="E151" s="56"/>
      <c r="F151" s="57" t="str">
        <f>IF(E151="","",IFERROR(IF(INDEX('Dashboard Items'!$B$2:$B$495,MATCH(E151,'Dashboard Items'!$A$2:$A$495,0))="Objective","Objectives go in the next column",IF(OR(D151="",INDEX('Dashboard Items'!$B$2:$B$495,MATCH(E151,'Dashboard Items'!$A$2:$A$495,0))=D151),INDEX('Dashboard Items'!$C$2:$C$495,MATCH(E151,'Dashboard Items'!$A$2:$A$495,0)),"Level does not match ID")),"ID not found"))</f>
        <v/>
      </c>
      <c r="G151" s="58"/>
      <c r="H151" s="57" t="str">
        <f>IF(G151="","",IF(ISNUMBER(SEARCH(",",G151)),"Several items (the script lists them)",IFERROR(INDEX('Dashboard Items'!$B$2:$B$495,MATCH(G151,'Dashboard Items'!$A$2:$A$495,0))&amp;": "&amp;INDEX('Dashboard Items'!$C$2:$C$495,MATCH(G151,'Dashboard Items'!$A$2:$A$495,0)),"ID not found")))</f>
        <v/>
      </c>
      <c r="I151" s="56"/>
      <c r="J151" s="56"/>
      <c r="K151" s="56"/>
      <c r="L151" s="56"/>
      <c r="M151" s="56"/>
      <c r="N151" s="56"/>
      <c r="O151" s="56"/>
      <c r="P151" s="56"/>
      <c r="Q151" s="56"/>
      <c r="R151" s="56"/>
      <c r="S151" s="56"/>
      <c r="T151" s="56"/>
      <c r="U151" s="17" t="str">
        <f>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
      </c>
    </row>
    <row r="152" spans="2:21" x14ac:dyDescent="0.2">
      <c r="B152" s="56"/>
      <c r="C152" s="56"/>
      <c r="D152" s="56"/>
      <c r="E152" s="56"/>
      <c r="F152" s="57" t="str">
        <f>IF(E152="","",IFERROR(IF(INDEX('Dashboard Items'!$B$2:$B$495,MATCH(E152,'Dashboard Items'!$A$2:$A$495,0))="Objective","Objectives go in the next column",IF(OR(D152="",INDEX('Dashboard Items'!$B$2:$B$495,MATCH(E152,'Dashboard Items'!$A$2:$A$495,0))=D152),INDEX('Dashboard Items'!$C$2:$C$495,MATCH(E152,'Dashboard Items'!$A$2:$A$495,0)),"Level does not match ID")),"ID not found"))</f>
        <v/>
      </c>
      <c r="G152" s="58"/>
      <c r="H152" s="57" t="str">
        <f>IF(G152="","",IF(ISNUMBER(SEARCH(",",G152)),"Several items (the script lists them)",IFERROR(INDEX('Dashboard Items'!$B$2:$B$495,MATCH(G152,'Dashboard Items'!$A$2:$A$495,0))&amp;": "&amp;INDEX('Dashboard Items'!$C$2:$C$495,MATCH(G152,'Dashboard Items'!$A$2:$A$495,0)),"ID not found")))</f>
        <v/>
      </c>
      <c r="I152" s="56"/>
      <c r="J152" s="56"/>
      <c r="K152" s="56"/>
      <c r="L152" s="56"/>
      <c r="M152" s="56"/>
      <c r="N152" s="56"/>
      <c r="O152" s="56"/>
      <c r="P152" s="56"/>
      <c r="Q152" s="56"/>
      <c r="R152" s="56"/>
      <c r="S152" s="56"/>
      <c r="T152" s="56"/>
      <c r="U152" s="17" t="str">
        <f>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
      </c>
    </row>
    <row r="153" spans="2:21" x14ac:dyDescent="0.2">
      <c r="B153" s="56"/>
      <c r="C153" s="56"/>
      <c r="D153" s="56"/>
      <c r="E153" s="56"/>
      <c r="F153" s="57" t="str">
        <f>IF(E153="","",IFERROR(IF(INDEX('Dashboard Items'!$B$2:$B$495,MATCH(E153,'Dashboard Items'!$A$2:$A$495,0))="Objective","Objectives go in the next column",IF(OR(D153="",INDEX('Dashboard Items'!$B$2:$B$495,MATCH(E153,'Dashboard Items'!$A$2:$A$495,0))=D153),INDEX('Dashboard Items'!$C$2:$C$495,MATCH(E153,'Dashboard Items'!$A$2:$A$495,0)),"Level does not match ID")),"ID not found"))</f>
        <v/>
      </c>
      <c r="G153" s="58"/>
      <c r="H153" s="57" t="str">
        <f>IF(G153="","",IF(ISNUMBER(SEARCH(",",G153)),"Several items (the script lists them)",IFERROR(INDEX('Dashboard Items'!$B$2:$B$495,MATCH(G153,'Dashboard Items'!$A$2:$A$495,0))&amp;": "&amp;INDEX('Dashboard Items'!$C$2:$C$495,MATCH(G153,'Dashboard Items'!$A$2:$A$495,0)),"ID not found")))</f>
        <v/>
      </c>
      <c r="I153" s="56"/>
      <c r="J153" s="56"/>
      <c r="K153" s="56"/>
      <c r="L153" s="56"/>
      <c r="M153" s="56"/>
      <c r="N153" s="56"/>
      <c r="O153" s="56"/>
      <c r="P153" s="56"/>
      <c r="Q153" s="56"/>
      <c r="R153" s="56"/>
      <c r="S153" s="56"/>
      <c r="T153" s="56"/>
      <c r="U153" s="17" t="str">
        <f>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
      </c>
    </row>
    <row r="154" spans="2:21" x14ac:dyDescent="0.2">
      <c r="B154" s="56"/>
      <c r="C154" s="56"/>
      <c r="D154" s="56"/>
      <c r="E154" s="56"/>
      <c r="F154" s="57" t="str">
        <f>IF(E154="","",IFERROR(IF(INDEX('Dashboard Items'!$B$2:$B$495,MATCH(E154,'Dashboard Items'!$A$2:$A$495,0))="Objective","Objectives go in the next column",IF(OR(D154="",INDEX('Dashboard Items'!$B$2:$B$495,MATCH(E154,'Dashboard Items'!$A$2:$A$495,0))=D154),INDEX('Dashboard Items'!$C$2:$C$495,MATCH(E154,'Dashboard Items'!$A$2:$A$495,0)),"Level does not match ID")),"ID not found"))</f>
        <v/>
      </c>
      <c r="G154" s="58"/>
      <c r="H154" s="57" t="str">
        <f>IF(G154="","",IF(ISNUMBER(SEARCH(",",G154)),"Several items (the script lists them)",IFERROR(INDEX('Dashboard Items'!$B$2:$B$495,MATCH(G154,'Dashboard Items'!$A$2:$A$495,0))&amp;": "&amp;INDEX('Dashboard Items'!$C$2:$C$495,MATCH(G154,'Dashboard Items'!$A$2:$A$495,0)),"ID not found")))</f>
        <v/>
      </c>
      <c r="I154" s="56"/>
      <c r="J154" s="56"/>
      <c r="K154" s="56"/>
      <c r="L154" s="56"/>
      <c r="M154" s="56"/>
      <c r="N154" s="56"/>
      <c r="O154" s="56"/>
      <c r="P154" s="56"/>
      <c r="Q154" s="56"/>
      <c r="R154" s="56"/>
      <c r="S154" s="56"/>
      <c r="T154" s="56"/>
      <c r="U154" s="17" t="str">
        <f>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
      </c>
    </row>
    <row r="155" spans="2:21" x14ac:dyDescent="0.2">
      <c r="B155" s="56"/>
      <c r="C155" s="56"/>
      <c r="D155" s="56"/>
      <c r="E155" s="56"/>
      <c r="F155" s="57" t="str">
        <f>IF(E155="","",IFERROR(IF(INDEX('Dashboard Items'!$B$2:$B$495,MATCH(E155,'Dashboard Items'!$A$2:$A$495,0))="Objective","Objectives go in the next column",IF(OR(D155="",INDEX('Dashboard Items'!$B$2:$B$495,MATCH(E155,'Dashboard Items'!$A$2:$A$495,0))=D155),INDEX('Dashboard Items'!$C$2:$C$495,MATCH(E155,'Dashboard Items'!$A$2:$A$495,0)),"Level does not match ID")),"ID not found"))</f>
        <v/>
      </c>
      <c r="G155" s="58"/>
      <c r="H155" s="57" t="str">
        <f>IF(G155="","",IF(ISNUMBER(SEARCH(",",G155)),"Several items (the script lists them)",IFERROR(INDEX('Dashboard Items'!$B$2:$B$495,MATCH(G155,'Dashboard Items'!$A$2:$A$495,0))&amp;": "&amp;INDEX('Dashboard Items'!$C$2:$C$495,MATCH(G155,'Dashboard Items'!$A$2:$A$495,0)),"ID not found")))</f>
        <v/>
      </c>
      <c r="I155" s="56"/>
      <c r="J155" s="56"/>
      <c r="K155" s="56"/>
      <c r="L155" s="56"/>
      <c r="M155" s="56"/>
      <c r="N155" s="56"/>
      <c r="O155" s="56"/>
      <c r="P155" s="56"/>
      <c r="Q155" s="56"/>
      <c r="R155" s="56"/>
      <c r="S155" s="56"/>
      <c r="T155" s="56"/>
      <c r="U155" s="17" t="str">
        <f>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
      </c>
    </row>
    <row r="156" spans="2:21" x14ac:dyDescent="0.2">
      <c r="B156" s="56"/>
      <c r="C156" s="56"/>
      <c r="D156" s="56"/>
      <c r="E156" s="56"/>
      <c r="F156" s="57" t="str">
        <f>IF(E156="","",IFERROR(IF(INDEX('Dashboard Items'!$B$2:$B$495,MATCH(E156,'Dashboard Items'!$A$2:$A$495,0))="Objective","Objectives go in the next column",IF(OR(D156="",INDEX('Dashboard Items'!$B$2:$B$495,MATCH(E156,'Dashboard Items'!$A$2:$A$495,0))=D156),INDEX('Dashboard Items'!$C$2:$C$495,MATCH(E156,'Dashboard Items'!$A$2:$A$495,0)),"Level does not match ID")),"ID not found"))</f>
        <v/>
      </c>
      <c r="G156" s="58"/>
      <c r="H156" s="57" t="str">
        <f>IF(G156="","",IF(ISNUMBER(SEARCH(",",G156)),"Several items (the script lists them)",IFERROR(INDEX('Dashboard Items'!$B$2:$B$495,MATCH(G156,'Dashboard Items'!$A$2:$A$495,0))&amp;": "&amp;INDEX('Dashboard Items'!$C$2:$C$495,MATCH(G156,'Dashboard Items'!$A$2:$A$495,0)),"ID not found")))</f>
        <v/>
      </c>
      <c r="I156" s="56"/>
      <c r="J156" s="56"/>
      <c r="K156" s="56"/>
      <c r="L156" s="56"/>
      <c r="M156" s="56"/>
      <c r="N156" s="56"/>
      <c r="O156" s="56"/>
      <c r="P156" s="56"/>
      <c r="Q156" s="56"/>
      <c r="R156" s="56"/>
      <c r="S156" s="56"/>
      <c r="T156" s="56"/>
      <c r="U156" s="17" t="str">
        <f>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
      </c>
    </row>
    <row r="157" spans="2:21" x14ac:dyDescent="0.2">
      <c r="B157" s="56"/>
      <c r="C157" s="56"/>
      <c r="D157" s="56"/>
      <c r="E157" s="56"/>
      <c r="F157" s="57" t="str">
        <f>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58"/>
      <c r="H157" s="57" t="str">
        <f>IF(G157="","",IF(ISNUMBER(SEARCH(",",G157)),"Several items (the script lists them)",IFERROR(INDEX('Dashboard Items'!$B$2:$B$495,MATCH(G157,'Dashboard Items'!$A$2:$A$495,0))&amp;": "&amp;INDEX('Dashboard Items'!$C$2:$C$495,MATCH(G157,'Dashboard Items'!$A$2:$A$495,0)),"ID not found")))</f>
        <v/>
      </c>
      <c r="I157" s="56"/>
      <c r="J157" s="56"/>
      <c r="K157" s="56"/>
      <c r="L157" s="56"/>
      <c r="M157" s="56"/>
      <c r="N157" s="56"/>
      <c r="O157" s="56"/>
      <c r="P157" s="56"/>
      <c r="Q157" s="56"/>
      <c r="R157" s="56"/>
      <c r="S157" s="56"/>
      <c r="T157" s="56"/>
      <c r="U157" s="17" t="str">
        <f>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spans="2:21" x14ac:dyDescent="0.2">
      <c r="B158" s="56"/>
      <c r="C158" s="56"/>
      <c r="D158" s="56"/>
      <c r="E158" s="56"/>
      <c r="F158" s="57" t="str">
        <f>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58"/>
      <c r="H158" s="57" t="str">
        <f>IF(G158="","",IF(ISNUMBER(SEARCH(",",G158)),"Several items (the script lists them)",IFERROR(INDEX('Dashboard Items'!$B$2:$B$495,MATCH(G158,'Dashboard Items'!$A$2:$A$495,0))&amp;": "&amp;INDEX('Dashboard Items'!$C$2:$C$495,MATCH(G158,'Dashboard Items'!$A$2:$A$495,0)),"ID not found")))</f>
        <v/>
      </c>
      <c r="I158" s="56"/>
      <c r="J158" s="56"/>
      <c r="K158" s="56"/>
      <c r="L158" s="56"/>
      <c r="M158" s="56"/>
      <c r="N158" s="56"/>
      <c r="O158" s="56"/>
      <c r="P158" s="56"/>
      <c r="Q158" s="56"/>
      <c r="R158" s="56"/>
      <c r="S158" s="56"/>
      <c r="T158" s="56"/>
      <c r="U158" s="17" t="str">
        <f>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spans="2:21" x14ac:dyDescent="0.2">
      <c r="B159" s="56"/>
      <c r="C159" s="56"/>
      <c r="D159" s="56"/>
      <c r="E159" s="56"/>
      <c r="F159" s="57" t="str">
        <f>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58"/>
      <c r="H159" s="57" t="str">
        <f>IF(G159="","",IF(ISNUMBER(SEARCH(",",G159)),"Several items (the script lists them)",IFERROR(INDEX('Dashboard Items'!$B$2:$B$495,MATCH(G159,'Dashboard Items'!$A$2:$A$495,0))&amp;": "&amp;INDEX('Dashboard Items'!$C$2:$C$495,MATCH(G159,'Dashboard Items'!$A$2:$A$495,0)),"ID not found")))</f>
        <v/>
      </c>
      <c r="I159" s="56"/>
      <c r="J159" s="56"/>
      <c r="K159" s="56"/>
      <c r="L159" s="56"/>
      <c r="M159" s="56"/>
      <c r="N159" s="56"/>
      <c r="O159" s="56"/>
      <c r="P159" s="56"/>
      <c r="Q159" s="56"/>
      <c r="R159" s="56"/>
      <c r="S159" s="56"/>
      <c r="T159" s="56"/>
      <c r="U159" s="17" t="str">
        <f>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spans="2:21" x14ac:dyDescent="0.2">
      <c r="B160" s="56"/>
      <c r="C160" s="56"/>
      <c r="D160" s="56"/>
      <c r="E160" s="56"/>
      <c r="F160" s="57" t="str">
        <f>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58"/>
      <c r="H160" s="57" t="str">
        <f>IF(G160="","",IF(ISNUMBER(SEARCH(",",G160)),"Several items (the script lists them)",IFERROR(INDEX('Dashboard Items'!$B$2:$B$495,MATCH(G160,'Dashboard Items'!$A$2:$A$495,0))&amp;": "&amp;INDEX('Dashboard Items'!$C$2:$C$495,MATCH(G160,'Dashboard Items'!$A$2:$A$495,0)),"ID not found")))</f>
        <v/>
      </c>
      <c r="I160" s="56"/>
      <c r="J160" s="56"/>
      <c r="K160" s="56"/>
      <c r="L160" s="56"/>
      <c r="M160" s="56"/>
      <c r="N160" s="56"/>
      <c r="O160" s="56"/>
      <c r="P160" s="56"/>
      <c r="Q160" s="56"/>
      <c r="R160" s="56"/>
      <c r="S160" s="56"/>
      <c r="T160" s="56"/>
      <c r="U160" s="17" t="str">
        <f>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spans="2:21" x14ac:dyDescent="0.2">
      <c r="B161" s="56"/>
      <c r="C161" s="56"/>
      <c r="D161" s="56"/>
      <c r="E161" s="56"/>
      <c r="F161" s="57" t="str">
        <f>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58"/>
      <c r="H161" s="57" t="str">
        <f>IF(G161="","",IF(ISNUMBER(SEARCH(",",G161)),"Several items (the script lists them)",IFERROR(INDEX('Dashboard Items'!$B$2:$B$495,MATCH(G161,'Dashboard Items'!$A$2:$A$495,0))&amp;": "&amp;INDEX('Dashboard Items'!$C$2:$C$495,MATCH(G161,'Dashboard Items'!$A$2:$A$495,0)),"ID not found")))</f>
        <v/>
      </c>
      <c r="I161" s="56"/>
      <c r="J161" s="56"/>
      <c r="K161" s="56"/>
      <c r="L161" s="56"/>
      <c r="M161" s="56"/>
      <c r="N161" s="56"/>
      <c r="O161" s="56"/>
      <c r="P161" s="56"/>
      <c r="Q161" s="56"/>
      <c r="R161" s="56"/>
      <c r="S161" s="56"/>
      <c r="T161" s="56"/>
      <c r="U161" s="17" t="str">
        <f>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spans="2:21" x14ac:dyDescent="0.2">
      <c r="B162" s="56"/>
      <c r="C162" s="56"/>
      <c r="D162" s="56"/>
      <c r="E162" s="56"/>
      <c r="F162" s="57" t="str">
        <f>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58"/>
      <c r="H162" s="57" t="str">
        <f>IF(G162="","",IF(ISNUMBER(SEARCH(",",G162)),"Several items (the script lists them)",IFERROR(INDEX('Dashboard Items'!$B$2:$B$495,MATCH(G162,'Dashboard Items'!$A$2:$A$495,0))&amp;": "&amp;INDEX('Dashboard Items'!$C$2:$C$495,MATCH(G162,'Dashboard Items'!$A$2:$A$495,0)),"ID not found")))</f>
        <v/>
      </c>
      <c r="I162" s="56"/>
      <c r="J162" s="56"/>
      <c r="K162" s="56"/>
      <c r="L162" s="56"/>
      <c r="M162" s="56"/>
      <c r="N162" s="56"/>
      <c r="O162" s="56"/>
      <c r="P162" s="56"/>
      <c r="Q162" s="56"/>
      <c r="R162" s="56"/>
      <c r="S162" s="56"/>
      <c r="T162" s="56"/>
      <c r="U162" s="17" t="str">
        <f>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spans="2:21" x14ac:dyDescent="0.2">
      <c r="B163" s="56"/>
      <c r="C163" s="56"/>
      <c r="D163" s="56"/>
      <c r="E163" s="56"/>
      <c r="F163" s="57" t="str">
        <f>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58"/>
      <c r="H163" s="57" t="str">
        <f>IF(G163="","",IF(ISNUMBER(SEARCH(",",G163)),"Several items (the script lists them)",IFERROR(INDEX('Dashboard Items'!$B$2:$B$495,MATCH(G163,'Dashboard Items'!$A$2:$A$495,0))&amp;": "&amp;INDEX('Dashboard Items'!$C$2:$C$495,MATCH(G163,'Dashboard Items'!$A$2:$A$495,0)),"ID not found")))</f>
        <v/>
      </c>
      <c r="I163" s="56"/>
      <c r="J163" s="56"/>
      <c r="K163" s="56"/>
      <c r="L163" s="56"/>
      <c r="M163" s="56"/>
      <c r="N163" s="56"/>
      <c r="O163" s="56"/>
      <c r="P163" s="56"/>
      <c r="Q163" s="56"/>
      <c r="R163" s="56"/>
      <c r="S163" s="56"/>
      <c r="T163" s="56"/>
      <c r="U163" s="17" t="str">
        <f>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spans="2:21" x14ac:dyDescent="0.2">
      <c r="B164" s="56"/>
      <c r="C164" s="56"/>
      <c r="D164" s="56"/>
      <c r="E164" s="56"/>
      <c r="F164" s="57" t="str">
        <f>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58"/>
      <c r="H164" s="57" t="str">
        <f>IF(G164="","",IF(ISNUMBER(SEARCH(",",G164)),"Several items (the script lists them)",IFERROR(INDEX('Dashboard Items'!$B$2:$B$495,MATCH(G164,'Dashboard Items'!$A$2:$A$495,0))&amp;": "&amp;INDEX('Dashboard Items'!$C$2:$C$495,MATCH(G164,'Dashboard Items'!$A$2:$A$495,0)),"ID not found")))</f>
        <v/>
      </c>
      <c r="I164" s="56"/>
      <c r="J164" s="56"/>
      <c r="K164" s="56"/>
      <c r="L164" s="56"/>
      <c r="M164" s="56"/>
      <c r="N164" s="56"/>
      <c r="O164" s="56"/>
      <c r="P164" s="56"/>
      <c r="Q164" s="56"/>
      <c r="R164" s="56"/>
      <c r="S164" s="56"/>
      <c r="T164" s="56"/>
      <c r="U164" s="17" t="str">
        <f>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spans="2:21" x14ac:dyDescent="0.2">
      <c r="B165" s="56"/>
      <c r="C165" s="56"/>
      <c r="D165" s="56"/>
      <c r="E165" s="56"/>
      <c r="F165" s="57" t="str">
        <f>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58"/>
      <c r="H165" s="57" t="str">
        <f>IF(G165="","",IF(ISNUMBER(SEARCH(",",G165)),"Several items (the script lists them)",IFERROR(INDEX('Dashboard Items'!$B$2:$B$495,MATCH(G165,'Dashboard Items'!$A$2:$A$495,0))&amp;": "&amp;INDEX('Dashboard Items'!$C$2:$C$495,MATCH(G165,'Dashboard Items'!$A$2:$A$495,0)),"ID not found")))</f>
        <v/>
      </c>
      <c r="I165" s="56"/>
      <c r="J165" s="56"/>
      <c r="K165" s="56"/>
      <c r="L165" s="56"/>
      <c r="M165" s="56"/>
      <c r="N165" s="56"/>
      <c r="O165" s="56"/>
      <c r="P165" s="56"/>
      <c r="Q165" s="56"/>
      <c r="R165" s="56"/>
      <c r="S165" s="56"/>
      <c r="T165" s="56"/>
      <c r="U165" s="17" t="str">
        <f>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spans="2:21" x14ac:dyDescent="0.2">
      <c r="B166" s="56"/>
      <c r="C166" s="56"/>
      <c r="D166" s="56"/>
      <c r="E166" s="56"/>
      <c r="F166" s="57" t="str">
        <f>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58"/>
      <c r="H166" s="57" t="str">
        <f>IF(G166="","",IF(ISNUMBER(SEARCH(",",G166)),"Several items (the script lists them)",IFERROR(INDEX('Dashboard Items'!$B$2:$B$495,MATCH(G166,'Dashboard Items'!$A$2:$A$495,0))&amp;": "&amp;INDEX('Dashboard Items'!$C$2:$C$495,MATCH(G166,'Dashboard Items'!$A$2:$A$495,0)),"ID not found")))</f>
        <v/>
      </c>
      <c r="I166" s="56"/>
      <c r="J166" s="56"/>
      <c r="K166" s="56"/>
      <c r="L166" s="56"/>
      <c r="M166" s="56"/>
      <c r="N166" s="56"/>
      <c r="O166" s="56"/>
      <c r="P166" s="56"/>
      <c r="Q166" s="56"/>
      <c r="R166" s="56"/>
      <c r="S166" s="56"/>
      <c r="T166" s="56"/>
      <c r="U166" s="17" t="str">
        <f>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spans="2:21" x14ac:dyDescent="0.2">
      <c r="B167" s="56"/>
      <c r="C167" s="56"/>
      <c r="D167" s="56"/>
      <c r="E167" s="56"/>
      <c r="F167" s="57" t="str">
        <f>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58"/>
      <c r="H167" s="57" t="str">
        <f>IF(G167="","",IF(ISNUMBER(SEARCH(",",G167)),"Several items (the script lists them)",IFERROR(INDEX('Dashboard Items'!$B$2:$B$495,MATCH(G167,'Dashboard Items'!$A$2:$A$495,0))&amp;": "&amp;INDEX('Dashboard Items'!$C$2:$C$495,MATCH(G167,'Dashboard Items'!$A$2:$A$495,0)),"ID not found")))</f>
        <v/>
      </c>
      <c r="I167" s="56"/>
      <c r="J167" s="56"/>
      <c r="K167" s="56"/>
      <c r="L167" s="56"/>
      <c r="M167" s="56"/>
      <c r="N167" s="56"/>
      <c r="O167" s="56"/>
      <c r="P167" s="56"/>
      <c r="Q167" s="56"/>
      <c r="R167" s="56"/>
      <c r="S167" s="56"/>
      <c r="T167" s="56"/>
      <c r="U167" s="17" t="str">
        <f>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spans="2:21" x14ac:dyDescent="0.2">
      <c r="B168" s="56"/>
      <c r="C168" s="56"/>
      <c r="D168" s="56"/>
      <c r="E168" s="56"/>
      <c r="F168" s="57" t="str">
        <f>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58"/>
      <c r="H168" s="57" t="str">
        <f>IF(G168="","",IF(ISNUMBER(SEARCH(",",G168)),"Several items (the script lists them)",IFERROR(INDEX('Dashboard Items'!$B$2:$B$495,MATCH(G168,'Dashboard Items'!$A$2:$A$495,0))&amp;": "&amp;INDEX('Dashboard Items'!$C$2:$C$495,MATCH(G168,'Dashboard Items'!$A$2:$A$495,0)),"ID not found")))</f>
        <v/>
      </c>
      <c r="I168" s="56"/>
      <c r="J168" s="56"/>
      <c r="K168" s="56"/>
      <c r="L168" s="56"/>
      <c r="M168" s="56"/>
      <c r="N168" s="56"/>
      <c r="O168" s="56"/>
      <c r="P168" s="56"/>
      <c r="Q168" s="56"/>
      <c r="R168" s="56"/>
      <c r="S168" s="56"/>
      <c r="T168" s="56"/>
      <c r="U168" s="17" t="str">
        <f>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spans="2:21" x14ac:dyDescent="0.2">
      <c r="B169" s="56"/>
      <c r="C169" s="56"/>
      <c r="D169" s="56"/>
      <c r="E169" s="56"/>
      <c r="F169" s="57" t="str">
        <f>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58"/>
      <c r="H169" s="57" t="str">
        <f>IF(G169="","",IF(ISNUMBER(SEARCH(",",G169)),"Several items (the script lists them)",IFERROR(INDEX('Dashboard Items'!$B$2:$B$495,MATCH(G169,'Dashboard Items'!$A$2:$A$495,0))&amp;": "&amp;INDEX('Dashboard Items'!$C$2:$C$495,MATCH(G169,'Dashboard Items'!$A$2:$A$495,0)),"ID not found")))</f>
        <v/>
      </c>
      <c r="I169" s="56"/>
      <c r="J169" s="56"/>
      <c r="K169" s="56"/>
      <c r="L169" s="56"/>
      <c r="M169" s="56"/>
      <c r="N169" s="56"/>
      <c r="O169" s="56"/>
      <c r="P169" s="56"/>
      <c r="Q169" s="56"/>
      <c r="R169" s="56"/>
      <c r="S169" s="56"/>
      <c r="T169" s="56"/>
      <c r="U169" s="17" t="str">
        <f>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spans="2:21" x14ac:dyDescent="0.2">
      <c r="B170" s="56"/>
      <c r="C170" s="56"/>
      <c r="D170" s="56"/>
      <c r="E170" s="56"/>
      <c r="F170" s="57" t="str">
        <f>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58"/>
      <c r="H170" s="57" t="str">
        <f>IF(G170="","",IF(ISNUMBER(SEARCH(",",G170)),"Several items (the script lists them)",IFERROR(INDEX('Dashboard Items'!$B$2:$B$495,MATCH(G170,'Dashboard Items'!$A$2:$A$495,0))&amp;": "&amp;INDEX('Dashboard Items'!$C$2:$C$495,MATCH(G170,'Dashboard Items'!$A$2:$A$495,0)),"ID not found")))</f>
        <v/>
      </c>
      <c r="I170" s="56"/>
      <c r="J170" s="56"/>
      <c r="K170" s="56"/>
      <c r="L170" s="56"/>
      <c r="M170" s="56"/>
      <c r="N170" s="56"/>
      <c r="O170" s="56"/>
      <c r="P170" s="56"/>
      <c r="Q170" s="56"/>
      <c r="R170" s="56"/>
      <c r="S170" s="56"/>
      <c r="T170" s="56"/>
      <c r="U170" s="17" t="str">
        <f>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spans="2:21" x14ac:dyDescent="0.2">
      <c r="B171" s="56"/>
      <c r="C171" s="56"/>
      <c r="D171" s="56"/>
      <c r="E171" s="56"/>
      <c r="F171" s="57" t="str">
        <f>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58"/>
      <c r="H171" s="57" t="str">
        <f>IF(G171="","",IF(ISNUMBER(SEARCH(",",G171)),"Several items (the script lists them)",IFERROR(INDEX('Dashboard Items'!$B$2:$B$495,MATCH(G171,'Dashboard Items'!$A$2:$A$495,0))&amp;": "&amp;INDEX('Dashboard Items'!$C$2:$C$495,MATCH(G171,'Dashboard Items'!$A$2:$A$495,0)),"ID not found")))</f>
        <v/>
      </c>
      <c r="I171" s="56"/>
      <c r="J171" s="56"/>
      <c r="K171" s="56"/>
      <c r="L171" s="56"/>
      <c r="M171" s="56"/>
      <c r="N171" s="56"/>
      <c r="O171" s="56"/>
      <c r="P171" s="56"/>
      <c r="Q171" s="56"/>
      <c r="R171" s="56"/>
      <c r="S171" s="56"/>
      <c r="T171" s="56"/>
      <c r="U171" s="17" t="str">
        <f>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spans="2:21" x14ac:dyDescent="0.2">
      <c r="B172" s="56"/>
      <c r="C172" s="56"/>
      <c r="D172" s="56"/>
      <c r="E172" s="56"/>
      <c r="F172" s="57" t="str">
        <f>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58"/>
      <c r="H172" s="57" t="str">
        <f>IF(G172="","",IF(ISNUMBER(SEARCH(",",G172)),"Several items (the script lists them)",IFERROR(INDEX('Dashboard Items'!$B$2:$B$495,MATCH(G172,'Dashboard Items'!$A$2:$A$495,0))&amp;": "&amp;INDEX('Dashboard Items'!$C$2:$C$495,MATCH(G172,'Dashboard Items'!$A$2:$A$495,0)),"ID not found")))</f>
        <v/>
      </c>
      <c r="I172" s="56"/>
      <c r="J172" s="56"/>
      <c r="K172" s="56"/>
      <c r="L172" s="56"/>
      <c r="M172" s="56"/>
      <c r="N172" s="56"/>
      <c r="O172" s="56"/>
      <c r="P172" s="56"/>
      <c r="Q172" s="56"/>
      <c r="R172" s="56"/>
      <c r="S172" s="56"/>
      <c r="T172" s="56"/>
      <c r="U172" s="17" t="str">
        <f>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spans="2:21" x14ac:dyDescent="0.2">
      <c r="B173" s="56"/>
      <c r="C173" s="56"/>
      <c r="D173" s="56"/>
      <c r="E173" s="56"/>
      <c r="F173" s="57" t="str">
        <f>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58"/>
      <c r="H173" s="57" t="str">
        <f>IF(G173="","",IF(ISNUMBER(SEARCH(",",G173)),"Several items (the script lists them)",IFERROR(INDEX('Dashboard Items'!$B$2:$B$495,MATCH(G173,'Dashboard Items'!$A$2:$A$495,0))&amp;": "&amp;INDEX('Dashboard Items'!$C$2:$C$495,MATCH(G173,'Dashboard Items'!$A$2:$A$495,0)),"ID not found")))</f>
        <v/>
      </c>
      <c r="I173" s="56"/>
      <c r="J173" s="56"/>
      <c r="K173" s="56"/>
      <c r="L173" s="56"/>
      <c r="M173" s="56"/>
      <c r="N173" s="56"/>
      <c r="O173" s="56"/>
      <c r="P173" s="56"/>
      <c r="Q173" s="56"/>
      <c r="R173" s="56"/>
      <c r="S173" s="56"/>
      <c r="T173" s="56"/>
      <c r="U173" s="17" t="str">
        <f>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spans="2:21" x14ac:dyDescent="0.2">
      <c r="B174" s="56"/>
      <c r="C174" s="56"/>
      <c r="D174" s="56"/>
      <c r="E174" s="56"/>
      <c r="F174" s="57" t="str">
        <f>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58"/>
      <c r="H174" s="57" t="str">
        <f>IF(G174="","",IF(ISNUMBER(SEARCH(",",G174)),"Several items (the script lists them)",IFERROR(INDEX('Dashboard Items'!$B$2:$B$495,MATCH(G174,'Dashboard Items'!$A$2:$A$495,0))&amp;": "&amp;INDEX('Dashboard Items'!$C$2:$C$495,MATCH(G174,'Dashboard Items'!$A$2:$A$495,0)),"ID not found")))</f>
        <v/>
      </c>
      <c r="I174" s="56"/>
      <c r="J174" s="56"/>
      <c r="K174" s="56"/>
      <c r="L174" s="56"/>
      <c r="M174" s="56"/>
      <c r="N174" s="56"/>
      <c r="O174" s="56"/>
      <c r="P174" s="56"/>
      <c r="Q174" s="56"/>
      <c r="R174" s="56"/>
      <c r="S174" s="56"/>
      <c r="T174" s="56"/>
      <c r="U174" s="17" t="str">
        <f>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spans="2:21" x14ac:dyDescent="0.2">
      <c r="B175" s="56"/>
      <c r="C175" s="56"/>
      <c r="D175" s="56"/>
      <c r="E175" s="56"/>
      <c r="F175" s="57" t="str">
        <f>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58"/>
      <c r="H175" s="57" t="str">
        <f>IF(G175="","",IF(ISNUMBER(SEARCH(",",G175)),"Several items (the script lists them)",IFERROR(INDEX('Dashboard Items'!$B$2:$B$495,MATCH(G175,'Dashboard Items'!$A$2:$A$495,0))&amp;": "&amp;INDEX('Dashboard Items'!$C$2:$C$495,MATCH(G175,'Dashboard Items'!$A$2:$A$495,0)),"ID not found")))</f>
        <v/>
      </c>
      <c r="I175" s="56"/>
      <c r="J175" s="56"/>
      <c r="K175" s="56"/>
      <c r="L175" s="56"/>
      <c r="M175" s="56"/>
      <c r="N175" s="56"/>
      <c r="O175" s="56"/>
      <c r="P175" s="56"/>
      <c r="Q175" s="56"/>
      <c r="R175" s="56"/>
      <c r="S175" s="56"/>
      <c r="T175" s="56"/>
      <c r="U175" s="17" t="str">
        <f>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spans="2:21" x14ac:dyDescent="0.2">
      <c r="B176" s="56"/>
      <c r="C176" s="56"/>
      <c r="D176" s="56"/>
      <c r="E176" s="56"/>
      <c r="F176" s="57" t="str">
        <f>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58"/>
      <c r="H176" s="57" t="str">
        <f>IF(G176="","",IF(ISNUMBER(SEARCH(",",G176)),"Several items (the script lists them)",IFERROR(INDEX('Dashboard Items'!$B$2:$B$495,MATCH(G176,'Dashboard Items'!$A$2:$A$495,0))&amp;": "&amp;INDEX('Dashboard Items'!$C$2:$C$495,MATCH(G176,'Dashboard Items'!$A$2:$A$495,0)),"ID not found")))</f>
        <v/>
      </c>
      <c r="I176" s="56"/>
      <c r="J176" s="56"/>
      <c r="K176" s="56"/>
      <c r="L176" s="56"/>
      <c r="M176" s="56"/>
      <c r="N176" s="56"/>
      <c r="O176" s="56"/>
      <c r="P176" s="56"/>
      <c r="Q176" s="56"/>
      <c r="R176" s="56"/>
      <c r="S176" s="56"/>
      <c r="T176" s="56"/>
      <c r="U176" s="17" t="str">
        <f>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spans="2:21" x14ac:dyDescent="0.2">
      <c r="B177" s="56"/>
      <c r="C177" s="56"/>
      <c r="D177" s="56"/>
      <c r="E177" s="56"/>
      <c r="F177" s="57" t="str">
        <f>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58"/>
      <c r="H177" s="57" t="str">
        <f>IF(G177="","",IF(ISNUMBER(SEARCH(",",G177)),"Several items (the script lists them)",IFERROR(INDEX('Dashboard Items'!$B$2:$B$495,MATCH(G177,'Dashboard Items'!$A$2:$A$495,0))&amp;": "&amp;INDEX('Dashboard Items'!$C$2:$C$495,MATCH(G177,'Dashboard Items'!$A$2:$A$495,0)),"ID not found")))</f>
        <v/>
      </c>
      <c r="I177" s="56"/>
      <c r="J177" s="56"/>
      <c r="K177" s="56"/>
      <c r="L177" s="56"/>
      <c r="M177" s="56"/>
      <c r="N177" s="56"/>
      <c r="O177" s="56"/>
      <c r="P177" s="56"/>
      <c r="Q177" s="56"/>
      <c r="R177" s="56"/>
      <c r="S177" s="56"/>
      <c r="T177" s="56"/>
      <c r="U177" s="17" t="str">
        <f>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spans="2:21" x14ac:dyDescent="0.2">
      <c r="B178" s="56"/>
      <c r="C178" s="56"/>
      <c r="D178" s="56"/>
      <c r="E178" s="56"/>
      <c r="F178" s="57" t="str">
        <f>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58"/>
      <c r="H178" s="57" t="str">
        <f>IF(G178="","",IF(ISNUMBER(SEARCH(",",G178)),"Several items (the script lists them)",IFERROR(INDEX('Dashboard Items'!$B$2:$B$495,MATCH(G178,'Dashboard Items'!$A$2:$A$495,0))&amp;": "&amp;INDEX('Dashboard Items'!$C$2:$C$495,MATCH(G178,'Dashboard Items'!$A$2:$A$495,0)),"ID not found")))</f>
        <v/>
      </c>
      <c r="I178" s="56"/>
      <c r="J178" s="56"/>
      <c r="K178" s="56"/>
      <c r="L178" s="56"/>
      <c r="M178" s="56"/>
      <c r="N178" s="56"/>
      <c r="O178" s="56"/>
      <c r="P178" s="56"/>
      <c r="Q178" s="56"/>
      <c r="R178" s="56"/>
      <c r="S178" s="56"/>
      <c r="T178" s="56"/>
      <c r="U178" s="17" t="str">
        <f>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spans="2:21" x14ac:dyDescent="0.2">
      <c r="B179" s="56"/>
      <c r="C179" s="56"/>
      <c r="D179" s="56"/>
      <c r="E179" s="56"/>
      <c r="F179" s="57" t="str">
        <f>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58"/>
      <c r="H179" s="57" t="str">
        <f>IF(G179="","",IF(ISNUMBER(SEARCH(",",G179)),"Several items (the script lists them)",IFERROR(INDEX('Dashboard Items'!$B$2:$B$495,MATCH(G179,'Dashboard Items'!$A$2:$A$495,0))&amp;": "&amp;INDEX('Dashboard Items'!$C$2:$C$495,MATCH(G179,'Dashboard Items'!$A$2:$A$495,0)),"ID not found")))</f>
        <v/>
      </c>
      <c r="I179" s="56"/>
      <c r="J179" s="56"/>
      <c r="K179" s="56"/>
      <c r="L179" s="56"/>
      <c r="M179" s="56"/>
      <c r="N179" s="56"/>
      <c r="O179" s="56"/>
      <c r="P179" s="56"/>
      <c r="Q179" s="56"/>
      <c r="R179" s="56"/>
      <c r="S179" s="56"/>
      <c r="T179" s="56"/>
      <c r="U179" s="17" t="str">
        <f>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spans="2:21" x14ac:dyDescent="0.2">
      <c r="B180" s="56"/>
      <c r="C180" s="56"/>
      <c r="D180" s="56"/>
      <c r="E180" s="56"/>
      <c r="F180" s="57" t="str">
        <f>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58"/>
      <c r="H180" s="57" t="str">
        <f>IF(G180="","",IF(ISNUMBER(SEARCH(",",G180)),"Several items (the script lists them)",IFERROR(INDEX('Dashboard Items'!$B$2:$B$495,MATCH(G180,'Dashboard Items'!$A$2:$A$495,0))&amp;": "&amp;INDEX('Dashboard Items'!$C$2:$C$495,MATCH(G180,'Dashboard Items'!$A$2:$A$495,0)),"ID not found")))</f>
        <v/>
      </c>
      <c r="I180" s="56"/>
      <c r="J180" s="56"/>
      <c r="K180" s="56"/>
      <c r="L180" s="56"/>
      <c r="M180" s="56"/>
      <c r="N180" s="56"/>
      <c r="O180" s="56"/>
      <c r="P180" s="56"/>
      <c r="Q180" s="56"/>
      <c r="R180" s="56"/>
      <c r="S180" s="56"/>
      <c r="T180" s="56"/>
      <c r="U180" s="17" t="str">
        <f>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spans="2:21" x14ac:dyDescent="0.2">
      <c r="B181" s="56"/>
      <c r="C181" s="56"/>
      <c r="D181" s="56"/>
      <c r="E181" s="56"/>
      <c r="F181" s="57" t="str">
        <f>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58"/>
      <c r="H181" s="57" t="str">
        <f>IF(G181="","",IF(ISNUMBER(SEARCH(",",G181)),"Several items (the script lists them)",IFERROR(INDEX('Dashboard Items'!$B$2:$B$495,MATCH(G181,'Dashboard Items'!$A$2:$A$495,0))&amp;": "&amp;INDEX('Dashboard Items'!$C$2:$C$495,MATCH(G181,'Dashboard Items'!$A$2:$A$495,0)),"ID not found")))</f>
        <v/>
      </c>
      <c r="I181" s="56"/>
      <c r="J181" s="56"/>
      <c r="K181" s="56"/>
      <c r="L181" s="56"/>
      <c r="M181" s="56"/>
      <c r="N181" s="56"/>
      <c r="O181" s="56"/>
      <c r="P181" s="56"/>
      <c r="Q181" s="56"/>
      <c r="R181" s="56"/>
      <c r="S181" s="56"/>
      <c r="T181" s="56"/>
      <c r="U181" s="17" t="str">
        <f>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spans="2:21" x14ac:dyDescent="0.2">
      <c r="B182" s="56"/>
      <c r="C182" s="56"/>
      <c r="D182" s="56"/>
      <c r="E182" s="56"/>
      <c r="F182" s="57" t="str">
        <f>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58"/>
      <c r="H182" s="57" t="str">
        <f>IF(G182="","",IF(ISNUMBER(SEARCH(",",G182)),"Several items (the script lists them)",IFERROR(INDEX('Dashboard Items'!$B$2:$B$495,MATCH(G182,'Dashboard Items'!$A$2:$A$495,0))&amp;": "&amp;INDEX('Dashboard Items'!$C$2:$C$495,MATCH(G182,'Dashboard Items'!$A$2:$A$495,0)),"ID not found")))</f>
        <v/>
      </c>
      <c r="I182" s="56"/>
      <c r="J182" s="56"/>
      <c r="K182" s="56"/>
      <c r="L182" s="56"/>
      <c r="M182" s="56"/>
      <c r="N182" s="56"/>
      <c r="O182" s="56"/>
      <c r="P182" s="56"/>
      <c r="Q182" s="56"/>
      <c r="R182" s="56"/>
      <c r="S182" s="56"/>
      <c r="T182" s="56"/>
      <c r="U182" s="17" t="str">
        <f>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spans="2:21" x14ac:dyDescent="0.2">
      <c r="B183" s="56"/>
      <c r="C183" s="56"/>
      <c r="D183" s="56"/>
      <c r="E183" s="56"/>
      <c r="F183" s="57" t="str">
        <f>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58"/>
      <c r="H183" s="57" t="str">
        <f>IF(G183="","",IF(ISNUMBER(SEARCH(",",G183)),"Several items (the script lists them)",IFERROR(INDEX('Dashboard Items'!$B$2:$B$495,MATCH(G183,'Dashboard Items'!$A$2:$A$495,0))&amp;": "&amp;INDEX('Dashboard Items'!$C$2:$C$495,MATCH(G183,'Dashboard Items'!$A$2:$A$495,0)),"ID not found")))</f>
        <v/>
      </c>
      <c r="I183" s="56"/>
      <c r="J183" s="56"/>
      <c r="K183" s="56"/>
      <c r="L183" s="56"/>
      <c r="M183" s="56"/>
      <c r="N183" s="56"/>
      <c r="O183" s="56"/>
      <c r="P183" s="56"/>
      <c r="Q183" s="56"/>
      <c r="R183" s="56"/>
      <c r="S183" s="56"/>
      <c r="T183" s="56"/>
      <c r="U183" s="17" t="str">
        <f>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spans="2:21" x14ac:dyDescent="0.2">
      <c r="B184" s="56"/>
      <c r="C184" s="56"/>
      <c r="D184" s="56"/>
      <c r="E184" s="56"/>
      <c r="F184" s="57" t="str">
        <f>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58"/>
      <c r="H184" s="57" t="str">
        <f>IF(G184="","",IF(ISNUMBER(SEARCH(",",G184)),"Several items (the script lists them)",IFERROR(INDEX('Dashboard Items'!$B$2:$B$495,MATCH(G184,'Dashboard Items'!$A$2:$A$495,0))&amp;": "&amp;INDEX('Dashboard Items'!$C$2:$C$495,MATCH(G184,'Dashboard Items'!$A$2:$A$495,0)),"ID not found")))</f>
        <v/>
      </c>
      <c r="I184" s="56"/>
      <c r="J184" s="56"/>
      <c r="K184" s="56"/>
      <c r="L184" s="56"/>
      <c r="M184" s="56"/>
      <c r="N184" s="56"/>
      <c r="O184" s="56"/>
      <c r="P184" s="56"/>
      <c r="Q184" s="56"/>
      <c r="R184" s="56"/>
      <c r="S184" s="56"/>
      <c r="T184" s="56"/>
      <c r="U184" s="17" t="str">
        <f>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spans="2:21" x14ac:dyDescent="0.2">
      <c r="B185" s="56"/>
      <c r="C185" s="56"/>
      <c r="D185" s="56"/>
      <c r="E185" s="56"/>
      <c r="F185" s="57" t="str">
        <f>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58"/>
      <c r="H185" s="57" t="str">
        <f>IF(G185="","",IF(ISNUMBER(SEARCH(",",G185)),"Several items (the script lists them)",IFERROR(INDEX('Dashboard Items'!$B$2:$B$495,MATCH(G185,'Dashboard Items'!$A$2:$A$495,0))&amp;": "&amp;INDEX('Dashboard Items'!$C$2:$C$495,MATCH(G185,'Dashboard Items'!$A$2:$A$495,0)),"ID not found")))</f>
        <v/>
      </c>
      <c r="I185" s="56"/>
      <c r="J185" s="56"/>
      <c r="K185" s="56"/>
      <c r="L185" s="56"/>
      <c r="M185" s="56"/>
      <c r="N185" s="56"/>
      <c r="O185" s="56"/>
      <c r="P185" s="56"/>
      <c r="Q185" s="56"/>
      <c r="R185" s="56"/>
      <c r="S185" s="56"/>
      <c r="T185" s="56"/>
      <c r="U185" s="17" t="str">
        <f>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spans="2:21" x14ac:dyDescent="0.2">
      <c r="B186" s="56"/>
      <c r="C186" s="56"/>
      <c r="D186" s="56"/>
      <c r="E186" s="56"/>
      <c r="F186" s="57" t="str">
        <f>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58"/>
      <c r="H186" s="57" t="str">
        <f>IF(G186="","",IF(ISNUMBER(SEARCH(",",G186)),"Several items (the script lists them)",IFERROR(INDEX('Dashboard Items'!$B$2:$B$495,MATCH(G186,'Dashboard Items'!$A$2:$A$495,0))&amp;": "&amp;INDEX('Dashboard Items'!$C$2:$C$495,MATCH(G186,'Dashboard Items'!$A$2:$A$495,0)),"ID not found")))</f>
        <v/>
      </c>
      <c r="I186" s="56"/>
      <c r="J186" s="56"/>
      <c r="K186" s="56"/>
      <c r="L186" s="56"/>
      <c r="M186" s="56"/>
      <c r="N186" s="56"/>
      <c r="O186" s="56"/>
      <c r="P186" s="56"/>
      <c r="Q186" s="56"/>
      <c r="R186" s="56"/>
      <c r="S186" s="56"/>
      <c r="T186" s="56"/>
      <c r="U186" s="17" t="str">
        <f>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spans="2:21" x14ac:dyDescent="0.2">
      <c r="B187" s="56"/>
      <c r="C187" s="56"/>
      <c r="D187" s="56"/>
      <c r="E187" s="56"/>
      <c r="F187" s="57" t="str">
        <f>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58"/>
      <c r="H187" s="57" t="str">
        <f>IF(G187="","",IF(ISNUMBER(SEARCH(",",G187)),"Several items (the script lists them)",IFERROR(INDEX('Dashboard Items'!$B$2:$B$495,MATCH(G187,'Dashboard Items'!$A$2:$A$495,0))&amp;": "&amp;INDEX('Dashboard Items'!$C$2:$C$495,MATCH(G187,'Dashboard Items'!$A$2:$A$495,0)),"ID not found")))</f>
        <v/>
      </c>
      <c r="I187" s="56"/>
      <c r="J187" s="56"/>
      <c r="K187" s="56"/>
      <c r="L187" s="56"/>
      <c r="M187" s="56"/>
      <c r="N187" s="56"/>
      <c r="O187" s="56"/>
      <c r="P187" s="56"/>
      <c r="Q187" s="56"/>
      <c r="R187" s="56"/>
      <c r="S187" s="56"/>
      <c r="T187" s="56"/>
      <c r="U187" s="17" t="str">
        <f>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spans="2:21" x14ac:dyDescent="0.2">
      <c r="B188" s="56"/>
      <c r="C188" s="56"/>
      <c r="D188" s="56"/>
      <c r="E188" s="56"/>
      <c r="F188" s="57" t="str">
        <f>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58"/>
      <c r="H188" s="57" t="str">
        <f>IF(G188="","",IF(ISNUMBER(SEARCH(",",G188)),"Several items (the script lists them)",IFERROR(INDEX('Dashboard Items'!$B$2:$B$495,MATCH(G188,'Dashboard Items'!$A$2:$A$495,0))&amp;": "&amp;INDEX('Dashboard Items'!$C$2:$C$495,MATCH(G188,'Dashboard Items'!$A$2:$A$495,0)),"ID not found")))</f>
        <v/>
      </c>
      <c r="I188" s="56"/>
      <c r="J188" s="56"/>
      <c r="K188" s="56"/>
      <c r="L188" s="56"/>
      <c r="M188" s="56"/>
      <c r="N188" s="56"/>
      <c r="O188" s="56"/>
      <c r="P188" s="56"/>
      <c r="Q188" s="56"/>
      <c r="R188" s="56"/>
      <c r="S188" s="56"/>
      <c r="T188" s="56"/>
      <c r="U188" s="17" t="str">
        <f>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spans="2:21" x14ac:dyDescent="0.2">
      <c r="B189" s="56"/>
      <c r="C189" s="56"/>
      <c r="D189" s="56"/>
      <c r="E189" s="56"/>
      <c r="F189" s="57" t="str">
        <f>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58"/>
      <c r="H189" s="57" t="str">
        <f>IF(G189="","",IF(ISNUMBER(SEARCH(",",G189)),"Several items (the script lists them)",IFERROR(INDEX('Dashboard Items'!$B$2:$B$495,MATCH(G189,'Dashboard Items'!$A$2:$A$495,0))&amp;": "&amp;INDEX('Dashboard Items'!$C$2:$C$495,MATCH(G189,'Dashboard Items'!$A$2:$A$495,0)),"ID not found")))</f>
        <v/>
      </c>
      <c r="I189" s="56"/>
      <c r="J189" s="56"/>
      <c r="K189" s="56"/>
      <c r="L189" s="56"/>
      <c r="M189" s="56"/>
      <c r="N189" s="56"/>
      <c r="O189" s="56"/>
      <c r="P189" s="56"/>
      <c r="Q189" s="56"/>
      <c r="R189" s="56"/>
      <c r="S189" s="56"/>
      <c r="T189" s="56"/>
      <c r="U189" s="17" t="str">
        <f>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spans="2:21" x14ac:dyDescent="0.2">
      <c r="B190" s="56"/>
      <c r="C190" s="56"/>
      <c r="D190" s="56"/>
      <c r="E190" s="56"/>
      <c r="F190" s="57" t="str">
        <f>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58"/>
      <c r="H190" s="57" t="str">
        <f>IF(G190="","",IF(ISNUMBER(SEARCH(",",G190)),"Several items (the script lists them)",IFERROR(INDEX('Dashboard Items'!$B$2:$B$495,MATCH(G190,'Dashboard Items'!$A$2:$A$495,0))&amp;": "&amp;INDEX('Dashboard Items'!$C$2:$C$495,MATCH(G190,'Dashboard Items'!$A$2:$A$495,0)),"ID not found")))</f>
        <v/>
      </c>
      <c r="I190" s="56"/>
      <c r="J190" s="56"/>
      <c r="K190" s="56"/>
      <c r="L190" s="56"/>
      <c r="M190" s="56"/>
      <c r="N190" s="56"/>
      <c r="O190" s="56"/>
      <c r="P190" s="56"/>
      <c r="Q190" s="56"/>
      <c r="R190" s="56"/>
      <c r="S190" s="56"/>
      <c r="T190" s="56"/>
      <c r="U190" s="17" t="str">
        <f>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spans="2:21" x14ac:dyDescent="0.2">
      <c r="B191" s="56"/>
      <c r="C191" s="56"/>
      <c r="D191" s="56"/>
      <c r="E191" s="56"/>
      <c r="F191" s="57" t="str">
        <f>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58"/>
      <c r="H191" s="57" t="str">
        <f>IF(G191="","",IF(ISNUMBER(SEARCH(",",G191)),"Several items (the script lists them)",IFERROR(INDEX('Dashboard Items'!$B$2:$B$495,MATCH(G191,'Dashboard Items'!$A$2:$A$495,0))&amp;": "&amp;INDEX('Dashboard Items'!$C$2:$C$495,MATCH(G191,'Dashboard Items'!$A$2:$A$495,0)),"ID not found")))</f>
        <v/>
      </c>
      <c r="I191" s="56"/>
      <c r="J191" s="56"/>
      <c r="K191" s="56"/>
      <c r="L191" s="56"/>
      <c r="M191" s="56"/>
      <c r="N191" s="56"/>
      <c r="O191" s="56"/>
      <c r="P191" s="56"/>
      <c r="Q191" s="56"/>
      <c r="R191" s="56"/>
      <c r="S191" s="56"/>
      <c r="T191" s="56"/>
      <c r="U191" s="17" t="str">
        <f>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spans="2:21" x14ac:dyDescent="0.2">
      <c r="B192" s="56"/>
      <c r="C192" s="56"/>
      <c r="D192" s="56"/>
      <c r="E192" s="56"/>
      <c r="F192" s="57" t="str">
        <f>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58"/>
      <c r="H192" s="57" t="str">
        <f>IF(G192="","",IF(ISNUMBER(SEARCH(",",G192)),"Several items (the script lists them)",IFERROR(INDEX('Dashboard Items'!$B$2:$B$495,MATCH(G192,'Dashboard Items'!$A$2:$A$495,0))&amp;": "&amp;INDEX('Dashboard Items'!$C$2:$C$495,MATCH(G192,'Dashboard Items'!$A$2:$A$495,0)),"ID not found")))</f>
        <v/>
      </c>
      <c r="I192" s="56"/>
      <c r="J192" s="56"/>
      <c r="K192" s="56"/>
      <c r="L192" s="56"/>
      <c r="M192" s="56"/>
      <c r="N192" s="56"/>
      <c r="O192" s="56"/>
      <c r="P192" s="56"/>
      <c r="Q192" s="56"/>
      <c r="R192" s="56"/>
      <c r="S192" s="56"/>
      <c r="T192" s="56"/>
      <c r="U192" s="17" t="str">
        <f>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spans="2:21" x14ac:dyDescent="0.2">
      <c r="B193" s="56"/>
      <c r="C193" s="56"/>
      <c r="D193" s="56"/>
      <c r="E193" s="56"/>
      <c r="F193" s="57" t="str">
        <f>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58"/>
      <c r="H193" s="57" t="str">
        <f>IF(G193="","",IF(ISNUMBER(SEARCH(",",G193)),"Several items (the script lists them)",IFERROR(INDEX('Dashboard Items'!$B$2:$B$495,MATCH(G193,'Dashboard Items'!$A$2:$A$495,0))&amp;": "&amp;INDEX('Dashboard Items'!$C$2:$C$495,MATCH(G193,'Dashboard Items'!$A$2:$A$495,0)),"ID not found")))</f>
        <v/>
      </c>
      <c r="I193" s="56"/>
      <c r="J193" s="56"/>
      <c r="K193" s="56"/>
      <c r="L193" s="56"/>
      <c r="M193" s="56"/>
      <c r="N193" s="56"/>
      <c r="O193" s="56"/>
      <c r="P193" s="56"/>
      <c r="Q193" s="56"/>
      <c r="R193" s="56"/>
      <c r="S193" s="56"/>
      <c r="T193" s="56"/>
      <c r="U193" s="17" t="str">
        <f>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spans="2:21" x14ac:dyDescent="0.2">
      <c r="B194" s="56"/>
      <c r="C194" s="56"/>
      <c r="D194" s="56"/>
      <c r="E194" s="56"/>
      <c r="F194" s="57" t="str">
        <f>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58"/>
      <c r="H194" s="57" t="str">
        <f>IF(G194="","",IF(ISNUMBER(SEARCH(",",G194)),"Several items (the script lists them)",IFERROR(INDEX('Dashboard Items'!$B$2:$B$495,MATCH(G194,'Dashboard Items'!$A$2:$A$495,0))&amp;": "&amp;INDEX('Dashboard Items'!$C$2:$C$495,MATCH(G194,'Dashboard Items'!$A$2:$A$495,0)),"ID not found")))</f>
        <v/>
      </c>
      <c r="I194" s="56"/>
      <c r="J194" s="56"/>
      <c r="K194" s="56"/>
      <c r="L194" s="56"/>
      <c r="M194" s="56"/>
      <c r="N194" s="56"/>
      <c r="O194" s="56"/>
      <c r="P194" s="56"/>
      <c r="Q194" s="56"/>
      <c r="R194" s="56"/>
      <c r="S194" s="56"/>
      <c r="T194" s="56"/>
      <c r="U194" s="17" t="str">
        <f>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spans="2:21" x14ac:dyDescent="0.2">
      <c r="B195" s="56"/>
      <c r="C195" s="56"/>
      <c r="D195" s="56"/>
      <c r="E195" s="56"/>
      <c r="F195" s="57" t="str">
        <f>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58"/>
      <c r="H195" s="57" t="str">
        <f>IF(G195="","",IF(ISNUMBER(SEARCH(",",G195)),"Several items (the script lists them)",IFERROR(INDEX('Dashboard Items'!$B$2:$B$495,MATCH(G195,'Dashboard Items'!$A$2:$A$495,0))&amp;": "&amp;INDEX('Dashboard Items'!$C$2:$C$495,MATCH(G195,'Dashboard Items'!$A$2:$A$495,0)),"ID not found")))</f>
        <v/>
      </c>
      <c r="I195" s="56"/>
      <c r="J195" s="56"/>
      <c r="K195" s="56"/>
      <c r="L195" s="56"/>
      <c r="M195" s="56"/>
      <c r="N195" s="56"/>
      <c r="O195" s="56"/>
      <c r="P195" s="56"/>
      <c r="Q195" s="56"/>
      <c r="R195" s="56"/>
      <c r="S195" s="56"/>
      <c r="T195" s="56"/>
      <c r="U195" s="17" t="str">
        <f>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spans="2:21" x14ac:dyDescent="0.2">
      <c r="B196" s="56"/>
      <c r="C196" s="56"/>
      <c r="D196" s="56"/>
      <c r="E196" s="56"/>
      <c r="F196" s="57" t="str">
        <f>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58"/>
      <c r="H196" s="57" t="str">
        <f>IF(G196="","",IF(ISNUMBER(SEARCH(",",G196)),"Several items (the script lists them)",IFERROR(INDEX('Dashboard Items'!$B$2:$B$495,MATCH(G196,'Dashboard Items'!$A$2:$A$495,0))&amp;": "&amp;INDEX('Dashboard Items'!$C$2:$C$495,MATCH(G196,'Dashboard Items'!$A$2:$A$495,0)),"ID not found")))</f>
        <v/>
      </c>
      <c r="I196" s="56"/>
      <c r="J196" s="56"/>
      <c r="K196" s="56"/>
      <c r="L196" s="56"/>
      <c r="M196" s="56"/>
      <c r="N196" s="56"/>
      <c r="O196" s="56"/>
      <c r="P196" s="56"/>
      <c r="Q196" s="56"/>
      <c r="R196" s="56"/>
      <c r="S196" s="56"/>
      <c r="T196" s="56"/>
      <c r="U196" s="17" t="str">
        <f>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spans="2:21" x14ac:dyDescent="0.2">
      <c r="B197" s="56"/>
      <c r="C197" s="56"/>
      <c r="D197" s="56"/>
      <c r="E197" s="56"/>
      <c r="F197" s="57" t="str">
        <f>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58"/>
      <c r="H197" s="57" t="str">
        <f>IF(G197="","",IF(ISNUMBER(SEARCH(",",G197)),"Several items (the script lists them)",IFERROR(INDEX('Dashboard Items'!$B$2:$B$495,MATCH(G197,'Dashboard Items'!$A$2:$A$495,0))&amp;": "&amp;INDEX('Dashboard Items'!$C$2:$C$495,MATCH(G197,'Dashboard Items'!$A$2:$A$495,0)),"ID not found")))</f>
        <v/>
      </c>
      <c r="I197" s="56"/>
      <c r="J197" s="56"/>
      <c r="K197" s="56"/>
      <c r="L197" s="56"/>
      <c r="M197" s="56"/>
      <c r="N197" s="56"/>
      <c r="O197" s="56"/>
      <c r="P197" s="56"/>
      <c r="Q197" s="56"/>
      <c r="R197" s="56"/>
      <c r="S197" s="56"/>
      <c r="T197" s="56"/>
      <c r="U197" s="17" t="str">
        <f>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spans="2:21" x14ac:dyDescent="0.2">
      <c r="B198" s="56"/>
      <c r="C198" s="56"/>
      <c r="D198" s="56"/>
      <c r="E198" s="56"/>
      <c r="F198" s="57" t="str">
        <f>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58"/>
      <c r="H198" s="57" t="str">
        <f>IF(G198="","",IF(ISNUMBER(SEARCH(",",G198)),"Several items (the script lists them)",IFERROR(INDEX('Dashboard Items'!$B$2:$B$495,MATCH(G198,'Dashboard Items'!$A$2:$A$495,0))&amp;": "&amp;INDEX('Dashboard Items'!$C$2:$C$495,MATCH(G198,'Dashboard Items'!$A$2:$A$495,0)),"ID not found")))</f>
        <v/>
      </c>
      <c r="I198" s="56"/>
      <c r="J198" s="56"/>
      <c r="K198" s="56"/>
      <c r="L198" s="56"/>
      <c r="M198" s="56"/>
      <c r="N198" s="56"/>
      <c r="O198" s="56"/>
      <c r="P198" s="56"/>
      <c r="Q198" s="56"/>
      <c r="R198" s="56"/>
      <c r="S198" s="56"/>
      <c r="T198" s="56"/>
      <c r="U198" s="17" t="str">
        <f>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spans="2:21" x14ac:dyDescent="0.2">
      <c r="B199" s="56"/>
      <c r="C199" s="56"/>
      <c r="D199" s="56"/>
      <c r="E199" s="56"/>
      <c r="F199" s="57" t="str">
        <f>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58"/>
      <c r="H199" s="57" t="str">
        <f>IF(G199="","",IF(ISNUMBER(SEARCH(",",G199)),"Several items (the script lists them)",IFERROR(INDEX('Dashboard Items'!$B$2:$B$495,MATCH(G199,'Dashboard Items'!$A$2:$A$495,0))&amp;": "&amp;INDEX('Dashboard Items'!$C$2:$C$495,MATCH(G199,'Dashboard Items'!$A$2:$A$495,0)),"ID not found")))</f>
        <v/>
      </c>
      <c r="I199" s="56"/>
      <c r="J199" s="56"/>
      <c r="K199" s="56"/>
      <c r="L199" s="56"/>
      <c r="M199" s="56"/>
      <c r="N199" s="56"/>
      <c r="O199" s="56"/>
      <c r="P199" s="56"/>
      <c r="Q199" s="56"/>
      <c r="R199" s="56"/>
      <c r="S199" s="56"/>
      <c r="T199" s="56"/>
      <c r="U199" s="17" t="str">
        <f>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spans="2:21" x14ac:dyDescent="0.2">
      <c r="B200" s="56"/>
      <c r="C200" s="56"/>
      <c r="D200" s="56"/>
      <c r="E200" s="56"/>
      <c r="F200" s="57" t="str">
        <f>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58"/>
      <c r="H200" s="57" t="str">
        <f>IF(G200="","",IF(ISNUMBER(SEARCH(",",G200)),"Several items (the script lists them)",IFERROR(INDEX('Dashboard Items'!$B$2:$B$495,MATCH(G200,'Dashboard Items'!$A$2:$A$495,0))&amp;": "&amp;INDEX('Dashboard Items'!$C$2:$C$495,MATCH(G200,'Dashboard Items'!$A$2:$A$495,0)),"ID not found")))</f>
        <v/>
      </c>
      <c r="I200" s="56"/>
      <c r="J200" s="56"/>
      <c r="K200" s="56"/>
      <c r="L200" s="56"/>
      <c r="M200" s="56"/>
      <c r="N200" s="56"/>
      <c r="O200" s="56"/>
      <c r="P200" s="56"/>
      <c r="Q200" s="56"/>
      <c r="R200" s="56"/>
      <c r="S200" s="56"/>
      <c r="T200" s="56"/>
      <c r="U200" s="17" t="str">
        <f>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spans="2:21" x14ac:dyDescent="0.2">
      <c r="B201" s="56"/>
      <c r="C201" s="56"/>
      <c r="D201" s="56"/>
      <c r="E201" s="56"/>
      <c r="F201" s="57" t="str">
        <f>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58"/>
      <c r="H201" s="57" t="str">
        <f>IF(G201="","",IF(ISNUMBER(SEARCH(",",G201)),"Several items (the script lists them)",IFERROR(INDEX('Dashboard Items'!$B$2:$B$495,MATCH(G201,'Dashboard Items'!$A$2:$A$495,0))&amp;": "&amp;INDEX('Dashboard Items'!$C$2:$C$495,MATCH(G201,'Dashboard Items'!$A$2:$A$495,0)),"ID not found")))</f>
        <v/>
      </c>
      <c r="I201" s="56"/>
      <c r="J201" s="56"/>
      <c r="K201" s="56"/>
      <c r="L201" s="56"/>
      <c r="M201" s="56"/>
      <c r="N201" s="56"/>
      <c r="O201" s="56"/>
      <c r="P201" s="56"/>
      <c r="Q201" s="56"/>
      <c r="R201" s="56"/>
      <c r="S201" s="56"/>
      <c r="T201" s="56"/>
      <c r="U201" s="17" t="str">
        <f>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spans="2:21" x14ac:dyDescent="0.2">
      <c r="B202" s="56"/>
      <c r="C202" s="56"/>
      <c r="D202" s="56"/>
      <c r="E202" s="56"/>
      <c r="F202" s="57" t="str">
        <f>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58"/>
      <c r="H202" s="57" t="str">
        <f>IF(G202="","",IF(ISNUMBER(SEARCH(",",G202)),"Several items (the script lists them)",IFERROR(INDEX('Dashboard Items'!$B$2:$B$495,MATCH(G202,'Dashboard Items'!$A$2:$A$495,0))&amp;": "&amp;INDEX('Dashboard Items'!$C$2:$C$495,MATCH(G202,'Dashboard Items'!$A$2:$A$495,0)),"ID not found")))</f>
        <v/>
      </c>
      <c r="I202" s="56"/>
      <c r="J202" s="56"/>
      <c r="K202" s="56"/>
      <c r="L202" s="56"/>
      <c r="M202" s="56"/>
      <c r="N202" s="56"/>
      <c r="O202" s="56"/>
      <c r="P202" s="56"/>
      <c r="Q202" s="56"/>
      <c r="R202" s="56"/>
      <c r="S202" s="56"/>
      <c r="T202" s="56"/>
      <c r="U202" s="17" t="str">
        <f>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spans="2:21" x14ac:dyDescent="0.2">
      <c r="B203" s="56"/>
      <c r="C203" s="56"/>
      <c r="D203" s="56"/>
      <c r="E203" s="56"/>
      <c r="F203" s="57" t="str">
        <f>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58"/>
      <c r="H203" s="57" t="str">
        <f>IF(G203="","",IF(ISNUMBER(SEARCH(",",G203)),"Several items (the script lists them)",IFERROR(INDEX('Dashboard Items'!$B$2:$B$495,MATCH(G203,'Dashboard Items'!$A$2:$A$495,0))&amp;": "&amp;INDEX('Dashboard Items'!$C$2:$C$495,MATCH(G203,'Dashboard Items'!$A$2:$A$495,0)),"ID not found")))</f>
        <v/>
      </c>
      <c r="I203" s="56"/>
      <c r="J203" s="56"/>
      <c r="K203" s="56"/>
      <c r="L203" s="56"/>
      <c r="M203" s="56"/>
      <c r="N203" s="56"/>
      <c r="O203" s="56"/>
      <c r="P203" s="56"/>
      <c r="Q203" s="56"/>
      <c r="R203" s="56"/>
      <c r="S203" s="56"/>
      <c r="T203" s="56"/>
      <c r="U203" s="17" t="str">
        <f>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spans="2:21" x14ac:dyDescent="0.2">
      <c r="B204" s="56"/>
      <c r="C204" s="56"/>
      <c r="D204" s="56"/>
      <c r="E204" s="56"/>
      <c r="F204" s="57" t="str">
        <f>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58"/>
      <c r="H204" s="57" t="str">
        <f>IF(G204="","",IF(ISNUMBER(SEARCH(",",G204)),"Several items (the script lists them)",IFERROR(INDEX('Dashboard Items'!$B$2:$B$495,MATCH(G204,'Dashboard Items'!$A$2:$A$495,0))&amp;": "&amp;INDEX('Dashboard Items'!$C$2:$C$495,MATCH(G204,'Dashboard Items'!$A$2:$A$495,0)),"ID not found")))</f>
        <v/>
      </c>
      <c r="I204" s="56"/>
      <c r="J204" s="56"/>
      <c r="K204" s="56"/>
      <c r="L204" s="56"/>
      <c r="M204" s="56"/>
      <c r="N204" s="56"/>
      <c r="O204" s="56"/>
      <c r="P204" s="56"/>
      <c r="Q204" s="56"/>
      <c r="R204" s="56"/>
      <c r="S204" s="56"/>
      <c r="T204" s="56"/>
      <c r="U204" s="17" t="str">
        <f>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spans="2:21" x14ac:dyDescent="0.2">
      <c r="B205" s="56"/>
      <c r="C205" s="56"/>
      <c r="D205" s="56"/>
      <c r="E205" s="56"/>
      <c r="F205" s="57" t="str">
        <f>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58"/>
      <c r="H205" s="57" t="str">
        <f>IF(G205="","",IF(ISNUMBER(SEARCH(",",G205)),"Several items (the script lists them)",IFERROR(INDEX('Dashboard Items'!$B$2:$B$495,MATCH(G205,'Dashboard Items'!$A$2:$A$495,0))&amp;": "&amp;INDEX('Dashboard Items'!$C$2:$C$495,MATCH(G205,'Dashboard Items'!$A$2:$A$495,0)),"ID not found")))</f>
        <v/>
      </c>
      <c r="I205" s="56"/>
      <c r="J205" s="56"/>
      <c r="K205" s="56"/>
      <c r="L205" s="56"/>
      <c r="M205" s="56"/>
      <c r="N205" s="56"/>
      <c r="O205" s="56"/>
      <c r="P205" s="56"/>
      <c r="Q205" s="56"/>
      <c r="R205" s="56"/>
      <c r="S205" s="56"/>
      <c r="T205" s="56"/>
      <c r="U205" s="17" t="str">
        <f>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spans="2:21" x14ac:dyDescent="0.2">
      <c r="B206" s="56"/>
      <c r="C206" s="56"/>
      <c r="D206" s="56"/>
      <c r="E206" s="56"/>
      <c r="F206" s="57" t="str">
        <f>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58"/>
      <c r="H206" s="57" t="str">
        <f>IF(G206="","",IF(ISNUMBER(SEARCH(",",G206)),"Several items (the script lists them)",IFERROR(INDEX('Dashboard Items'!$B$2:$B$495,MATCH(G206,'Dashboard Items'!$A$2:$A$495,0))&amp;": "&amp;INDEX('Dashboard Items'!$C$2:$C$495,MATCH(G206,'Dashboard Items'!$A$2:$A$495,0)),"ID not found")))</f>
        <v/>
      </c>
      <c r="I206" s="56"/>
      <c r="J206" s="56"/>
      <c r="K206" s="56"/>
      <c r="L206" s="56"/>
      <c r="M206" s="56"/>
      <c r="N206" s="56"/>
      <c r="O206" s="56"/>
      <c r="P206" s="56"/>
      <c r="Q206" s="56"/>
      <c r="R206" s="56"/>
      <c r="S206" s="56"/>
      <c r="T206" s="56"/>
      <c r="U206" s="17" t="str">
        <f>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spans="2:21" x14ac:dyDescent="0.2">
      <c r="B207" s="56"/>
      <c r="C207" s="56"/>
      <c r="D207" s="56"/>
      <c r="E207" s="56"/>
      <c r="F207" s="57" t="str">
        <f>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58"/>
      <c r="H207" s="57" t="str">
        <f>IF(G207="","",IF(ISNUMBER(SEARCH(",",G207)),"Several items (the script lists them)",IFERROR(INDEX('Dashboard Items'!$B$2:$B$495,MATCH(G207,'Dashboard Items'!$A$2:$A$495,0))&amp;": "&amp;INDEX('Dashboard Items'!$C$2:$C$495,MATCH(G207,'Dashboard Items'!$A$2:$A$495,0)),"ID not found")))</f>
        <v/>
      </c>
      <c r="I207" s="56"/>
      <c r="J207" s="56"/>
      <c r="K207" s="56"/>
      <c r="L207" s="56"/>
      <c r="M207" s="56"/>
      <c r="N207" s="56"/>
      <c r="O207" s="56"/>
      <c r="P207" s="56"/>
      <c r="Q207" s="56"/>
      <c r="R207" s="56"/>
      <c r="S207" s="56"/>
      <c r="T207" s="56"/>
      <c r="U207" s="17" t="str">
        <f>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spans="2:21" x14ac:dyDescent="0.2">
      <c r="B208" s="56"/>
      <c r="C208" s="56"/>
      <c r="D208" s="56"/>
      <c r="E208" s="56"/>
      <c r="F208" s="57" t="str">
        <f>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58"/>
      <c r="H208" s="57" t="str">
        <f>IF(G208="","",IF(ISNUMBER(SEARCH(",",G208)),"Several items (the script lists them)",IFERROR(INDEX('Dashboard Items'!$B$2:$B$495,MATCH(G208,'Dashboard Items'!$A$2:$A$495,0))&amp;": "&amp;INDEX('Dashboard Items'!$C$2:$C$495,MATCH(G208,'Dashboard Items'!$A$2:$A$495,0)),"ID not found")))</f>
        <v/>
      </c>
      <c r="I208" s="56"/>
      <c r="J208" s="56"/>
      <c r="K208" s="56"/>
      <c r="L208" s="56"/>
      <c r="M208" s="56"/>
      <c r="N208" s="56"/>
      <c r="O208" s="56"/>
      <c r="P208" s="56"/>
      <c r="Q208" s="56"/>
      <c r="R208" s="56"/>
      <c r="S208" s="56"/>
      <c r="T208" s="56"/>
      <c r="U208" s="17" t="str">
        <f>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spans="2:21" x14ac:dyDescent="0.2">
      <c r="B209" s="56"/>
      <c r="C209" s="56"/>
      <c r="D209" s="56"/>
      <c r="E209" s="56"/>
      <c r="F209" s="57" t="str">
        <f>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58"/>
      <c r="H209" s="57" t="str">
        <f>IF(G209="","",IF(ISNUMBER(SEARCH(",",G209)),"Several items (the script lists them)",IFERROR(INDEX('Dashboard Items'!$B$2:$B$495,MATCH(G209,'Dashboard Items'!$A$2:$A$495,0))&amp;": "&amp;INDEX('Dashboard Items'!$C$2:$C$495,MATCH(G209,'Dashboard Items'!$A$2:$A$495,0)),"ID not found")))</f>
        <v/>
      </c>
      <c r="I209" s="56"/>
      <c r="J209" s="56"/>
      <c r="K209" s="56"/>
      <c r="L209" s="56"/>
      <c r="M209" s="56"/>
      <c r="N209" s="56"/>
      <c r="O209" s="56"/>
      <c r="P209" s="56"/>
      <c r="Q209" s="56"/>
      <c r="R209" s="56"/>
      <c r="S209" s="56"/>
      <c r="T209" s="56"/>
      <c r="U209" s="17" t="str">
        <f>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spans="2:21" x14ac:dyDescent="0.2">
      <c r="B210" s="56"/>
      <c r="C210" s="56"/>
      <c r="D210" s="56"/>
      <c r="E210" s="56"/>
      <c r="F210" s="57" t="str">
        <f>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58"/>
      <c r="H210" s="57" t="str">
        <f>IF(G210="","",IF(ISNUMBER(SEARCH(",",G210)),"Several items (the script lists them)",IFERROR(INDEX('Dashboard Items'!$B$2:$B$495,MATCH(G210,'Dashboard Items'!$A$2:$A$495,0))&amp;": "&amp;INDEX('Dashboard Items'!$C$2:$C$495,MATCH(G210,'Dashboard Items'!$A$2:$A$495,0)),"ID not found")))</f>
        <v/>
      </c>
      <c r="I210" s="56"/>
      <c r="J210" s="56"/>
      <c r="K210" s="56"/>
      <c r="L210" s="56"/>
      <c r="M210" s="56"/>
      <c r="N210" s="56"/>
      <c r="O210" s="56"/>
      <c r="P210" s="56"/>
      <c r="Q210" s="56"/>
      <c r="R210" s="56"/>
      <c r="S210" s="56"/>
      <c r="T210" s="56"/>
      <c r="U210" s="17" t="str">
        <f>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spans="2:21" x14ac:dyDescent="0.2">
      <c r="B211" s="56"/>
      <c r="C211" s="56"/>
      <c r="D211" s="56"/>
      <c r="E211" s="56"/>
      <c r="F211" s="57" t="str">
        <f>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58"/>
      <c r="H211" s="57" t="str">
        <f>IF(G211="","",IF(ISNUMBER(SEARCH(",",G211)),"Several items (the script lists them)",IFERROR(INDEX('Dashboard Items'!$B$2:$B$495,MATCH(G211,'Dashboard Items'!$A$2:$A$495,0))&amp;": "&amp;INDEX('Dashboard Items'!$C$2:$C$495,MATCH(G211,'Dashboard Items'!$A$2:$A$495,0)),"ID not found")))</f>
        <v/>
      </c>
      <c r="I211" s="56"/>
      <c r="J211" s="56"/>
      <c r="K211" s="56"/>
      <c r="L211" s="56"/>
      <c r="M211" s="56"/>
      <c r="N211" s="56"/>
      <c r="O211" s="56"/>
      <c r="P211" s="56"/>
      <c r="Q211" s="56"/>
      <c r="R211" s="56"/>
      <c r="S211" s="56"/>
      <c r="T211" s="56"/>
      <c r="U211" s="17" t="str">
        <f>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spans="2:21" x14ac:dyDescent="0.2">
      <c r="B212" s="56"/>
      <c r="C212" s="56"/>
      <c r="D212" s="56"/>
      <c r="E212" s="56"/>
      <c r="F212" s="57" t="str">
        <f>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58"/>
      <c r="H212" s="57" t="str">
        <f>IF(G212="","",IF(ISNUMBER(SEARCH(",",G212)),"Several items (the script lists them)",IFERROR(INDEX('Dashboard Items'!$B$2:$B$495,MATCH(G212,'Dashboard Items'!$A$2:$A$495,0))&amp;": "&amp;INDEX('Dashboard Items'!$C$2:$C$495,MATCH(G212,'Dashboard Items'!$A$2:$A$495,0)),"ID not found")))</f>
        <v/>
      </c>
      <c r="I212" s="56"/>
      <c r="J212" s="56"/>
      <c r="K212" s="56"/>
      <c r="L212" s="56"/>
      <c r="M212" s="56"/>
      <c r="N212" s="56"/>
      <c r="O212" s="56"/>
      <c r="P212" s="56"/>
      <c r="Q212" s="56"/>
      <c r="R212" s="56"/>
      <c r="S212" s="56"/>
      <c r="T212" s="56"/>
      <c r="U212" s="17" t="str">
        <f>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spans="2:21" x14ac:dyDescent="0.2">
      <c r="B213" s="56"/>
      <c r="C213" s="56"/>
      <c r="D213" s="56"/>
      <c r="E213" s="56"/>
      <c r="F213" s="57" t="str">
        <f>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58"/>
      <c r="H213" s="57" t="str">
        <f>IF(G213="","",IF(ISNUMBER(SEARCH(",",G213)),"Several items (the script lists them)",IFERROR(INDEX('Dashboard Items'!$B$2:$B$495,MATCH(G213,'Dashboard Items'!$A$2:$A$495,0))&amp;": "&amp;INDEX('Dashboard Items'!$C$2:$C$495,MATCH(G213,'Dashboard Items'!$A$2:$A$495,0)),"ID not found")))</f>
        <v/>
      </c>
      <c r="I213" s="56"/>
      <c r="J213" s="56"/>
      <c r="K213" s="56"/>
      <c r="L213" s="56"/>
      <c r="M213" s="56"/>
      <c r="N213" s="56"/>
      <c r="O213" s="56"/>
      <c r="P213" s="56"/>
      <c r="Q213" s="56"/>
      <c r="R213" s="56"/>
      <c r="S213" s="56"/>
      <c r="T213" s="56"/>
      <c r="U213" s="17" t="str">
        <f>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spans="2:21" x14ac:dyDescent="0.2">
      <c r="B214" s="56"/>
      <c r="C214" s="56"/>
      <c r="D214" s="56"/>
      <c r="E214" s="56"/>
      <c r="F214" s="57" t="str">
        <f>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58"/>
      <c r="H214" s="57" t="str">
        <f>IF(G214="","",IF(ISNUMBER(SEARCH(",",G214)),"Several items (the script lists them)",IFERROR(INDEX('Dashboard Items'!$B$2:$B$495,MATCH(G214,'Dashboard Items'!$A$2:$A$495,0))&amp;": "&amp;INDEX('Dashboard Items'!$C$2:$C$495,MATCH(G214,'Dashboard Items'!$A$2:$A$495,0)),"ID not found")))</f>
        <v/>
      </c>
      <c r="I214" s="56"/>
      <c r="J214" s="56"/>
      <c r="K214" s="56"/>
      <c r="L214" s="56"/>
      <c r="M214" s="56"/>
      <c r="N214" s="56"/>
      <c r="O214" s="56"/>
      <c r="P214" s="56"/>
      <c r="Q214" s="56"/>
      <c r="R214" s="56"/>
      <c r="S214" s="56"/>
      <c r="T214" s="56"/>
      <c r="U214" s="17" t="str">
        <f>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spans="2:21" x14ac:dyDescent="0.2">
      <c r="B215" s="56"/>
      <c r="C215" s="56"/>
      <c r="D215" s="56"/>
      <c r="E215" s="56"/>
      <c r="F215" s="57" t="str">
        <f>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58"/>
      <c r="H215" s="57" t="str">
        <f>IF(G215="","",IF(ISNUMBER(SEARCH(",",G215)),"Several items (the script lists them)",IFERROR(INDEX('Dashboard Items'!$B$2:$B$495,MATCH(G215,'Dashboard Items'!$A$2:$A$495,0))&amp;": "&amp;INDEX('Dashboard Items'!$C$2:$C$495,MATCH(G215,'Dashboard Items'!$A$2:$A$495,0)),"ID not found")))</f>
        <v/>
      </c>
      <c r="I215" s="56"/>
      <c r="J215" s="56"/>
      <c r="K215" s="56"/>
      <c r="L215" s="56"/>
      <c r="M215" s="56"/>
      <c r="N215" s="56"/>
      <c r="O215" s="56"/>
      <c r="P215" s="56"/>
      <c r="Q215" s="56"/>
      <c r="R215" s="56"/>
      <c r="S215" s="56"/>
      <c r="T215" s="56"/>
      <c r="U215" s="17" t="str">
        <f>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spans="2:21" x14ac:dyDescent="0.2">
      <c r="B216" s="56"/>
      <c r="C216" s="56"/>
      <c r="D216" s="56"/>
      <c r="E216" s="56"/>
      <c r="F216" s="57" t="str">
        <f>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58"/>
      <c r="H216" s="57" t="str">
        <f>IF(G216="","",IF(ISNUMBER(SEARCH(",",G216)),"Several items (the script lists them)",IFERROR(INDEX('Dashboard Items'!$B$2:$B$495,MATCH(G216,'Dashboard Items'!$A$2:$A$495,0))&amp;": "&amp;INDEX('Dashboard Items'!$C$2:$C$495,MATCH(G216,'Dashboard Items'!$A$2:$A$495,0)),"ID not found")))</f>
        <v/>
      </c>
      <c r="I216" s="56"/>
      <c r="J216" s="56"/>
      <c r="K216" s="56"/>
      <c r="L216" s="56"/>
      <c r="M216" s="56"/>
      <c r="N216" s="56"/>
      <c r="O216" s="56"/>
      <c r="P216" s="56"/>
      <c r="Q216" s="56"/>
      <c r="R216" s="56"/>
      <c r="S216" s="56"/>
      <c r="T216" s="56"/>
      <c r="U216" s="17" t="str">
        <f>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spans="2:21" x14ac:dyDescent="0.2">
      <c r="B217" s="56"/>
      <c r="C217" s="56"/>
      <c r="D217" s="56"/>
      <c r="E217" s="56"/>
      <c r="F217" s="57" t="str">
        <f>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58"/>
      <c r="H217" s="57" t="str">
        <f>IF(G217="","",IF(ISNUMBER(SEARCH(",",G217)),"Several items (the script lists them)",IFERROR(INDEX('Dashboard Items'!$B$2:$B$495,MATCH(G217,'Dashboard Items'!$A$2:$A$495,0))&amp;": "&amp;INDEX('Dashboard Items'!$C$2:$C$495,MATCH(G217,'Dashboard Items'!$A$2:$A$495,0)),"ID not found")))</f>
        <v/>
      </c>
      <c r="I217" s="56"/>
      <c r="J217" s="56"/>
      <c r="K217" s="56"/>
      <c r="L217" s="56"/>
      <c r="M217" s="56"/>
      <c r="N217" s="56"/>
      <c r="O217" s="56"/>
      <c r="P217" s="56"/>
      <c r="Q217" s="56"/>
      <c r="R217" s="56"/>
      <c r="S217" s="56"/>
      <c r="T217" s="56"/>
      <c r="U217" s="17" t="str">
        <f>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spans="2:21" x14ac:dyDescent="0.2">
      <c r="B218" s="56"/>
      <c r="C218" s="56"/>
      <c r="D218" s="56"/>
      <c r="E218" s="56"/>
      <c r="F218" s="57" t="str">
        <f>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58"/>
      <c r="H218" s="57" t="str">
        <f>IF(G218="","",IF(ISNUMBER(SEARCH(",",G218)),"Several items (the script lists them)",IFERROR(INDEX('Dashboard Items'!$B$2:$B$495,MATCH(G218,'Dashboard Items'!$A$2:$A$495,0))&amp;": "&amp;INDEX('Dashboard Items'!$C$2:$C$495,MATCH(G218,'Dashboard Items'!$A$2:$A$495,0)),"ID not found")))</f>
        <v/>
      </c>
      <c r="I218" s="56"/>
      <c r="J218" s="56"/>
      <c r="K218" s="56"/>
      <c r="L218" s="56"/>
      <c r="M218" s="56"/>
      <c r="N218" s="56"/>
      <c r="O218" s="56"/>
      <c r="P218" s="56"/>
      <c r="Q218" s="56"/>
      <c r="R218" s="56"/>
      <c r="S218" s="56"/>
      <c r="T218" s="56"/>
      <c r="U218" s="17" t="str">
        <f>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spans="2:21" x14ac:dyDescent="0.2">
      <c r="B219" s="56"/>
      <c r="C219" s="56"/>
      <c r="D219" s="56"/>
      <c r="E219" s="56"/>
      <c r="F219" s="57" t="str">
        <f>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58"/>
      <c r="H219" s="57" t="str">
        <f>IF(G219="","",IF(ISNUMBER(SEARCH(",",G219)),"Several items (the script lists them)",IFERROR(INDEX('Dashboard Items'!$B$2:$B$495,MATCH(G219,'Dashboard Items'!$A$2:$A$495,0))&amp;": "&amp;INDEX('Dashboard Items'!$C$2:$C$495,MATCH(G219,'Dashboard Items'!$A$2:$A$495,0)),"ID not found")))</f>
        <v/>
      </c>
      <c r="I219" s="56"/>
      <c r="J219" s="56"/>
      <c r="K219" s="56"/>
      <c r="L219" s="56"/>
      <c r="M219" s="56"/>
      <c r="N219" s="56"/>
      <c r="O219" s="56"/>
      <c r="P219" s="56"/>
      <c r="Q219" s="56"/>
      <c r="R219" s="56"/>
      <c r="S219" s="56"/>
      <c r="T219" s="56"/>
      <c r="U219" s="17" t="str">
        <f>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spans="2:21" x14ac:dyDescent="0.2">
      <c r="B220" s="56"/>
      <c r="C220" s="56"/>
      <c r="D220" s="56"/>
      <c r="E220" s="56"/>
      <c r="F220" s="57" t="str">
        <f>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58"/>
      <c r="H220" s="57" t="str">
        <f>IF(G220="","",IF(ISNUMBER(SEARCH(",",G220)),"Several items (the script lists them)",IFERROR(INDEX('Dashboard Items'!$B$2:$B$495,MATCH(G220,'Dashboard Items'!$A$2:$A$495,0))&amp;": "&amp;INDEX('Dashboard Items'!$C$2:$C$495,MATCH(G220,'Dashboard Items'!$A$2:$A$495,0)),"ID not found")))</f>
        <v/>
      </c>
      <c r="I220" s="56"/>
      <c r="J220" s="56"/>
      <c r="K220" s="56"/>
      <c r="L220" s="56"/>
      <c r="M220" s="56"/>
      <c r="N220" s="56"/>
      <c r="O220" s="56"/>
      <c r="P220" s="56"/>
      <c r="Q220" s="56"/>
      <c r="R220" s="56"/>
      <c r="S220" s="56"/>
      <c r="T220" s="56"/>
      <c r="U220" s="17" t="str">
        <f>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spans="2:21" x14ac:dyDescent="0.2">
      <c r="B221" s="56"/>
      <c r="C221" s="56"/>
      <c r="D221" s="56"/>
      <c r="E221" s="56"/>
      <c r="F221" s="57" t="str">
        <f>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58"/>
      <c r="H221" s="57" t="str">
        <f>IF(G221="","",IF(ISNUMBER(SEARCH(",",G221)),"Several items (the script lists them)",IFERROR(INDEX('Dashboard Items'!$B$2:$B$495,MATCH(G221,'Dashboard Items'!$A$2:$A$495,0))&amp;": "&amp;INDEX('Dashboard Items'!$C$2:$C$495,MATCH(G221,'Dashboard Items'!$A$2:$A$495,0)),"ID not found")))</f>
        <v/>
      </c>
      <c r="I221" s="56"/>
      <c r="J221" s="56"/>
      <c r="K221" s="56"/>
      <c r="L221" s="56"/>
      <c r="M221" s="56"/>
      <c r="N221" s="56"/>
      <c r="O221" s="56"/>
      <c r="P221" s="56"/>
      <c r="Q221" s="56"/>
      <c r="R221" s="56"/>
      <c r="S221" s="56"/>
      <c r="T221" s="56"/>
      <c r="U221" s="17" t="str">
        <f>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spans="2:21" x14ac:dyDescent="0.2">
      <c r="B222" s="56"/>
      <c r="C222" s="56"/>
      <c r="D222" s="56"/>
      <c r="E222" s="56"/>
      <c r="F222" s="57" t="str">
        <f>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58"/>
      <c r="H222" s="57" t="str">
        <f>IF(G222="","",IF(ISNUMBER(SEARCH(",",G222)),"Several items (the script lists them)",IFERROR(INDEX('Dashboard Items'!$B$2:$B$495,MATCH(G222,'Dashboard Items'!$A$2:$A$495,0))&amp;": "&amp;INDEX('Dashboard Items'!$C$2:$C$495,MATCH(G222,'Dashboard Items'!$A$2:$A$495,0)),"ID not found")))</f>
        <v/>
      </c>
      <c r="I222" s="56"/>
      <c r="J222" s="56"/>
      <c r="K222" s="56"/>
      <c r="L222" s="56"/>
      <c r="M222" s="56"/>
      <c r="N222" s="56"/>
      <c r="O222" s="56"/>
      <c r="P222" s="56"/>
      <c r="Q222" s="56"/>
      <c r="R222" s="56"/>
      <c r="S222" s="56"/>
      <c r="T222" s="56"/>
      <c r="U222" s="17" t="str">
        <f>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spans="2:21" x14ac:dyDescent="0.2">
      <c r="B223" s="56"/>
      <c r="C223" s="56"/>
      <c r="D223" s="56"/>
      <c r="E223" s="56"/>
      <c r="F223" s="57" t="str">
        <f>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58"/>
      <c r="H223" s="57" t="str">
        <f>IF(G223="","",IF(ISNUMBER(SEARCH(",",G223)),"Several items (the script lists them)",IFERROR(INDEX('Dashboard Items'!$B$2:$B$495,MATCH(G223,'Dashboard Items'!$A$2:$A$495,0))&amp;": "&amp;INDEX('Dashboard Items'!$C$2:$C$495,MATCH(G223,'Dashboard Items'!$A$2:$A$495,0)),"ID not found")))</f>
        <v/>
      </c>
      <c r="I223" s="56"/>
      <c r="J223" s="56"/>
      <c r="K223" s="56"/>
      <c r="L223" s="56"/>
      <c r="M223" s="56"/>
      <c r="N223" s="56"/>
      <c r="O223" s="56"/>
      <c r="P223" s="56"/>
      <c r="Q223" s="56"/>
      <c r="R223" s="56"/>
      <c r="S223" s="56"/>
      <c r="T223" s="56"/>
      <c r="U223" s="17" t="str">
        <f>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spans="2:21" x14ac:dyDescent="0.2">
      <c r="B224" s="56"/>
      <c r="C224" s="56"/>
      <c r="D224" s="56"/>
      <c r="E224" s="56"/>
      <c r="F224" s="57" t="str">
        <f>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58"/>
      <c r="H224" s="57" t="str">
        <f>IF(G224="","",IF(ISNUMBER(SEARCH(",",G224)),"Several items (the script lists them)",IFERROR(INDEX('Dashboard Items'!$B$2:$B$495,MATCH(G224,'Dashboard Items'!$A$2:$A$495,0))&amp;": "&amp;INDEX('Dashboard Items'!$C$2:$C$495,MATCH(G224,'Dashboard Items'!$A$2:$A$495,0)),"ID not found")))</f>
        <v/>
      </c>
      <c r="I224" s="56"/>
      <c r="J224" s="56"/>
      <c r="K224" s="56"/>
      <c r="L224" s="56"/>
      <c r="M224" s="56"/>
      <c r="N224" s="56"/>
      <c r="O224" s="56"/>
      <c r="P224" s="56"/>
      <c r="Q224" s="56"/>
      <c r="R224" s="56"/>
      <c r="S224" s="56"/>
      <c r="T224" s="56"/>
      <c r="U224" s="17" t="str">
        <f>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spans="2:21" x14ac:dyDescent="0.2">
      <c r="B225" s="56"/>
      <c r="C225" s="56"/>
      <c r="D225" s="56"/>
      <c r="E225" s="56"/>
      <c r="F225" s="57" t="str">
        <f>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58"/>
      <c r="H225" s="57" t="str">
        <f>IF(G225="","",IF(ISNUMBER(SEARCH(",",G225)),"Several items (the script lists them)",IFERROR(INDEX('Dashboard Items'!$B$2:$B$495,MATCH(G225,'Dashboard Items'!$A$2:$A$495,0))&amp;": "&amp;INDEX('Dashboard Items'!$C$2:$C$495,MATCH(G225,'Dashboard Items'!$A$2:$A$495,0)),"ID not found")))</f>
        <v/>
      </c>
      <c r="I225" s="56"/>
      <c r="J225" s="56"/>
      <c r="K225" s="56"/>
      <c r="L225" s="56"/>
      <c r="M225" s="56"/>
      <c r="N225" s="56"/>
      <c r="O225" s="56"/>
      <c r="P225" s="56"/>
      <c r="Q225" s="56"/>
      <c r="R225" s="56"/>
      <c r="S225" s="56"/>
      <c r="T225" s="56"/>
      <c r="U225" s="17" t="str">
        <f>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spans="2:21" x14ac:dyDescent="0.2">
      <c r="B226" s="56"/>
      <c r="C226" s="56"/>
      <c r="D226" s="56"/>
      <c r="E226" s="56"/>
      <c r="F226" s="57" t="str">
        <f>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58"/>
      <c r="H226" s="57" t="str">
        <f>IF(G226="","",IF(ISNUMBER(SEARCH(",",G226)),"Several items (the script lists them)",IFERROR(INDEX('Dashboard Items'!$B$2:$B$495,MATCH(G226,'Dashboard Items'!$A$2:$A$495,0))&amp;": "&amp;INDEX('Dashboard Items'!$C$2:$C$495,MATCH(G226,'Dashboard Items'!$A$2:$A$495,0)),"ID not found")))</f>
        <v/>
      </c>
      <c r="I226" s="56"/>
      <c r="J226" s="56"/>
      <c r="K226" s="56"/>
      <c r="L226" s="56"/>
      <c r="M226" s="56"/>
      <c r="N226" s="56"/>
      <c r="O226" s="56"/>
      <c r="P226" s="56"/>
      <c r="Q226" s="56"/>
      <c r="R226" s="56"/>
      <c r="S226" s="56"/>
      <c r="T226" s="56"/>
      <c r="U226" s="17" t="str">
        <f>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spans="2:21" x14ac:dyDescent="0.2">
      <c r="B227" s="56"/>
      <c r="C227" s="56"/>
      <c r="D227" s="56"/>
      <c r="E227" s="56"/>
      <c r="F227" s="57" t="str">
        <f>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58"/>
      <c r="H227" s="57" t="str">
        <f>IF(G227="","",IF(ISNUMBER(SEARCH(",",G227)),"Several items (the script lists them)",IFERROR(INDEX('Dashboard Items'!$B$2:$B$495,MATCH(G227,'Dashboard Items'!$A$2:$A$495,0))&amp;": "&amp;INDEX('Dashboard Items'!$C$2:$C$495,MATCH(G227,'Dashboard Items'!$A$2:$A$495,0)),"ID not found")))</f>
        <v/>
      </c>
      <c r="I227" s="56"/>
      <c r="J227" s="56"/>
      <c r="K227" s="56"/>
      <c r="L227" s="56"/>
      <c r="M227" s="56"/>
      <c r="N227" s="56"/>
      <c r="O227" s="56"/>
      <c r="P227" s="56"/>
      <c r="Q227" s="56"/>
      <c r="R227" s="56"/>
      <c r="S227" s="56"/>
      <c r="T227" s="56"/>
      <c r="U227" s="17" t="str">
        <f>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spans="2:21" x14ac:dyDescent="0.2">
      <c r="B228" s="56"/>
      <c r="C228" s="56"/>
      <c r="D228" s="56"/>
      <c r="E228" s="56"/>
      <c r="F228" s="57" t="str">
        <f>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58"/>
      <c r="H228" s="57" t="str">
        <f>IF(G228="","",IF(ISNUMBER(SEARCH(",",G228)),"Several items (the script lists them)",IFERROR(INDEX('Dashboard Items'!$B$2:$B$495,MATCH(G228,'Dashboard Items'!$A$2:$A$495,0))&amp;": "&amp;INDEX('Dashboard Items'!$C$2:$C$495,MATCH(G228,'Dashboard Items'!$A$2:$A$495,0)),"ID not found")))</f>
        <v/>
      </c>
      <c r="I228" s="56"/>
      <c r="J228" s="56"/>
      <c r="K228" s="56"/>
      <c r="L228" s="56"/>
      <c r="M228" s="56"/>
      <c r="N228" s="56"/>
      <c r="O228" s="56"/>
      <c r="P228" s="56"/>
      <c r="Q228" s="56"/>
      <c r="R228" s="56"/>
      <c r="S228" s="56"/>
      <c r="T228" s="56"/>
      <c r="U228" s="17" t="str">
        <f>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spans="2:21" x14ac:dyDescent="0.2">
      <c r="B229" s="56"/>
      <c r="C229" s="56"/>
      <c r="D229" s="56"/>
      <c r="E229" s="56"/>
      <c r="F229" s="57" t="str">
        <f>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58"/>
      <c r="H229" s="57" t="str">
        <f>IF(G229="","",IF(ISNUMBER(SEARCH(",",G229)),"Several items (the script lists them)",IFERROR(INDEX('Dashboard Items'!$B$2:$B$495,MATCH(G229,'Dashboard Items'!$A$2:$A$495,0))&amp;": "&amp;INDEX('Dashboard Items'!$C$2:$C$495,MATCH(G229,'Dashboard Items'!$A$2:$A$495,0)),"ID not found")))</f>
        <v/>
      </c>
      <c r="I229" s="56"/>
      <c r="J229" s="56"/>
      <c r="K229" s="56"/>
      <c r="L229" s="56"/>
      <c r="M229" s="56"/>
      <c r="N229" s="56"/>
      <c r="O229" s="56"/>
      <c r="P229" s="56"/>
      <c r="Q229" s="56"/>
      <c r="R229" s="56"/>
      <c r="S229" s="56"/>
      <c r="T229" s="56"/>
      <c r="U229" s="17" t="str">
        <f>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spans="2:21" x14ac:dyDescent="0.2">
      <c r="B230" s="56"/>
      <c r="C230" s="56"/>
      <c r="D230" s="56"/>
      <c r="E230" s="56"/>
      <c r="F230" s="57" t="str">
        <f>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58"/>
      <c r="H230" s="57" t="str">
        <f>IF(G230="","",IF(ISNUMBER(SEARCH(",",G230)),"Several items (the script lists them)",IFERROR(INDEX('Dashboard Items'!$B$2:$B$495,MATCH(G230,'Dashboard Items'!$A$2:$A$495,0))&amp;": "&amp;INDEX('Dashboard Items'!$C$2:$C$495,MATCH(G230,'Dashboard Items'!$A$2:$A$495,0)),"ID not found")))</f>
        <v/>
      </c>
      <c r="I230" s="56"/>
      <c r="J230" s="56"/>
      <c r="K230" s="56"/>
      <c r="L230" s="56"/>
      <c r="M230" s="56"/>
      <c r="N230" s="56"/>
      <c r="O230" s="56"/>
      <c r="P230" s="56"/>
      <c r="Q230" s="56"/>
      <c r="R230" s="56"/>
      <c r="S230" s="56"/>
      <c r="T230" s="56"/>
      <c r="U230" s="17" t="str">
        <f>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spans="2:21" x14ac:dyDescent="0.2">
      <c r="B231" s="56"/>
      <c r="C231" s="56"/>
      <c r="D231" s="56"/>
      <c r="E231" s="56"/>
      <c r="F231" s="57" t="str">
        <f>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58"/>
      <c r="H231" s="57" t="str">
        <f>IF(G231="","",IF(ISNUMBER(SEARCH(",",G231)),"Several items (the script lists them)",IFERROR(INDEX('Dashboard Items'!$B$2:$B$495,MATCH(G231,'Dashboard Items'!$A$2:$A$495,0))&amp;": "&amp;INDEX('Dashboard Items'!$C$2:$C$495,MATCH(G231,'Dashboard Items'!$A$2:$A$495,0)),"ID not found")))</f>
        <v/>
      </c>
      <c r="I231" s="56"/>
      <c r="J231" s="56"/>
      <c r="K231" s="56"/>
      <c r="L231" s="56"/>
      <c r="M231" s="56"/>
      <c r="N231" s="56"/>
      <c r="O231" s="56"/>
      <c r="P231" s="56"/>
      <c r="Q231" s="56"/>
      <c r="R231" s="56"/>
      <c r="S231" s="56"/>
      <c r="T231" s="56"/>
      <c r="U231" s="17" t="str">
        <f>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spans="2:21" x14ac:dyDescent="0.2">
      <c r="B232" s="56"/>
      <c r="C232" s="56"/>
      <c r="D232" s="56"/>
      <c r="E232" s="56"/>
      <c r="F232" s="57" t="str">
        <f>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58"/>
      <c r="H232" s="57" t="str">
        <f>IF(G232="","",IF(ISNUMBER(SEARCH(",",G232)),"Several items (the script lists them)",IFERROR(INDEX('Dashboard Items'!$B$2:$B$495,MATCH(G232,'Dashboard Items'!$A$2:$A$495,0))&amp;": "&amp;INDEX('Dashboard Items'!$C$2:$C$495,MATCH(G232,'Dashboard Items'!$A$2:$A$495,0)),"ID not found")))</f>
        <v/>
      </c>
      <c r="I232" s="56"/>
      <c r="J232" s="56"/>
      <c r="K232" s="56"/>
      <c r="L232" s="56"/>
      <c r="M232" s="56"/>
      <c r="N232" s="56"/>
      <c r="O232" s="56"/>
      <c r="P232" s="56"/>
      <c r="Q232" s="56"/>
      <c r="R232" s="56"/>
      <c r="S232" s="56"/>
      <c r="T232" s="56"/>
      <c r="U232" s="17" t="str">
        <f>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spans="2:21" x14ac:dyDescent="0.2">
      <c r="B233" s="56"/>
      <c r="C233" s="56"/>
      <c r="D233" s="56"/>
      <c r="E233" s="56"/>
      <c r="F233" s="57" t="str">
        <f>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58"/>
      <c r="H233" s="57" t="str">
        <f>IF(G233="","",IF(ISNUMBER(SEARCH(",",G233)),"Several items (the script lists them)",IFERROR(INDEX('Dashboard Items'!$B$2:$B$495,MATCH(G233,'Dashboard Items'!$A$2:$A$495,0))&amp;": "&amp;INDEX('Dashboard Items'!$C$2:$C$495,MATCH(G233,'Dashboard Items'!$A$2:$A$495,0)),"ID not found")))</f>
        <v/>
      </c>
      <c r="I233" s="56"/>
      <c r="J233" s="56"/>
      <c r="K233" s="56"/>
      <c r="L233" s="56"/>
      <c r="M233" s="56"/>
      <c r="N233" s="56"/>
      <c r="O233" s="56"/>
      <c r="P233" s="56"/>
      <c r="Q233" s="56"/>
      <c r="R233" s="56"/>
      <c r="S233" s="56"/>
      <c r="T233" s="56"/>
      <c r="U233" s="17" t="str">
        <f>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spans="2:21" x14ac:dyDescent="0.2">
      <c r="B234" s="56"/>
      <c r="C234" s="56"/>
      <c r="D234" s="56"/>
      <c r="E234" s="56"/>
      <c r="F234" s="57" t="str">
        <f>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58"/>
      <c r="H234" s="57" t="str">
        <f>IF(G234="","",IF(ISNUMBER(SEARCH(",",G234)),"Several items (the script lists them)",IFERROR(INDEX('Dashboard Items'!$B$2:$B$495,MATCH(G234,'Dashboard Items'!$A$2:$A$495,0))&amp;": "&amp;INDEX('Dashboard Items'!$C$2:$C$495,MATCH(G234,'Dashboard Items'!$A$2:$A$495,0)),"ID not found")))</f>
        <v/>
      </c>
      <c r="I234" s="56"/>
      <c r="J234" s="56"/>
      <c r="K234" s="56"/>
      <c r="L234" s="56"/>
      <c r="M234" s="56"/>
      <c r="N234" s="56"/>
      <c r="O234" s="56"/>
      <c r="P234" s="56"/>
      <c r="Q234" s="56"/>
      <c r="R234" s="56"/>
      <c r="S234" s="56"/>
      <c r="T234" s="56"/>
      <c r="U234" s="17" t="str">
        <f>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spans="2:21" x14ac:dyDescent="0.2">
      <c r="B235" s="56"/>
      <c r="C235" s="56"/>
      <c r="D235" s="56"/>
      <c r="E235" s="56"/>
      <c r="F235" s="57" t="str">
        <f>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58"/>
      <c r="H235" s="57" t="str">
        <f>IF(G235="","",IF(ISNUMBER(SEARCH(",",G235)),"Several items (the script lists them)",IFERROR(INDEX('Dashboard Items'!$B$2:$B$495,MATCH(G235,'Dashboard Items'!$A$2:$A$495,0))&amp;": "&amp;INDEX('Dashboard Items'!$C$2:$C$495,MATCH(G235,'Dashboard Items'!$A$2:$A$495,0)),"ID not found")))</f>
        <v/>
      </c>
      <c r="I235" s="56"/>
      <c r="J235" s="56"/>
      <c r="K235" s="56"/>
      <c r="L235" s="56"/>
      <c r="M235" s="56"/>
      <c r="N235" s="56"/>
      <c r="O235" s="56"/>
      <c r="P235" s="56"/>
      <c r="Q235" s="56"/>
      <c r="R235" s="56"/>
      <c r="S235" s="56"/>
      <c r="T235" s="56"/>
      <c r="U235" s="17" t="str">
        <f>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spans="2:21" x14ac:dyDescent="0.2">
      <c r="B236" s="56"/>
      <c r="C236" s="56"/>
      <c r="D236" s="56"/>
      <c r="E236" s="56"/>
      <c r="F236" s="57" t="str">
        <f>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58"/>
      <c r="H236" s="57" t="str">
        <f>IF(G236="","",IF(ISNUMBER(SEARCH(",",G236)),"Several items (the script lists them)",IFERROR(INDEX('Dashboard Items'!$B$2:$B$495,MATCH(G236,'Dashboard Items'!$A$2:$A$495,0))&amp;": "&amp;INDEX('Dashboard Items'!$C$2:$C$495,MATCH(G236,'Dashboard Items'!$A$2:$A$495,0)),"ID not found")))</f>
        <v/>
      </c>
      <c r="I236" s="56"/>
      <c r="J236" s="56"/>
      <c r="K236" s="56"/>
      <c r="L236" s="56"/>
      <c r="M236" s="56"/>
      <c r="N236" s="56"/>
      <c r="O236" s="56"/>
      <c r="P236" s="56"/>
      <c r="Q236" s="56"/>
      <c r="R236" s="56"/>
      <c r="S236" s="56"/>
      <c r="T236" s="56"/>
      <c r="U236" s="17" t="str">
        <f>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spans="2:21" x14ac:dyDescent="0.2">
      <c r="B237" s="56"/>
      <c r="C237" s="56"/>
      <c r="D237" s="56"/>
      <c r="E237" s="56"/>
      <c r="F237" s="57" t="str">
        <f>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58"/>
      <c r="H237" s="57" t="str">
        <f>IF(G237="","",IF(ISNUMBER(SEARCH(",",G237)),"Several items (the script lists them)",IFERROR(INDEX('Dashboard Items'!$B$2:$B$495,MATCH(G237,'Dashboard Items'!$A$2:$A$495,0))&amp;": "&amp;INDEX('Dashboard Items'!$C$2:$C$495,MATCH(G237,'Dashboard Items'!$A$2:$A$495,0)),"ID not found")))</f>
        <v/>
      </c>
      <c r="I237" s="56"/>
      <c r="J237" s="56"/>
      <c r="K237" s="56"/>
      <c r="L237" s="56"/>
      <c r="M237" s="56"/>
      <c r="N237" s="56"/>
      <c r="O237" s="56"/>
      <c r="P237" s="56"/>
      <c r="Q237" s="56"/>
      <c r="R237" s="56"/>
      <c r="S237" s="56"/>
      <c r="T237" s="56"/>
      <c r="U237" s="17" t="str">
        <f>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spans="2:21" x14ac:dyDescent="0.2">
      <c r="B238" s="56"/>
      <c r="C238" s="56"/>
      <c r="D238" s="56"/>
      <c r="E238" s="56"/>
      <c r="F238" s="57" t="str">
        <f>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58"/>
      <c r="H238" s="57" t="str">
        <f>IF(G238="","",IF(ISNUMBER(SEARCH(",",G238)),"Several items (the script lists them)",IFERROR(INDEX('Dashboard Items'!$B$2:$B$495,MATCH(G238,'Dashboard Items'!$A$2:$A$495,0))&amp;": "&amp;INDEX('Dashboard Items'!$C$2:$C$495,MATCH(G238,'Dashboard Items'!$A$2:$A$495,0)),"ID not found")))</f>
        <v/>
      </c>
      <c r="I238" s="56"/>
      <c r="J238" s="56"/>
      <c r="K238" s="56"/>
      <c r="L238" s="56"/>
      <c r="M238" s="56"/>
      <c r="N238" s="56"/>
      <c r="O238" s="56"/>
      <c r="P238" s="56"/>
      <c r="Q238" s="56"/>
      <c r="R238" s="56"/>
      <c r="S238" s="56"/>
      <c r="T238" s="56"/>
      <c r="U238" s="17" t="str">
        <f>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spans="2:21" x14ac:dyDescent="0.2">
      <c r="B239" s="56"/>
      <c r="C239" s="56"/>
      <c r="D239" s="56"/>
      <c r="E239" s="56"/>
      <c r="F239" s="57" t="str">
        <f>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58"/>
      <c r="H239" s="57" t="str">
        <f>IF(G239="","",IF(ISNUMBER(SEARCH(",",G239)),"Several items (the script lists them)",IFERROR(INDEX('Dashboard Items'!$B$2:$B$495,MATCH(G239,'Dashboard Items'!$A$2:$A$495,0))&amp;": "&amp;INDEX('Dashboard Items'!$C$2:$C$495,MATCH(G239,'Dashboard Items'!$A$2:$A$495,0)),"ID not found")))</f>
        <v/>
      </c>
      <c r="I239" s="56"/>
      <c r="J239" s="56"/>
      <c r="K239" s="56"/>
      <c r="L239" s="56"/>
      <c r="M239" s="56"/>
      <c r="N239" s="56"/>
      <c r="O239" s="56"/>
      <c r="P239" s="56"/>
      <c r="Q239" s="56"/>
      <c r="R239" s="56"/>
      <c r="S239" s="56"/>
      <c r="T239" s="56"/>
      <c r="U239" s="17" t="str">
        <f>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spans="2:21" x14ac:dyDescent="0.2">
      <c r="B240" s="56"/>
      <c r="C240" s="56"/>
      <c r="D240" s="56"/>
      <c r="E240" s="56"/>
      <c r="F240" s="57" t="str">
        <f>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58"/>
      <c r="H240" s="57" t="str">
        <f>IF(G240="","",IF(ISNUMBER(SEARCH(",",G240)),"Several items (the script lists them)",IFERROR(INDEX('Dashboard Items'!$B$2:$B$495,MATCH(G240,'Dashboard Items'!$A$2:$A$495,0))&amp;": "&amp;INDEX('Dashboard Items'!$C$2:$C$495,MATCH(G240,'Dashboard Items'!$A$2:$A$495,0)),"ID not found")))</f>
        <v/>
      </c>
      <c r="I240" s="56"/>
      <c r="J240" s="56"/>
      <c r="K240" s="56"/>
      <c r="L240" s="56"/>
      <c r="M240" s="56"/>
      <c r="N240" s="56"/>
      <c r="O240" s="56"/>
      <c r="P240" s="56"/>
      <c r="Q240" s="56"/>
      <c r="R240" s="56"/>
      <c r="S240" s="56"/>
      <c r="T240" s="56"/>
      <c r="U240" s="17" t="str">
        <f>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spans="2:21" x14ac:dyDescent="0.2">
      <c r="B241" s="56"/>
      <c r="C241" s="56"/>
      <c r="D241" s="56"/>
      <c r="E241" s="56"/>
      <c r="F241" s="57" t="str">
        <f>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58"/>
      <c r="H241" s="57" t="str">
        <f>IF(G241="","",IF(ISNUMBER(SEARCH(",",G241)),"Several items (the script lists them)",IFERROR(INDEX('Dashboard Items'!$B$2:$B$495,MATCH(G241,'Dashboard Items'!$A$2:$A$495,0))&amp;": "&amp;INDEX('Dashboard Items'!$C$2:$C$495,MATCH(G241,'Dashboard Items'!$A$2:$A$495,0)),"ID not found")))</f>
        <v/>
      </c>
      <c r="I241" s="56"/>
      <c r="J241" s="56"/>
      <c r="K241" s="56"/>
      <c r="L241" s="56"/>
      <c r="M241" s="56"/>
      <c r="N241" s="56"/>
      <c r="O241" s="56"/>
      <c r="P241" s="56"/>
      <c r="Q241" s="56"/>
      <c r="R241" s="56"/>
      <c r="S241" s="56"/>
      <c r="T241" s="56"/>
      <c r="U241" s="17" t="str">
        <f>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spans="2:21" x14ac:dyDescent="0.2">
      <c r="B242" s="56"/>
      <c r="C242" s="56"/>
      <c r="D242" s="56"/>
      <c r="E242" s="56"/>
      <c r="F242" s="57" t="str">
        <f>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58"/>
      <c r="H242" s="57" t="str">
        <f>IF(G242="","",IF(ISNUMBER(SEARCH(",",G242)),"Several items (the script lists them)",IFERROR(INDEX('Dashboard Items'!$B$2:$B$495,MATCH(G242,'Dashboard Items'!$A$2:$A$495,0))&amp;": "&amp;INDEX('Dashboard Items'!$C$2:$C$495,MATCH(G242,'Dashboard Items'!$A$2:$A$495,0)),"ID not found")))</f>
        <v/>
      </c>
      <c r="I242" s="56"/>
      <c r="J242" s="56"/>
      <c r="K242" s="56"/>
      <c r="L242" s="56"/>
      <c r="M242" s="56"/>
      <c r="N242" s="56"/>
      <c r="O242" s="56"/>
      <c r="P242" s="56"/>
      <c r="Q242" s="56"/>
      <c r="R242" s="56"/>
      <c r="S242" s="56"/>
      <c r="T242" s="56"/>
      <c r="U242" s="17" t="str">
        <f>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spans="2:21" x14ac:dyDescent="0.2">
      <c r="B243" s="56"/>
      <c r="C243" s="56"/>
      <c r="D243" s="56"/>
      <c r="E243" s="56"/>
      <c r="F243" s="57" t="str">
        <f>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58"/>
      <c r="H243" s="57" t="str">
        <f>IF(G243="","",IF(ISNUMBER(SEARCH(",",G243)),"Several items (the script lists them)",IFERROR(INDEX('Dashboard Items'!$B$2:$B$495,MATCH(G243,'Dashboard Items'!$A$2:$A$495,0))&amp;": "&amp;INDEX('Dashboard Items'!$C$2:$C$495,MATCH(G243,'Dashboard Items'!$A$2:$A$495,0)),"ID not found")))</f>
        <v/>
      </c>
      <c r="I243" s="56"/>
      <c r="J243" s="56"/>
      <c r="K243" s="56"/>
      <c r="L243" s="56"/>
      <c r="M243" s="56"/>
      <c r="N243" s="56"/>
      <c r="O243" s="56"/>
      <c r="P243" s="56"/>
      <c r="Q243" s="56"/>
      <c r="R243" s="56"/>
      <c r="S243" s="56"/>
      <c r="T243" s="56"/>
      <c r="U243" s="17" t="str">
        <f>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spans="2:21" x14ac:dyDescent="0.2">
      <c r="B244" s="56"/>
      <c r="C244" s="56"/>
      <c r="D244" s="56"/>
      <c r="E244" s="56"/>
      <c r="F244" s="57" t="str">
        <f>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58"/>
      <c r="H244" s="57" t="str">
        <f>IF(G244="","",IF(ISNUMBER(SEARCH(",",G244)),"Several items (the script lists them)",IFERROR(INDEX('Dashboard Items'!$B$2:$B$495,MATCH(G244,'Dashboard Items'!$A$2:$A$495,0))&amp;": "&amp;INDEX('Dashboard Items'!$C$2:$C$495,MATCH(G244,'Dashboard Items'!$A$2:$A$495,0)),"ID not found")))</f>
        <v/>
      </c>
      <c r="I244" s="56"/>
      <c r="J244" s="56"/>
      <c r="K244" s="56"/>
      <c r="L244" s="56"/>
      <c r="M244" s="56"/>
      <c r="N244" s="56"/>
      <c r="O244" s="56"/>
      <c r="P244" s="56"/>
      <c r="Q244" s="56"/>
      <c r="R244" s="56"/>
      <c r="S244" s="56"/>
      <c r="T244" s="56"/>
      <c r="U244" s="17" t="str">
        <f>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spans="2:21" x14ac:dyDescent="0.2">
      <c r="B245" s="56"/>
      <c r="C245" s="56"/>
      <c r="D245" s="56"/>
      <c r="E245" s="56"/>
      <c r="F245" s="57" t="str">
        <f>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58"/>
      <c r="H245" s="57" t="str">
        <f>IF(G245="","",IF(ISNUMBER(SEARCH(",",G245)),"Several items (the script lists them)",IFERROR(INDEX('Dashboard Items'!$B$2:$B$495,MATCH(G245,'Dashboard Items'!$A$2:$A$495,0))&amp;": "&amp;INDEX('Dashboard Items'!$C$2:$C$495,MATCH(G245,'Dashboard Items'!$A$2:$A$495,0)),"ID not found")))</f>
        <v/>
      </c>
      <c r="I245" s="56"/>
      <c r="J245" s="56"/>
      <c r="K245" s="56"/>
      <c r="L245" s="56"/>
      <c r="M245" s="56"/>
      <c r="N245" s="56"/>
      <c r="O245" s="56"/>
      <c r="P245" s="56"/>
      <c r="Q245" s="56"/>
      <c r="R245" s="56"/>
      <c r="S245" s="56"/>
      <c r="T245" s="56"/>
      <c r="U245" s="17" t="str">
        <f>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spans="2:21" x14ac:dyDescent="0.2">
      <c r="B246" s="56"/>
      <c r="C246" s="56"/>
      <c r="D246" s="56"/>
      <c r="E246" s="56"/>
      <c r="F246" s="57" t="str">
        <f>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58"/>
      <c r="H246" s="57" t="str">
        <f>IF(G246="","",IF(ISNUMBER(SEARCH(",",G246)),"Several items (the script lists them)",IFERROR(INDEX('Dashboard Items'!$B$2:$B$495,MATCH(G246,'Dashboard Items'!$A$2:$A$495,0))&amp;": "&amp;INDEX('Dashboard Items'!$C$2:$C$495,MATCH(G246,'Dashboard Items'!$A$2:$A$495,0)),"ID not found")))</f>
        <v/>
      </c>
      <c r="I246" s="56"/>
      <c r="J246" s="56"/>
      <c r="K246" s="56"/>
      <c r="L246" s="56"/>
      <c r="M246" s="56"/>
      <c r="N246" s="56"/>
      <c r="O246" s="56"/>
      <c r="P246" s="56"/>
      <c r="Q246" s="56"/>
      <c r="R246" s="56"/>
      <c r="S246" s="56"/>
      <c r="T246" s="56"/>
      <c r="U246" s="17" t="str">
        <f>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spans="2:21" x14ac:dyDescent="0.2">
      <c r="B247" s="56"/>
      <c r="C247" s="56"/>
      <c r="D247" s="56"/>
      <c r="E247" s="56"/>
      <c r="F247" s="57" t="str">
        <f>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58"/>
      <c r="H247" s="57" t="str">
        <f>IF(G247="","",IF(ISNUMBER(SEARCH(",",G247)),"Several items (the script lists them)",IFERROR(INDEX('Dashboard Items'!$B$2:$B$495,MATCH(G247,'Dashboard Items'!$A$2:$A$495,0))&amp;": "&amp;INDEX('Dashboard Items'!$C$2:$C$495,MATCH(G247,'Dashboard Items'!$A$2:$A$495,0)),"ID not found")))</f>
        <v/>
      </c>
      <c r="I247" s="56"/>
      <c r="J247" s="56"/>
      <c r="K247" s="56"/>
      <c r="L247" s="56"/>
      <c r="M247" s="56"/>
      <c r="N247" s="56"/>
      <c r="O247" s="56"/>
      <c r="P247" s="56"/>
      <c r="Q247" s="56"/>
      <c r="R247" s="56"/>
      <c r="S247" s="56"/>
      <c r="T247" s="56"/>
      <c r="U247" s="17" t="str">
        <f>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spans="2:21" x14ac:dyDescent="0.2">
      <c r="B248" s="56"/>
      <c r="C248" s="56"/>
      <c r="D248" s="56"/>
      <c r="E248" s="56"/>
      <c r="F248" s="57" t="str">
        <f>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58"/>
      <c r="H248" s="57" t="str">
        <f>IF(G248="","",IF(ISNUMBER(SEARCH(",",G248)),"Several items (the script lists them)",IFERROR(INDEX('Dashboard Items'!$B$2:$B$495,MATCH(G248,'Dashboard Items'!$A$2:$A$495,0))&amp;": "&amp;INDEX('Dashboard Items'!$C$2:$C$495,MATCH(G248,'Dashboard Items'!$A$2:$A$495,0)),"ID not found")))</f>
        <v/>
      </c>
      <c r="I248" s="56"/>
      <c r="J248" s="56"/>
      <c r="K248" s="56"/>
      <c r="L248" s="56"/>
      <c r="M248" s="56"/>
      <c r="N248" s="56"/>
      <c r="O248" s="56"/>
      <c r="P248" s="56"/>
      <c r="Q248" s="56"/>
      <c r="R248" s="56"/>
      <c r="S248" s="56"/>
      <c r="T248" s="56"/>
      <c r="U248" s="17" t="str">
        <f>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spans="2:21" x14ac:dyDescent="0.2">
      <c r="B249" s="56"/>
      <c r="C249" s="56"/>
      <c r="D249" s="56"/>
      <c r="E249" s="56"/>
      <c r="F249" s="57" t="str">
        <f>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58"/>
      <c r="H249" s="57" t="str">
        <f>IF(G249="","",IF(ISNUMBER(SEARCH(",",G249)),"Several items (the script lists them)",IFERROR(INDEX('Dashboard Items'!$B$2:$B$495,MATCH(G249,'Dashboard Items'!$A$2:$A$495,0))&amp;": "&amp;INDEX('Dashboard Items'!$C$2:$C$495,MATCH(G249,'Dashboard Items'!$A$2:$A$495,0)),"ID not found")))</f>
        <v/>
      </c>
      <c r="I249" s="56"/>
      <c r="J249" s="56"/>
      <c r="K249" s="56"/>
      <c r="L249" s="56"/>
      <c r="M249" s="56"/>
      <c r="N249" s="56"/>
      <c r="O249" s="56"/>
      <c r="P249" s="56"/>
      <c r="Q249" s="56"/>
      <c r="R249" s="56"/>
      <c r="S249" s="56"/>
      <c r="T249" s="56"/>
      <c r="U249" s="17" t="str">
        <f>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spans="2:21" x14ac:dyDescent="0.2">
      <c r="B250" s="56"/>
      <c r="C250" s="56"/>
      <c r="D250" s="56"/>
      <c r="E250" s="56"/>
      <c r="F250" s="57" t="str">
        <f>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58"/>
      <c r="H250" s="57" t="str">
        <f>IF(G250="","",IF(ISNUMBER(SEARCH(",",G250)),"Several items (the script lists them)",IFERROR(INDEX('Dashboard Items'!$B$2:$B$495,MATCH(G250,'Dashboard Items'!$A$2:$A$495,0))&amp;": "&amp;INDEX('Dashboard Items'!$C$2:$C$495,MATCH(G250,'Dashboard Items'!$A$2:$A$495,0)),"ID not found")))</f>
        <v/>
      </c>
      <c r="I250" s="56"/>
      <c r="J250" s="56"/>
      <c r="K250" s="56"/>
      <c r="L250" s="56"/>
      <c r="M250" s="56"/>
      <c r="N250" s="56"/>
      <c r="O250" s="56"/>
      <c r="P250" s="56"/>
      <c r="Q250" s="56"/>
      <c r="R250" s="56"/>
      <c r="S250" s="56"/>
      <c r="T250" s="56"/>
      <c r="U250" s="17" t="str">
        <f>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spans="2:21" x14ac:dyDescent="0.2">
      <c r="B251" s="56"/>
      <c r="C251" s="56"/>
      <c r="D251" s="56"/>
      <c r="E251" s="56"/>
      <c r="F251" s="57" t="str">
        <f>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58"/>
      <c r="H251" s="57" t="str">
        <f>IF(G251="","",IF(ISNUMBER(SEARCH(",",G251)),"Several items (the script lists them)",IFERROR(INDEX('Dashboard Items'!$B$2:$B$495,MATCH(G251,'Dashboard Items'!$A$2:$A$495,0))&amp;": "&amp;INDEX('Dashboard Items'!$C$2:$C$495,MATCH(G251,'Dashboard Items'!$A$2:$A$495,0)),"ID not found")))</f>
        <v/>
      </c>
      <c r="I251" s="56"/>
      <c r="J251" s="56"/>
      <c r="K251" s="56"/>
      <c r="L251" s="56"/>
      <c r="M251" s="56"/>
      <c r="N251" s="56"/>
      <c r="O251" s="56"/>
      <c r="P251" s="56"/>
      <c r="Q251" s="56"/>
      <c r="R251" s="56"/>
      <c r="S251" s="56"/>
      <c r="T251" s="56"/>
      <c r="U251" s="17" t="str">
        <f>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spans="2:21" x14ac:dyDescent="0.2">
      <c r="B252" s="56"/>
      <c r="C252" s="56"/>
      <c r="D252" s="56"/>
      <c r="E252" s="56"/>
      <c r="F252" s="57" t="str">
        <f>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58"/>
      <c r="H252" s="57" t="str">
        <f>IF(G252="","",IF(ISNUMBER(SEARCH(",",G252)),"Several items (the script lists them)",IFERROR(INDEX('Dashboard Items'!$B$2:$B$495,MATCH(G252,'Dashboard Items'!$A$2:$A$495,0))&amp;": "&amp;INDEX('Dashboard Items'!$C$2:$C$495,MATCH(G252,'Dashboard Items'!$A$2:$A$495,0)),"ID not found")))</f>
        <v/>
      </c>
      <c r="I252" s="56"/>
      <c r="J252" s="56"/>
      <c r="K252" s="56"/>
      <c r="L252" s="56"/>
      <c r="M252" s="56"/>
      <c r="N252" s="56"/>
      <c r="O252" s="56"/>
      <c r="P252" s="56"/>
      <c r="Q252" s="56"/>
      <c r="R252" s="56"/>
      <c r="S252" s="56"/>
      <c r="T252" s="56"/>
      <c r="U252" s="17" t="str">
        <f>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spans="2:21" x14ac:dyDescent="0.2">
      <c r="B253" s="56"/>
      <c r="C253" s="56"/>
      <c r="D253" s="56"/>
      <c r="E253" s="56"/>
      <c r="F253" s="57" t="str">
        <f>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58"/>
      <c r="H253" s="57" t="str">
        <f>IF(G253="","",IF(ISNUMBER(SEARCH(",",G253)),"Several items (the script lists them)",IFERROR(INDEX('Dashboard Items'!$B$2:$B$495,MATCH(G253,'Dashboard Items'!$A$2:$A$495,0))&amp;": "&amp;INDEX('Dashboard Items'!$C$2:$C$495,MATCH(G253,'Dashboard Items'!$A$2:$A$495,0)),"ID not found")))</f>
        <v/>
      </c>
      <c r="I253" s="56"/>
      <c r="J253" s="56"/>
      <c r="K253" s="56"/>
      <c r="L253" s="56"/>
      <c r="M253" s="56"/>
      <c r="N253" s="56"/>
      <c r="O253" s="56"/>
      <c r="P253" s="56"/>
      <c r="Q253" s="56"/>
      <c r="R253" s="56"/>
      <c r="S253" s="56"/>
      <c r="T253" s="56"/>
      <c r="U253" s="17" t="str">
        <f>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spans="2:21" x14ac:dyDescent="0.2">
      <c r="B254" s="56"/>
      <c r="C254" s="56"/>
      <c r="D254" s="56"/>
      <c r="E254" s="56"/>
      <c r="F254" s="57" t="str">
        <f>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58"/>
      <c r="H254" s="57" t="str">
        <f>IF(G254="","",IF(ISNUMBER(SEARCH(",",G254)),"Several items (the script lists them)",IFERROR(INDEX('Dashboard Items'!$B$2:$B$495,MATCH(G254,'Dashboard Items'!$A$2:$A$495,0))&amp;": "&amp;INDEX('Dashboard Items'!$C$2:$C$495,MATCH(G254,'Dashboard Items'!$A$2:$A$495,0)),"ID not found")))</f>
        <v/>
      </c>
      <c r="I254" s="56"/>
      <c r="J254" s="56"/>
      <c r="K254" s="56"/>
      <c r="L254" s="56"/>
      <c r="M254" s="56"/>
      <c r="N254" s="56"/>
      <c r="O254" s="56"/>
      <c r="P254" s="56"/>
      <c r="Q254" s="56"/>
      <c r="R254" s="56"/>
      <c r="S254" s="56"/>
      <c r="T254" s="56"/>
      <c r="U254" s="17" t="str">
        <f>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spans="2:21" x14ac:dyDescent="0.2">
      <c r="B255" s="56"/>
      <c r="C255" s="56"/>
      <c r="D255" s="56"/>
      <c r="E255" s="56"/>
      <c r="F255" s="57" t="str">
        <f>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58"/>
      <c r="H255" s="57" t="str">
        <f>IF(G255="","",IF(ISNUMBER(SEARCH(",",G255)),"Several items (the script lists them)",IFERROR(INDEX('Dashboard Items'!$B$2:$B$495,MATCH(G255,'Dashboard Items'!$A$2:$A$495,0))&amp;": "&amp;INDEX('Dashboard Items'!$C$2:$C$495,MATCH(G255,'Dashboard Items'!$A$2:$A$495,0)),"ID not found")))</f>
        <v/>
      </c>
      <c r="I255" s="56"/>
      <c r="J255" s="56"/>
      <c r="K255" s="56"/>
      <c r="L255" s="56"/>
      <c r="M255" s="56"/>
      <c r="N255" s="56"/>
      <c r="O255" s="56"/>
      <c r="P255" s="56"/>
      <c r="Q255" s="56"/>
      <c r="R255" s="56"/>
      <c r="S255" s="56"/>
      <c r="T255" s="56"/>
      <c r="U255" s="17" t="str">
        <f>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spans="2:21" x14ac:dyDescent="0.2">
      <c r="B256" s="56"/>
      <c r="C256" s="56"/>
      <c r="D256" s="56"/>
      <c r="E256" s="56"/>
      <c r="F256" s="57" t="str">
        <f>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58"/>
      <c r="H256" s="57" t="str">
        <f>IF(G256="","",IF(ISNUMBER(SEARCH(",",G256)),"Several items (the script lists them)",IFERROR(INDEX('Dashboard Items'!$B$2:$B$495,MATCH(G256,'Dashboard Items'!$A$2:$A$495,0))&amp;": "&amp;INDEX('Dashboard Items'!$C$2:$C$495,MATCH(G256,'Dashboard Items'!$A$2:$A$495,0)),"ID not found")))</f>
        <v/>
      </c>
      <c r="I256" s="56"/>
      <c r="J256" s="56"/>
      <c r="K256" s="56"/>
      <c r="L256" s="56"/>
      <c r="M256" s="56"/>
      <c r="N256" s="56"/>
      <c r="O256" s="56"/>
      <c r="P256" s="56"/>
      <c r="Q256" s="56"/>
      <c r="R256" s="56"/>
      <c r="S256" s="56"/>
      <c r="T256" s="56"/>
      <c r="U256" s="17" t="str">
        <f>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spans="2:21" x14ac:dyDescent="0.2">
      <c r="B257" s="56"/>
      <c r="C257" s="56"/>
      <c r="D257" s="56"/>
      <c r="E257" s="56"/>
      <c r="F257" s="57" t="str">
        <f>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58"/>
      <c r="H257" s="57" t="str">
        <f>IF(G257="","",IF(ISNUMBER(SEARCH(",",G257)),"Several items (the script lists them)",IFERROR(INDEX('Dashboard Items'!$B$2:$B$495,MATCH(G257,'Dashboard Items'!$A$2:$A$495,0))&amp;": "&amp;INDEX('Dashboard Items'!$C$2:$C$495,MATCH(G257,'Dashboard Items'!$A$2:$A$495,0)),"ID not found")))</f>
        <v/>
      </c>
      <c r="I257" s="56"/>
      <c r="J257" s="56"/>
      <c r="K257" s="56"/>
      <c r="L257" s="56"/>
      <c r="M257" s="56"/>
      <c r="N257" s="56"/>
      <c r="O257" s="56"/>
      <c r="P257" s="56"/>
      <c r="Q257" s="56"/>
      <c r="R257" s="56"/>
      <c r="S257" s="56"/>
      <c r="T257" s="56"/>
      <c r="U257" s="17" t="str">
        <f>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spans="2:21" x14ac:dyDescent="0.2">
      <c r="B258" s="56"/>
      <c r="C258" s="56"/>
      <c r="D258" s="56"/>
      <c r="E258" s="56"/>
      <c r="F258" s="57" t="str">
        <f>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58"/>
      <c r="H258" s="57" t="str">
        <f>IF(G258="","",IF(ISNUMBER(SEARCH(",",G258)),"Several items (the script lists them)",IFERROR(INDEX('Dashboard Items'!$B$2:$B$495,MATCH(G258,'Dashboard Items'!$A$2:$A$495,0))&amp;": "&amp;INDEX('Dashboard Items'!$C$2:$C$495,MATCH(G258,'Dashboard Items'!$A$2:$A$495,0)),"ID not found")))</f>
        <v/>
      </c>
      <c r="I258" s="56"/>
      <c r="J258" s="56"/>
      <c r="K258" s="56"/>
      <c r="L258" s="56"/>
      <c r="M258" s="56"/>
      <c r="N258" s="56"/>
      <c r="O258" s="56"/>
      <c r="P258" s="56"/>
      <c r="Q258" s="56"/>
      <c r="R258" s="56"/>
      <c r="S258" s="56"/>
      <c r="T258" s="56"/>
      <c r="U258" s="17" t="str">
        <f>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spans="2:21" x14ac:dyDescent="0.2">
      <c r="B259" s="56"/>
      <c r="C259" s="56"/>
      <c r="D259" s="56"/>
      <c r="E259" s="56"/>
      <c r="F259" s="57" t="str">
        <f>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58"/>
      <c r="H259" s="57" t="str">
        <f>IF(G259="","",IF(ISNUMBER(SEARCH(",",G259)),"Several items (the script lists them)",IFERROR(INDEX('Dashboard Items'!$B$2:$B$495,MATCH(G259,'Dashboard Items'!$A$2:$A$495,0))&amp;": "&amp;INDEX('Dashboard Items'!$C$2:$C$495,MATCH(G259,'Dashboard Items'!$A$2:$A$495,0)),"ID not found")))</f>
        <v/>
      </c>
      <c r="I259" s="56"/>
      <c r="J259" s="56"/>
      <c r="K259" s="56"/>
      <c r="L259" s="56"/>
      <c r="M259" s="56"/>
      <c r="N259" s="56"/>
      <c r="O259" s="56"/>
      <c r="P259" s="56"/>
      <c r="Q259" s="56"/>
      <c r="R259" s="56"/>
      <c r="S259" s="56"/>
      <c r="T259" s="56"/>
      <c r="U259" s="17" t="str">
        <f>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spans="2:21" x14ac:dyDescent="0.2">
      <c r="B260" s="56"/>
      <c r="C260" s="56"/>
      <c r="D260" s="56"/>
      <c r="E260" s="56"/>
      <c r="F260" s="57" t="str">
        <f>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58"/>
      <c r="H260" s="57" t="str">
        <f>IF(G260="","",IF(ISNUMBER(SEARCH(",",G260)),"Several items (the script lists them)",IFERROR(INDEX('Dashboard Items'!$B$2:$B$495,MATCH(G260,'Dashboard Items'!$A$2:$A$495,0))&amp;": "&amp;INDEX('Dashboard Items'!$C$2:$C$495,MATCH(G260,'Dashboard Items'!$A$2:$A$495,0)),"ID not found")))</f>
        <v/>
      </c>
      <c r="I260" s="56"/>
      <c r="J260" s="56"/>
      <c r="K260" s="56"/>
      <c r="L260" s="56"/>
      <c r="M260" s="56"/>
      <c r="N260" s="56"/>
      <c r="O260" s="56"/>
      <c r="P260" s="56"/>
      <c r="Q260" s="56"/>
      <c r="R260" s="56"/>
      <c r="S260" s="56"/>
      <c r="T260" s="56"/>
      <c r="U260" s="17" t="str">
        <f>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spans="2:21" x14ac:dyDescent="0.2">
      <c r="B261" s="56"/>
      <c r="C261" s="56"/>
      <c r="D261" s="56"/>
      <c r="E261" s="56"/>
      <c r="F261" s="57" t="str">
        <f>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58"/>
      <c r="H261" s="57" t="str">
        <f>IF(G261="","",IF(ISNUMBER(SEARCH(",",G261)),"Several items (the script lists them)",IFERROR(INDEX('Dashboard Items'!$B$2:$B$495,MATCH(G261,'Dashboard Items'!$A$2:$A$495,0))&amp;": "&amp;INDEX('Dashboard Items'!$C$2:$C$495,MATCH(G261,'Dashboard Items'!$A$2:$A$495,0)),"ID not found")))</f>
        <v/>
      </c>
      <c r="I261" s="56"/>
      <c r="J261" s="56"/>
      <c r="K261" s="56"/>
      <c r="L261" s="56"/>
      <c r="M261" s="56"/>
      <c r="N261" s="56"/>
      <c r="O261" s="56"/>
      <c r="P261" s="56"/>
      <c r="Q261" s="56"/>
      <c r="R261" s="56"/>
      <c r="S261" s="56"/>
      <c r="T261" s="56"/>
      <c r="U261" s="17" t="str">
        <f>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spans="2:21" x14ac:dyDescent="0.2">
      <c r="B262" s="56"/>
      <c r="C262" s="56"/>
      <c r="D262" s="56"/>
      <c r="E262" s="56"/>
      <c r="F262" s="57" t="str">
        <f>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58"/>
      <c r="H262" s="57" t="str">
        <f>IF(G262="","",IF(ISNUMBER(SEARCH(",",G262)),"Several items (the script lists them)",IFERROR(INDEX('Dashboard Items'!$B$2:$B$495,MATCH(G262,'Dashboard Items'!$A$2:$A$495,0))&amp;": "&amp;INDEX('Dashboard Items'!$C$2:$C$495,MATCH(G262,'Dashboard Items'!$A$2:$A$495,0)),"ID not found")))</f>
        <v/>
      </c>
      <c r="I262" s="56"/>
      <c r="J262" s="56"/>
      <c r="K262" s="56"/>
      <c r="L262" s="56"/>
      <c r="M262" s="56"/>
      <c r="N262" s="56"/>
      <c r="O262" s="56"/>
      <c r="P262" s="56"/>
      <c r="Q262" s="56"/>
      <c r="R262" s="56"/>
      <c r="S262" s="56"/>
      <c r="T262" s="56"/>
      <c r="U262" s="17" t="str">
        <f>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spans="2:21" x14ac:dyDescent="0.2">
      <c r="B263" s="56"/>
      <c r="C263" s="56"/>
      <c r="D263" s="56"/>
      <c r="E263" s="56"/>
      <c r="F263" s="57" t="str">
        <f>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58"/>
      <c r="H263" s="57" t="str">
        <f>IF(G263="","",IF(ISNUMBER(SEARCH(",",G263)),"Several items (the script lists them)",IFERROR(INDEX('Dashboard Items'!$B$2:$B$495,MATCH(G263,'Dashboard Items'!$A$2:$A$495,0))&amp;": "&amp;INDEX('Dashboard Items'!$C$2:$C$495,MATCH(G263,'Dashboard Items'!$A$2:$A$495,0)),"ID not found")))</f>
        <v/>
      </c>
      <c r="I263" s="56"/>
      <c r="J263" s="56"/>
      <c r="K263" s="56"/>
      <c r="L263" s="56"/>
      <c r="M263" s="56"/>
      <c r="N263" s="56"/>
      <c r="O263" s="56"/>
      <c r="P263" s="56"/>
      <c r="Q263" s="56"/>
      <c r="R263" s="56"/>
      <c r="S263" s="56"/>
      <c r="T263" s="56"/>
      <c r="U263" s="17" t="str">
        <f>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spans="2:21" x14ac:dyDescent="0.2">
      <c r="B264" s="56"/>
      <c r="C264" s="56"/>
      <c r="D264" s="56"/>
      <c r="E264" s="56"/>
      <c r="F264" s="57" t="str">
        <f>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58"/>
      <c r="H264" s="57" t="str">
        <f>IF(G264="","",IF(ISNUMBER(SEARCH(",",G264)),"Several items (the script lists them)",IFERROR(INDEX('Dashboard Items'!$B$2:$B$495,MATCH(G264,'Dashboard Items'!$A$2:$A$495,0))&amp;": "&amp;INDEX('Dashboard Items'!$C$2:$C$495,MATCH(G264,'Dashboard Items'!$A$2:$A$495,0)),"ID not found")))</f>
        <v/>
      </c>
      <c r="I264" s="56"/>
      <c r="J264" s="56"/>
      <c r="K264" s="56"/>
      <c r="L264" s="56"/>
      <c r="M264" s="56"/>
      <c r="N264" s="56"/>
      <c r="O264" s="56"/>
      <c r="P264" s="56"/>
      <c r="Q264" s="56"/>
      <c r="R264" s="56"/>
      <c r="S264" s="56"/>
      <c r="T264" s="56"/>
      <c r="U264" s="17" t="str">
        <f>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spans="2:21" x14ac:dyDescent="0.2">
      <c r="B265" s="56"/>
      <c r="C265" s="56"/>
      <c r="D265" s="56"/>
      <c r="E265" s="56"/>
      <c r="F265" s="57" t="str">
        <f>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58"/>
      <c r="H265" s="57" t="str">
        <f>IF(G265="","",IF(ISNUMBER(SEARCH(",",G265)),"Several items (the script lists them)",IFERROR(INDEX('Dashboard Items'!$B$2:$B$495,MATCH(G265,'Dashboard Items'!$A$2:$A$495,0))&amp;": "&amp;INDEX('Dashboard Items'!$C$2:$C$495,MATCH(G265,'Dashboard Items'!$A$2:$A$495,0)),"ID not found")))</f>
        <v/>
      </c>
      <c r="I265" s="56"/>
      <c r="J265" s="56"/>
      <c r="K265" s="56"/>
      <c r="L265" s="56"/>
      <c r="M265" s="56"/>
      <c r="N265" s="56"/>
      <c r="O265" s="56"/>
      <c r="P265" s="56"/>
      <c r="Q265" s="56"/>
      <c r="R265" s="56"/>
      <c r="S265" s="56"/>
      <c r="T265" s="56"/>
      <c r="U265" s="17" t="str">
        <f>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spans="2:21" x14ac:dyDescent="0.2">
      <c r="B266" s="56"/>
      <c r="C266" s="56"/>
      <c r="D266" s="56"/>
      <c r="E266" s="56"/>
      <c r="F266" s="57" t="str">
        <f>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58"/>
      <c r="H266" s="57" t="str">
        <f>IF(G266="","",IF(ISNUMBER(SEARCH(",",G266)),"Several items (the script lists them)",IFERROR(INDEX('Dashboard Items'!$B$2:$B$495,MATCH(G266,'Dashboard Items'!$A$2:$A$495,0))&amp;": "&amp;INDEX('Dashboard Items'!$C$2:$C$495,MATCH(G266,'Dashboard Items'!$A$2:$A$495,0)),"ID not found")))</f>
        <v/>
      </c>
      <c r="I266" s="56"/>
      <c r="J266" s="56"/>
      <c r="K266" s="56"/>
      <c r="L266" s="56"/>
      <c r="M266" s="56"/>
      <c r="N266" s="56"/>
      <c r="O266" s="56"/>
      <c r="P266" s="56"/>
      <c r="Q266" s="56"/>
      <c r="R266" s="56"/>
      <c r="S266" s="56"/>
      <c r="T266" s="56"/>
      <c r="U266" s="17" t="str">
        <f>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spans="2:21" x14ac:dyDescent="0.2">
      <c r="B267" s="56"/>
      <c r="C267" s="56"/>
      <c r="D267" s="56"/>
      <c r="E267" s="56"/>
      <c r="F267" s="57" t="str">
        <f>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58"/>
      <c r="H267" s="57" t="str">
        <f>IF(G267="","",IF(ISNUMBER(SEARCH(",",G267)),"Several items (the script lists them)",IFERROR(INDEX('Dashboard Items'!$B$2:$B$495,MATCH(G267,'Dashboard Items'!$A$2:$A$495,0))&amp;": "&amp;INDEX('Dashboard Items'!$C$2:$C$495,MATCH(G267,'Dashboard Items'!$A$2:$A$495,0)),"ID not found")))</f>
        <v/>
      </c>
      <c r="I267" s="56"/>
      <c r="J267" s="56"/>
      <c r="K267" s="56"/>
      <c r="L267" s="56"/>
      <c r="M267" s="56"/>
      <c r="N267" s="56"/>
      <c r="O267" s="56"/>
      <c r="P267" s="56"/>
      <c r="Q267" s="56"/>
      <c r="R267" s="56"/>
      <c r="S267" s="56"/>
      <c r="T267" s="56"/>
      <c r="U267" s="17" t="str">
        <f>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spans="2:21" x14ac:dyDescent="0.2">
      <c r="B268" s="56"/>
      <c r="C268" s="56"/>
      <c r="D268" s="56"/>
      <c r="E268" s="56"/>
      <c r="F268" s="57" t="str">
        <f>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58"/>
      <c r="H268" s="57" t="str">
        <f>IF(G268="","",IF(ISNUMBER(SEARCH(",",G268)),"Several items (the script lists them)",IFERROR(INDEX('Dashboard Items'!$B$2:$B$495,MATCH(G268,'Dashboard Items'!$A$2:$A$495,0))&amp;": "&amp;INDEX('Dashboard Items'!$C$2:$C$495,MATCH(G268,'Dashboard Items'!$A$2:$A$495,0)),"ID not found")))</f>
        <v/>
      </c>
      <c r="I268" s="56"/>
      <c r="J268" s="56"/>
      <c r="K268" s="56"/>
      <c r="L268" s="56"/>
      <c r="M268" s="56"/>
      <c r="N268" s="56"/>
      <c r="O268" s="56"/>
      <c r="P268" s="56"/>
      <c r="Q268" s="56"/>
      <c r="R268" s="56"/>
      <c r="S268" s="56"/>
      <c r="T268" s="56"/>
      <c r="U268" s="17" t="str">
        <f>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spans="2:21" x14ac:dyDescent="0.2">
      <c r="B269" s="56"/>
      <c r="C269" s="56"/>
      <c r="D269" s="56"/>
      <c r="E269" s="56"/>
      <c r="F269" s="57" t="str">
        <f>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58"/>
      <c r="H269" s="57" t="str">
        <f>IF(G269="","",IF(ISNUMBER(SEARCH(",",G269)),"Several items (the script lists them)",IFERROR(INDEX('Dashboard Items'!$B$2:$B$495,MATCH(G269,'Dashboard Items'!$A$2:$A$495,0))&amp;": "&amp;INDEX('Dashboard Items'!$C$2:$C$495,MATCH(G269,'Dashboard Items'!$A$2:$A$495,0)),"ID not found")))</f>
        <v/>
      </c>
      <c r="I269" s="56"/>
      <c r="J269" s="56"/>
      <c r="K269" s="56"/>
      <c r="L269" s="56"/>
      <c r="M269" s="56"/>
      <c r="N269" s="56"/>
      <c r="O269" s="56"/>
      <c r="P269" s="56"/>
      <c r="Q269" s="56"/>
      <c r="R269" s="56"/>
      <c r="S269" s="56"/>
      <c r="T269" s="56"/>
      <c r="U269" s="17" t="str">
        <f>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spans="2:21" x14ac:dyDescent="0.2">
      <c r="B270" s="56"/>
      <c r="C270" s="56"/>
      <c r="D270" s="56"/>
      <c r="E270" s="56"/>
      <c r="F270" s="57" t="str">
        <f>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58"/>
      <c r="H270" s="57" t="str">
        <f>IF(G270="","",IF(ISNUMBER(SEARCH(",",G270)),"Several items (the script lists them)",IFERROR(INDEX('Dashboard Items'!$B$2:$B$495,MATCH(G270,'Dashboard Items'!$A$2:$A$495,0))&amp;": "&amp;INDEX('Dashboard Items'!$C$2:$C$495,MATCH(G270,'Dashboard Items'!$A$2:$A$495,0)),"ID not found")))</f>
        <v/>
      </c>
      <c r="I270" s="56"/>
      <c r="J270" s="56"/>
      <c r="K270" s="56"/>
      <c r="L270" s="56"/>
      <c r="M270" s="56"/>
      <c r="N270" s="56"/>
      <c r="O270" s="56"/>
      <c r="P270" s="56"/>
      <c r="Q270" s="56"/>
      <c r="R270" s="56"/>
      <c r="S270" s="56"/>
      <c r="T270" s="56"/>
      <c r="U270" s="17" t="str">
        <f>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spans="2:21" x14ac:dyDescent="0.2">
      <c r="B271" s="56"/>
      <c r="C271" s="56"/>
      <c r="D271" s="56"/>
      <c r="E271" s="56"/>
      <c r="F271" s="57" t="str">
        <f>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58"/>
      <c r="H271" s="57" t="str">
        <f>IF(G271="","",IF(ISNUMBER(SEARCH(",",G271)),"Several items (the script lists them)",IFERROR(INDEX('Dashboard Items'!$B$2:$B$495,MATCH(G271,'Dashboard Items'!$A$2:$A$495,0))&amp;": "&amp;INDEX('Dashboard Items'!$C$2:$C$495,MATCH(G271,'Dashboard Items'!$A$2:$A$495,0)),"ID not found")))</f>
        <v/>
      </c>
      <c r="I271" s="56"/>
      <c r="J271" s="56"/>
      <c r="K271" s="56"/>
      <c r="L271" s="56"/>
      <c r="M271" s="56"/>
      <c r="N271" s="56"/>
      <c r="O271" s="56"/>
      <c r="P271" s="56"/>
      <c r="Q271" s="56"/>
      <c r="R271" s="56"/>
      <c r="S271" s="56"/>
      <c r="T271" s="56"/>
      <c r="U271" s="17" t="str">
        <f>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spans="2:21" x14ac:dyDescent="0.2">
      <c r="B272" s="56"/>
      <c r="C272" s="56"/>
      <c r="D272" s="56"/>
      <c r="E272" s="56"/>
      <c r="F272" s="57" t="str">
        <f>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58"/>
      <c r="H272" s="57" t="str">
        <f>IF(G272="","",IF(ISNUMBER(SEARCH(",",G272)),"Several items (the script lists them)",IFERROR(INDEX('Dashboard Items'!$B$2:$B$495,MATCH(G272,'Dashboard Items'!$A$2:$A$495,0))&amp;": "&amp;INDEX('Dashboard Items'!$C$2:$C$495,MATCH(G272,'Dashboard Items'!$A$2:$A$495,0)),"ID not found")))</f>
        <v/>
      </c>
      <c r="I272" s="56"/>
      <c r="J272" s="56"/>
      <c r="K272" s="56"/>
      <c r="L272" s="56"/>
      <c r="M272" s="56"/>
      <c r="N272" s="56"/>
      <c r="O272" s="56"/>
      <c r="P272" s="56"/>
      <c r="Q272" s="56"/>
      <c r="R272" s="56"/>
      <c r="S272" s="56"/>
      <c r="T272" s="56"/>
      <c r="U272" s="17" t="str">
        <f>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spans="2:21" x14ac:dyDescent="0.2">
      <c r="B273" s="56"/>
      <c r="C273" s="56"/>
      <c r="D273" s="56"/>
      <c r="E273" s="56"/>
      <c r="F273" s="57" t="str">
        <f>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58"/>
      <c r="H273" s="57" t="str">
        <f>IF(G273="","",IF(ISNUMBER(SEARCH(",",G273)),"Several items (the script lists them)",IFERROR(INDEX('Dashboard Items'!$B$2:$B$495,MATCH(G273,'Dashboard Items'!$A$2:$A$495,0))&amp;": "&amp;INDEX('Dashboard Items'!$C$2:$C$495,MATCH(G273,'Dashboard Items'!$A$2:$A$495,0)),"ID not found")))</f>
        <v/>
      </c>
      <c r="I273" s="56"/>
      <c r="J273" s="56"/>
      <c r="K273" s="56"/>
      <c r="L273" s="56"/>
      <c r="M273" s="56"/>
      <c r="N273" s="56"/>
      <c r="O273" s="56"/>
      <c r="P273" s="56"/>
      <c r="Q273" s="56"/>
      <c r="R273" s="56"/>
      <c r="S273" s="56"/>
      <c r="T273" s="56"/>
      <c r="U273" s="17" t="str">
        <f>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spans="2:21" x14ac:dyDescent="0.2">
      <c r="B274" s="56"/>
      <c r="C274" s="56"/>
      <c r="D274" s="56"/>
      <c r="E274" s="56"/>
      <c r="F274" s="57" t="str">
        <f>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58"/>
      <c r="H274" s="57" t="str">
        <f>IF(G274="","",IF(ISNUMBER(SEARCH(",",G274)),"Several items (the script lists them)",IFERROR(INDEX('Dashboard Items'!$B$2:$B$495,MATCH(G274,'Dashboard Items'!$A$2:$A$495,0))&amp;": "&amp;INDEX('Dashboard Items'!$C$2:$C$495,MATCH(G274,'Dashboard Items'!$A$2:$A$495,0)),"ID not found")))</f>
        <v/>
      </c>
      <c r="I274" s="56"/>
      <c r="J274" s="56"/>
      <c r="K274" s="56"/>
      <c r="L274" s="56"/>
      <c r="M274" s="56"/>
      <c r="N274" s="56"/>
      <c r="O274" s="56"/>
      <c r="P274" s="56"/>
      <c r="Q274" s="56"/>
      <c r="R274" s="56"/>
      <c r="S274" s="56"/>
      <c r="T274" s="56"/>
      <c r="U274" s="17" t="str">
        <f>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spans="2:21" x14ac:dyDescent="0.2">
      <c r="B275" s="56"/>
      <c r="C275" s="56"/>
      <c r="D275" s="56"/>
      <c r="E275" s="56"/>
      <c r="F275" s="57" t="str">
        <f>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58"/>
      <c r="H275" s="57" t="str">
        <f>IF(G275="","",IF(ISNUMBER(SEARCH(",",G275)),"Several items (the script lists them)",IFERROR(INDEX('Dashboard Items'!$B$2:$B$495,MATCH(G275,'Dashboard Items'!$A$2:$A$495,0))&amp;": "&amp;INDEX('Dashboard Items'!$C$2:$C$495,MATCH(G275,'Dashboard Items'!$A$2:$A$495,0)),"ID not found")))</f>
        <v/>
      </c>
      <c r="I275" s="56"/>
      <c r="J275" s="56"/>
      <c r="K275" s="56"/>
      <c r="L275" s="56"/>
      <c r="M275" s="56"/>
      <c r="N275" s="56"/>
      <c r="O275" s="56"/>
      <c r="P275" s="56"/>
      <c r="Q275" s="56"/>
      <c r="R275" s="56"/>
      <c r="S275" s="56"/>
      <c r="T275" s="56"/>
      <c r="U275" s="17" t="str">
        <f>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spans="2:21" x14ac:dyDescent="0.2">
      <c r="B276" s="56"/>
      <c r="C276" s="56"/>
      <c r="D276" s="56"/>
      <c r="E276" s="56"/>
      <c r="F276" s="57" t="str">
        <f>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58"/>
      <c r="H276" s="57" t="str">
        <f>IF(G276="","",IF(ISNUMBER(SEARCH(",",G276)),"Several items (the script lists them)",IFERROR(INDEX('Dashboard Items'!$B$2:$B$495,MATCH(G276,'Dashboard Items'!$A$2:$A$495,0))&amp;": "&amp;INDEX('Dashboard Items'!$C$2:$C$495,MATCH(G276,'Dashboard Items'!$A$2:$A$495,0)),"ID not found")))</f>
        <v/>
      </c>
      <c r="I276" s="56"/>
      <c r="J276" s="56"/>
      <c r="K276" s="56"/>
      <c r="L276" s="56"/>
      <c r="M276" s="56"/>
      <c r="N276" s="56"/>
      <c r="O276" s="56"/>
      <c r="P276" s="56"/>
      <c r="Q276" s="56"/>
      <c r="R276" s="56"/>
      <c r="S276" s="56"/>
      <c r="T276" s="56"/>
      <c r="U276" s="17" t="str">
        <f>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spans="2:21" x14ac:dyDescent="0.2">
      <c r="B277" s="56"/>
      <c r="C277" s="56"/>
      <c r="D277" s="56"/>
      <c r="E277" s="56"/>
      <c r="F277" s="57" t="str">
        <f>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58"/>
      <c r="H277" s="57" t="str">
        <f>IF(G277="","",IF(ISNUMBER(SEARCH(",",G277)),"Several items (the script lists them)",IFERROR(INDEX('Dashboard Items'!$B$2:$B$495,MATCH(G277,'Dashboard Items'!$A$2:$A$495,0))&amp;": "&amp;INDEX('Dashboard Items'!$C$2:$C$495,MATCH(G277,'Dashboard Items'!$A$2:$A$495,0)),"ID not found")))</f>
        <v/>
      </c>
      <c r="I277" s="56"/>
      <c r="J277" s="56"/>
      <c r="K277" s="56"/>
      <c r="L277" s="56"/>
      <c r="M277" s="56"/>
      <c r="N277" s="56"/>
      <c r="O277" s="56"/>
      <c r="P277" s="56"/>
      <c r="Q277" s="56"/>
      <c r="R277" s="56"/>
      <c r="S277" s="56"/>
      <c r="T277" s="56"/>
      <c r="U277" s="17" t="str">
        <f>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spans="2:21" x14ac:dyDescent="0.2">
      <c r="B278" s="56"/>
      <c r="C278" s="56"/>
      <c r="D278" s="56"/>
      <c r="E278" s="56"/>
      <c r="F278" s="57" t="str">
        <f>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58"/>
      <c r="H278" s="57" t="str">
        <f>IF(G278="","",IF(ISNUMBER(SEARCH(",",G278)),"Several items (the script lists them)",IFERROR(INDEX('Dashboard Items'!$B$2:$B$495,MATCH(G278,'Dashboard Items'!$A$2:$A$495,0))&amp;": "&amp;INDEX('Dashboard Items'!$C$2:$C$495,MATCH(G278,'Dashboard Items'!$A$2:$A$495,0)),"ID not found")))</f>
        <v/>
      </c>
      <c r="I278" s="56"/>
      <c r="J278" s="56"/>
      <c r="K278" s="56"/>
      <c r="L278" s="56"/>
      <c r="M278" s="56"/>
      <c r="N278" s="56"/>
      <c r="O278" s="56"/>
      <c r="P278" s="56"/>
      <c r="Q278" s="56"/>
      <c r="R278" s="56"/>
      <c r="S278" s="56"/>
      <c r="T278" s="56"/>
      <c r="U278" s="17" t="str">
        <f>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spans="2:21" x14ac:dyDescent="0.2">
      <c r="B279" s="56"/>
      <c r="C279" s="56"/>
      <c r="D279" s="56"/>
      <c r="E279" s="56"/>
      <c r="F279" s="57" t="str">
        <f>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58"/>
      <c r="H279" s="57" t="str">
        <f>IF(G279="","",IF(ISNUMBER(SEARCH(",",G279)),"Several items (the script lists them)",IFERROR(INDEX('Dashboard Items'!$B$2:$B$495,MATCH(G279,'Dashboard Items'!$A$2:$A$495,0))&amp;": "&amp;INDEX('Dashboard Items'!$C$2:$C$495,MATCH(G279,'Dashboard Items'!$A$2:$A$495,0)),"ID not found")))</f>
        <v/>
      </c>
      <c r="I279" s="56"/>
      <c r="J279" s="56"/>
      <c r="K279" s="56"/>
      <c r="L279" s="56"/>
      <c r="M279" s="56"/>
      <c r="N279" s="56"/>
      <c r="O279" s="56"/>
      <c r="P279" s="56"/>
      <c r="Q279" s="56"/>
      <c r="R279" s="56"/>
      <c r="S279" s="56"/>
      <c r="T279" s="56"/>
      <c r="U279" s="17" t="str">
        <f>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spans="2:21" x14ac:dyDescent="0.2">
      <c r="B280" s="56"/>
      <c r="C280" s="56"/>
      <c r="D280" s="56"/>
      <c r="E280" s="56"/>
      <c r="F280" s="57" t="str">
        <f>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58"/>
      <c r="H280" s="57" t="str">
        <f>IF(G280="","",IF(ISNUMBER(SEARCH(",",G280)),"Several items (the script lists them)",IFERROR(INDEX('Dashboard Items'!$B$2:$B$495,MATCH(G280,'Dashboard Items'!$A$2:$A$495,0))&amp;": "&amp;INDEX('Dashboard Items'!$C$2:$C$495,MATCH(G280,'Dashboard Items'!$A$2:$A$495,0)),"ID not found")))</f>
        <v/>
      </c>
      <c r="I280" s="56"/>
      <c r="J280" s="56"/>
      <c r="K280" s="56"/>
      <c r="L280" s="56"/>
      <c r="M280" s="56"/>
      <c r="N280" s="56"/>
      <c r="O280" s="56"/>
      <c r="P280" s="56"/>
      <c r="Q280" s="56"/>
      <c r="R280" s="56"/>
      <c r="S280" s="56"/>
      <c r="T280" s="56"/>
      <c r="U280" s="17" t="str">
        <f>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spans="2:21" x14ac:dyDescent="0.2">
      <c r="B281" s="56"/>
      <c r="C281" s="56"/>
      <c r="D281" s="56"/>
      <c r="E281" s="56"/>
      <c r="F281" s="57" t="str">
        <f>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58"/>
      <c r="H281" s="57" t="str">
        <f>IF(G281="","",IF(ISNUMBER(SEARCH(",",G281)),"Several items (the script lists them)",IFERROR(INDEX('Dashboard Items'!$B$2:$B$495,MATCH(G281,'Dashboard Items'!$A$2:$A$495,0))&amp;": "&amp;INDEX('Dashboard Items'!$C$2:$C$495,MATCH(G281,'Dashboard Items'!$A$2:$A$495,0)),"ID not found")))</f>
        <v/>
      </c>
      <c r="I281" s="56"/>
      <c r="J281" s="56"/>
      <c r="K281" s="56"/>
      <c r="L281" s="56"/>
      <c r="M281" s="56"/>
      <c r="N281" s="56"/>
      <c r="O281" s="56"/>
      <c r="P281" s="56"/>
      <c r="Q281" s="56"/>
      <c r="R281" s="56"/>
      <c r="S281" s="56"/>
      <c r="T281" s="56"/>
      <c r="U281" s="17" t="str">
        <f>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spans="2:21" x14ac:dyDescent="0.2">
      <c r="B282" s="56"/>
      <c r="C282" s="56"/>
      <c r="D282" s="56"/>
      <c r="E282" s="56"/>
      <c r="F282" s="57" t="str">
        <f>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58"/>
      <c r="H282" s="57" t="str">
        <f>IF(G282="","",IF(ISNUMBER(SEARCH(",",G282)),"Several items (the script lists them)",IFERROR(INDEX('Dashboard Items'!$B$2:$B$495,MATCH(G282,'Dashboard Items'!$A$2:$A$495,0))&amp;": "&amp;INDEX('Dashboard Items'!$C$2:$C$495,MATCH(G282,'Dashboard Items'!$A$2:$A$495,0)),"ID not found")))</f>
        <v/>
      </c>
      <c r="I282" s="56"/>
      <c r="J282" s="56"/>
      <c r="K282" s="56"/>
      <c r="L282" s="56"/>
      <c r="M282" s="56"/>
      <c r="N282" s="56"/>
      <c r="O282" s="56"/>
      <c r="P282" s="56"/>
      <c r="Q282" s="56"/>
      <c r="R282" s="56"/>
      <c r="S282" s="56"/>
      <c r="T282" s="56"/>
      <c r="U282" s="17" t="str">
        <f>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spans="2:21" x14ac:dyDescent="0.2">
      <c r="B283" s="56"/>
      <c r="C283" s="56"/>
      <c r="D283" s="56"/>
      <c r="E283" s="56"/>
      <c r="F283" s="57" t="str">
        <f>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58"/>
      <c r="H283" s="57" t="str">
        <f>IF(G283="","",IF(ISNUMBER(SEARCH(",",G283)),"Several items (the script lists them)",IFERROR(INDEX('Dashboard Items'!$B$2:$B$495,MATCH(G283,'Dashboard Items'!$A$2:$A$495,0))&amp;": "&amp;INDEX('Dashboard Items'!$C$2:$C$495,MATCH(G283,'Dashboard Items'!$A$2:$A$495,0)),"ID not found")))</f>
        <v/>
      </c>
      <c r="I283" s="56"/>
      <c r="J283" s="56"/>
      <c r="K283" s="56"/>
      <c r="L283" s="56"/>
      <c r="M283" s="56"/>
      <c r="N283" s="56"/>
      <c r="O283" s="56"/>
      <c r="P283" s="56"/>
      <c r="Q283" s="56"/>
      <c r="R283" s="56"/>
      <c r="S283" s="56"/>
      <c r="T283" s="56"/>
      <c r="U283" s="17" t="str">
        <f>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spans="2:21" x14ac:dyDescent="0.2">
      <c r="B284" s="56"/>
      <c r="C284" s="56"/>
      <c r="D284" s="56"/>
      <c r="E284" s="56"/>
      <c r="F284" s="57" t="str">
        <f>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58"/>
      <c r="H284" s="57" t="str">
        <f>IF(G284="","",IF(ISNUMBER(SEARCH(",",G284)),"Several items (the script lists them)",IFERROR(INDEX('Dashboard Items'!$B$2:$B$495,MATCH(G284,'Dashboard Items'!$A$2:$A$495,0))&amp;": "&amp;INDEX('Dashboard Items'!$C$2:$C$495,MATCH(G284,'Dashboard Items'!$A$2:$A$495,0)),"ID not found")))</f>
        <v/>
      </c>
      <c r="I284" s="56"/>
      <c r="J284" s="56"/>
      <c r="K284" s="56"/>
      <c r="L284" s="56"/>
      <c r="M284" s="56"/>
      <c r="N284" s="56"/>
      <c r="O284" s="56"/>
      <c r="P284" s="56"/>
      <c r="Q284" s="56"/>
      <c r="R284" s="56"/>
      <c r="S284" s="56"/>
      <c r="T284" s="56"/>
      <c r="U284" s="17" t="str">
        <f>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spans="2:21" x14ac:dyDescent="0.2">
      <c r="B285" s="56"/>
      <c r="C285" s="56"/>
      <c r="D285" s="56"/>
      <c r="E285" s="56"/>
      <c r="F285" s="57" t="str">
        <f>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58"/>
      <c r="H285" s="57" t="str">
        <f>IF(G285="","",IF(ISNUMBER(SEARCH(",",G285)),"Several items (the script lists them)",IFERROR(INDEX('Dashboard Items'!$B$2:$B$495,MATCH(G285,'Dashboard Items'!$A$2:$A$495,0))&amp;": "&amp;INDEX('Dashboard Items'!$C$2:$C$495,MATCH(G285,'Dashboard Items'!$A$2:$A$495,0)),"ID not found")))</f>
        <v/>
      </c>
      <c r="I285" s="56"/>
      <c r="J285" s="56"/>
      <c r="K285" s="56"/>
      <c r="L285" s="56"/>
      <c r="M285" s="56"/>
      <c r="N285" s="56"/>
      <c r="O285" s="56"/>
      <c r="P285" s="56"/>
      <c r="Q285" s="56"/>
      <c r="R285" s="56"/>
      <c r="S285" s="56"/>
      <c r="T285" s="56"/>
      <c r="U285" s="17" t="str">
        <f>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spans="2:21" x14ac:dyDescent="0.2">
      <c r="B286" s="56"/>
      <c r="C286" s="56"/>
      <c r="D286" s="56"/>
      <c r="E286" s="56"/>
      <c r="F286" s="57" t="str">
        <f>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58"/>
      <c r="H286" s="57" t="str">
        <f>IF(G286="","",IF(ISNUMBER(SEARCH(",",G286)),"Several items (the script lists them)",IFERROR(INDEX('Dashboard Items'!$B$2:$B$495,MATCH(G286,'Dashboard Items'!$A$2:$A$495,0))&amp;": "&amp;INDEX('Dashboard Items'!$C$2:$C$495,MATCH(G286,'Dashboard Items'!$A$2:$A$495,0)),"ID not found")))</f>
        <v/>
      </c>
      <c r="I286" s="56"/>
      <c r="J286" s="56"/>
      <c r="K286" s="56"/>
      <c r="L286" s="56"/>
      <c r="M286" s="56"/>
      <c r="N286" s="56"/>
      <c r="O286" s="56"/>
      <c r="P286" s="56"/>
      <c r="Q286" s="56"/>
      <c r="R286" s="56"/>
      <c r="S286" s="56"/>
      <c r="T286" s="56"/>
      <c r="U286" s="17" t="str">
        <f>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spans="2:21" x14ac:dyDescent="0.2">
      <c r="B287" s="56"/>
      <c r="C287" s="56"/>
      <c r="D287" s="56"/>
      <c r="E287" s="56"/>
      <c r="F287" s="57" t="str">
        <f>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58"/>
      <c r="H287" s="57" t="str">
        <f>IF(G287="","",IF(ISNUMBER(SEARCH(",",G287)),"Several items (the script lists them)",IFERROR(INDEX('Dashboard Items'!$B$2:$B$495,MATCH(G287,'Dashboard Items'!$A$2:$A$495,0))&amp;": "&amp;INDEX('Dashboard Items'!$C$2:$C$495,MATCH(G287,'Dashboard Items'!$A$2:$A$495,0)),"ID not found")))</f>
        <v/>
      </c>
      <c r="I287" s="56"/>
      <c r="J287" s="56"/>
      <c r="K287" s="56"/>
      <c r="L287" s="56"/>
      <c r="M287" s="56"/>
      <c r="N287" s="56"/>
      <c r="O287" s="56"/>
      <c r="P287" s="56"/>
      <c r="Q287" s="56"/>
      <c r="R287" s="56"/>
      <c r="S287" s="56"/>
      <c r="T287" s="56"/>
      <c r="U287" s="17" t="str">
        <f>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spans="2:21" x14ac:dyDescent="0.2">
      <c r="B288" s="56"/>
      <c r="C288" s="56"/>
      <c r="D288" s="56"/>
      <c r="E288" s="56"/>
      <c r="F288" s="57" t="str">
        <f>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58"/>
      <c r="H288" s="57" t="str">
        <f>IF(G288="","",IF(ISNUMBER(SEARCH(",",G288)),"Several items (the script lists them)",IFERROR(INDEX('Dashboard Items'!$B$2:$B$495,MATCH(G288,'Dashboard Items'!$A$2:$A$495,0))&amp;": "&amp;INDEX('Dashboard Items'!$C$2:$C$495,MATCH(G288,'Dashboard Items'!$A$2:$A$495,0)),"ID not found")))</f>
        <v/>
      </c>
      <c r="I288" s="56"/>
      <c r="J288" s="56"/>
      <c r="K288" s="56"/>
      <c r="L288" s="56"/>
      <c r="M288" s="56"/>
      <c r="N288" s="56"/>
      <c r="O288" s="56"/>
      <c r="P288" s="56"/>
      <c r="Q288" s="56"/>
      <c r="R288" s="56"/>
      <c r="S288" s="56"/>
      <c r="T288" s="56"/>
      <c r="U288" s="17" t="str">
        <f>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spans="2:21" x14ac:dyDescent="0.2">
      <c r="B289" s="56"/>
      <c r="C289" s="56"/>
      <c r="D289" s="56"/>
      <c r="E289" s="56"/>
      <c r="F289" s="57" t="str">
        <f>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58"/>
      <c r="H289" s="57" t="str">
        <f>IF(G289="","",IF(ISNUMBER(SEARCH(",",G289)),"Several items (the script lists them)",IFERROR(INDEX('Dashboard Items'!$B$2:$B$495,MATCH(G289,'Dashboard Items'!$A$2:$A$495,0))&amp;": "&amp;INDEX('Dashboard Items'!$C$2:$C$495,MATCH(G289,'Dashboard Items'!$A$2:$A$495,0)),"ID not found")))</f>
        <v/>
      </c>
      <c r="I289" s="56"/>
      <c r="J289" s="56"/>
      <c r="K289" s="56"/>
      <c r="L289" s="56"/>
      <c r="M289" s="56"/>
      <c r="N289" s="56"/>
      <c r="O289" s="56"/>
      <c r="P289" s="56"/>
      <c r="Q289" s="56"/>
      <c r="R289" s="56"/>
      <c r="S289" s="56"/>
      <c r="T289" s="56"/>
      <c r="U289" s="17" t="str">
        <f>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spans="2:21" x14ac:dyDescent="0.2">
      <c r="B290" s="56"/>
      <c r="C290" s="56"/>
      <c r="D290" s="56"/>
      <c r="E290" s="56"/>
      <c r="F290" s="57" t="str">
        <f>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58"/>
      <c r="H290" s="57" t="str">
        <f>IF(G290="","",IF(ISNUMBER(SEARCH(",",G290)),"Several items (the script lists them)",IFERROR(INDEX('Dashboard Items'!$B$2:$B$495,MATCH(G290,'Dashboard Items'!$A$2:$A$495,0))&amp;": "&amp;INDEX('Dashboard Items'!$C$2:$C$495,MATCH(G290,'Dashboard Items'!$A$2:$A$495,0)),"ID not found")))</f>
        <v/>
      </c>
      <c r="I290" s="56"/>
      <c r="J290" s="56"/>
      <c r="K290" s="56"/>
      <c r="L290" s="56"/>
      <c r="M290" s="56"/>
      <c r="N290" s="56"/>
      <c r="O290" s="56"/>
      <c r="P290" s="56"/>
      <c r="Q290" s="56"/>
      <c r="R290" s="56"/>
      <c r="S290" s="56"/>
      <c r="T290" s="56"/>
      <c r="U290" s="17" t="str">
        <f>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spans="2:21" x14ac:dyDescent="0.2">
      <c r="B291" s="56"/>
      <c r="C291" s="56"/>
      <c r="D291" s="56"/>
      <c r="E291" s="56"/>
      <c r="F291" s="57" t="str">
        <f>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58"/>
      <c r="H291" s="57" t="str">
        <f>IF(G291="","",IF(ISNUMBER(SEARCH(",",G291)),"Several items (the script lists them)",IFERROR(INDEX('Dashboard Items'!$B$2:$B$495,MATCH(G291,'Dashboard Items'!$A$2:$A$495,0))&amp;": "&amp;INDEX('Dashboard Items'!$C$2:$C$495,MATCH(G291,'Dashboard Items'!$A$2:$A$495,0)),"ID not found")))</f>
        <v/>
      </c>
      <c r="I291" s="56"/>
      <c r="J291" s="56"/>
      <c r="K291" s="56"/>
      <c r="L291" s="56"/>
      <c r="M291" s="56"/>
      <c r="N291" s="56"/>
      <c r="O291" s="56"/>
      <c r="P291" s="56"/>
      <c r="Q291" s="56"/>
      <c r="R291" s="56"/>
      <c r="S291" s="56"/>
      <c r="T291" s="56"/>
      <c r="U291" s="17" t="str">
        <f>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spans="2:21" x14ac:dyDescent="0.2">
      <c r="B292" s="56"/>
      <c r="C292" s="56"/>
      <c r="D292" s="56"/>
      <c r="E292" s="56"/>
      <c r="F292" s="57" t="str">
        <f>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58"/>
      <c r="H292" s="57" t="str">
        <f>IF(G292="","",IF(ISNUMBER(SEARCH(",",G292)),"Several items (the script lists them)",IFERROR(INDEX('Dashboard Items'!$B$2:$B$495,MATCH(G292,'Dashboard Items'!$A$2:$A$495,0))&amp;": "&amp;INDEX('Dashboard Items'!$C$2:$C$495,MATCH(G292,'Dashboard Items'!$A$2:$A$495,0)),"ID not found")))</f>
        <v/>
      </c>
      <c r="I292" s="56"/>
      <c r="J292" s="56"/>
      <c r="K292" s="56"/>
      <c r="L292" s="56"/>
      <c r="M292" s="56"/>
      <c r="N292" s="56"/>
      <c r="O292" s="56"/>
      <c r="P292" s="56"/>
      <c r="Q292" s="56"/>
      <c r="R292" s="56"/>
      <c r="S292" s="56"/>
      <c r="T292" s="56"/>
      <c r="U292" s="17" t="str">
        <f>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spans="2:21" x14ac:dyDescent="0.2">
      <c r="B293" s="56"/>
      <c r="C293" s="56"/>
      <c r="D293" s="56"/>
      <c r="E293" s="56"/>
      <c r="F293" s="57" t="str">
        <f>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58"/>
      <c r="H293" s="57" t="str">
        <f>IF(G293="","",IF(ISNUMBER(SEARCH(",",G293)),"Several items (the script lists them)",IFERROR(INDEX('Dashboard Items'!$B$2:$B$495,MATCH(G293,'Dashboard Items'!$A$2:$A$495,0))&amp;": "&amp;INDEX('Dashboard Items'!$C$2:$C$495,MATCH(G293,'Dashboard Items'!$A$2:$A$495,0)),"ID not found")))</f>
        <v/>
      </c>
      <c r="I293" s="56"/>
      <c r="J293" s="56"/>
      <c r="K293" s="56"/>
      <c r="L293" s="56"/>
      <c r="M293" s="56"/>
      <c r="N293" s="56"/>
      <c r="O293" s="56"/>
      <c r="P293" s="56"/>
      <c r="Q293" s="56"/>
      <c r="R293" s="56"/>
      <c r="S293" s="56"/>
      <c r="T293" s="56"/>
      <c r="U293" s="17" t="str">
        <f>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spans="2:21" x14ac:dyDescent="0.2">
      <c r="B294" s="56"/>
      <c r="C294" s="56"/>
      <c r="D294" s="56"/>
      <c r="E294" s="56"/>
      <c r="F294" s="57" t="str">
        <f>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58"/>
      <c r="H294" s="57" t="str">
        <f>IF(G294="","",IF(ISNUMBER(SEARCH(",",G294)),"Several items (the script lists them)",IFERROR(INDEX('Dashboard Items'!$B$2:$B$495,MATCH(G294,'Dashboard Items'!$A$2:$A$495,0))&amp;": "&amp;INDEX('Dashboard Items'!$C$2:$C$495,MATCH(G294,'Dashboard Items'!$A$2:$A$495,0)),"ID not found")))</f>
        <v/>
      </c>
      <c r="I294" s="56"/>
      <c r="J294" s="56"/>
      <c r="K294" s="56"/>
      <c r="L294" s="56"/>
      <c r="M294" s="56"/>
      <c r="N294" s="56"/>
      <c r="O294" s="56"/>
      <c r="P294" s="56"/>
      <c r="Q294" s="56"/>
      <c r="R294" s="56"/>
      <c r="S294" s="56"/>
      <c r="T294" s="56"/>
      <c r="U294" s="17" t="str">
        <f>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spans="2:21" x14ac:dyDescent="0.2">
      <c r="B295" s="56"/>
      <c r="C295" s="56"/>
      <c r="D295" s="56"/>
      <c r="E295" s="56"/>
      <c r="F295" s="57" t="str">
        <f>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58"/>
      <c r="H295" s="57" t="str">
        <f>IF(G295="","",IF(ISNUMBER(SEARCH(",",G295)),"Several items (the script lists them)",IFERROR(INDEX('Dashboard Items'!$B$2:$B$495,MATCH(G295,'Dashboard Items'!$A$2:$A$495,0))&amp;": "&amp;INDEX('Dashboard Items'!$C$2:$C$495,MATCH(G295,'Dashboard Items'!$A$2:$A$495,0)),"ID not found")))</f>
        <v/>
      </c>
      <c r="I295" s="56"/>
      <c r="J295" s="56"/>
      <c r="K295" s="56"/>
      <c r="L295" s="56"/>
      <c r="M295" s="56"/>
      <c r="N295" s="56"/>
      <c r="O295" s="56"/>
      <c r="P295" s="56"/>
      <c r="Q295" s="56"/>
      <c r="R295" s="56"/>
      <c r="S295" s="56"/>
      <c r="T295" s="56"/>
      <c r="U295" s="17" t="str">
        <f>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spans="2:21" x14ac:dyDescent="0.2">
      <c r="B296" s="56"/>
      <c r="C296" s="56"/>
      <c r="D296" s="56"/>
      <c r="E296" s="56"/>
      <c r="F296" s="57" t="str">
        <f>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58"/>
      <c r="H296" s="57" t="str">
        <f>IF(G296="","",IF(ISNUMBER(SEARCH(",",G296)),"Several items (the script lists them)",IFERROR(INDEX('Dashboard Items'!$B$2:$B$495,MATCH(G296,'Dashboard Items'!$A$2:$A$495,0))&amp;": "&amp;INDEX('Dashboard Items'!$C$2:$C$495,MATCH(G296,'Dashboard Items'!$A$2:$A$495,0)),"ID not found")))</f>
        <v/>
      </c>
      <c r="I296" s="56"/>
      <c r="J296" s="56"/>
      <c r="K296" s="56"/>
      <c r="L296" s="56"/>
      <c r="M296" s="56"/>
      <c r="N296" s="56"/>
      <c r="O296" s="56"/>
      <c r="P296" s="56"/>
      <c r="Q296" s="56"/>
      <c r="R296" s="56"/>
      <c r="S296" s="56"/>
      <c r="T296" s="56"/>
      <c r="U296" s="17" t="str">
        <f>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spans="2:21" x14ac:dyDescent="0.2">
      <c r="B297" s="56"/>
      <c r="C297" s="56"/>
      <c r="D297" s="56"/>
      <c r="E297" s="56"/>
      <c r="F297" s="57" t="str">
        <f>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58"/>
      <c r="H297" s="57" t="str">
        <f>IF(G297="","",IF(ISNUMBER(SEARCH(",",G297)),"Several items (the script lists them)",IFERROR(INDEX('Dashboard Items'!$B$2:$B$495,MATCH(G297,'Dashboard Items'!$A$2:$A$495,0))&amp;": "&amp;INDEX('Dashboard Items'!$C$2:$C$495,MATCH(G297,'Dashboard Items'!$A$2:$A$495,0)),"ID not found")))</f>
        <v/>
      </c>
      <c r="I297" s="56"/>
      <c r="J297" s="56"/>
      <c r="K297" s="56"/>
      <c r="L297" s="56"/>
      <c r="M297" s="56"/>
      <c r="N297" s="56"/>
      <c r="O297" s="56"/>
      <c r="P297" s="56"/>
      <c r="Q297" s="56"/>
      <c r="R297" s="56"/>
      <c r="S297" s="56"/>
      <c r="T297" s="56"/>
      <c r="U297" s="17" t="str">
        <f>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spans="2:21" x14ac:dyDescent="0.2">
      <c r="B298" s="56"/>
      <c r="C298" s="56"/>
      <c r="D298" s="56"/>
      <c r="E298" s="56"/>
      <c r="F298" s="57" t="str">
        <f>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58"/>
      <c r="H298" s="57" t="str">
        <f>IF(G298="","",IF(ISNUMBER(SEARCH(",",G298)),"Several items (the script lists them)",IFERROR(INDEX('Dashboard Items'!$B$2:$B$495,MATCH(G298,'Dashboard Items'!$A$2:$A$495,0))&amp;": "&amp;INDEX('Dashboard Items'!$C$2:$C$495,MATCH(G298,'Dashboard Items'!$A$2:$A$495,0)),"ID not found")))</f>
        <v/>
      </c>
      <c r="I298" s="56"/>
      <c r="J298" s="56"/>
      <c r="K298" s="56"/>
      <c r="L298" s="56"/>
      <c r="M298" s="56"/>
      <c r="N298" s="56"/>
      <c r="O298" s="56"/>
      <c r="P298" s="56"/>
      <c r="Q298" s="56"/>
      <c r="R298" s="56"/>
      <c r="S298" s="56"/>
      <c r="T298" s="56"/>
      <c r="U298" s="17" t="str">
        <f>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spans="2:21" x14ac:dyDescent="0.2">
      <c r="B299" s="56"/>
      <c r="C299" s="56"/>
      <c r="D299" s="56"/>
      <c r="E299" s="56"/>
      <c r="F299" s="57" t="str">
        <f>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58"/>
      <c r="H299" s="57" t="str">
        <f>IF(G299="","",IF(ISNUMBER(SEARCH(",",G299)),"Several items (the script lists them)",IFERROR(INDEX('Dashboard Items'!$B$2:$B$495,MATCH(G299,'Dashboard Items'!$A$2:$A$495,0))&amp;": "&amp;INDEX('Dashboard Items'!$C$2:$C$495,MATCH(G299,'Dashboard Items'!$A$2:$A$495,0)),"ID not found")))</f>
        <v/>
      </c>
      <c r="I299" s="56"/>
      <c r="J299" s="56"/>
      <c r="K299" s="56"/>
      <c r="L299" s="56"/>
      <c r="M299" s="56"/>
      <c r="N299" s="56"/>
      <c r="O299" s="56"/>
      <c r="P299" s="56"/>
      <c r="Q299" s="56"/>
      <c r="R299" s="56"/>
      <c r="S299" s="56"/>
      <c r="T299" s="56"/>
      <c r="U299" s="17" t="str">
        <f>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spans="2:21" x14ac:dyDescent="0.2">
      <c r="B300" s="56"/>
      <c r="C300" s="56"/>
      <c r="D300" s="56"/>
      <c r="E300" s="56"/>
      <c r="F300" s="57" t="str">
        <f>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58"/>
      <c r="H300" s="57" t="str">
        <f>IF(G300="","",IF(ISNUMBER(SEARCH(",",G300)),"Several items (the script lists them)",IFERROR(INDEX('Dashboard Items'!$B$2:$B$495,MATCH(G300,'Dashboard Items'!$A$2:$A$495,0))&amp;": "&amp;INDEX('Dashboard Items'!$C$2:$C$495,MATCH(G300,'Dashboard Items'!$A$2:$A$495,0)),"ID not found")))</f>
        <v/>
      </c>
      <c r="I300" s="56"/>
      <c r="J300" s="56"/>
      <c r="K300" s="56"/>
      <c r="L300" s="56"/>
      <c r="M300" s="56"/>
      <c r="N300" s="56"/>
      <c r="O300" s="56"/>
      <c r="P300" s="56"/>
      <c r="Q300" s="56"/>
      <c r="R300" s="56"/>
      <c r="S300" s="56"/>
      <c r="T300" s="56"/>
      <c r="U300" s="17" t="str">
        <f>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spans="2:21" x14ac:dyDescent="0.2">
      <c r="B301" s="56"/>
      <c r="C301" s="56"/>
      <c r="D301" s="56"/>
      <c r="E301" s="56"/>
      <c r="F301" s="57" t="str">
        <f>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58"/>
      <c r="H301" s="57" t="str">
        <f>IF(G301="","",IF(ISNUMBER(SEARCH(",",G301)),"Several items (the script lists them)",IFERROR(INDEX('Dashboard Items'!$B$2:$B$495,MATCH(G301,'Dashboard Items'!$A$2:$A$495,0))&amp;": "&amp;INDEX('Dashboard Items'!$C$2:$C$495,MATCH(G301,'Dashboard Items'!$A$2:$A$495,0)),"ID not found")))</f>
        <v/>
      </c>
      <c r="I301" s="56"/>
      <c r="J301" s="56"/>
      <c r="K301" s="56"/>
      <c r="L301" s="56"/>
      <c r="M301" s="56"/>
      <c r="N301" s="56"/>
      <c r="O301" s="56"/>
      <c r="P301" s="56"/>
      <c r="Q301" s="56"/>
      <c r="R301" s="56"/>
      <c r="S301" s="56"/>
      <c r="T301" s="56"/>
      <c r="U301" s="17" t="str">
        <f>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spans="2:21" x14ac:dyDescent="0.2">
      <c r="B302" s="56"/>
      <c r="C302" s="56"/>
      <c r="D302" s="56"/>
      <c r="E302" s="56"/>
      <c r="F302" s="57" t="str">
        <f>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58"/>
      <c r="H302" s="57" t="str">
        <f>IF(G302="","",IF(ISNUMBER(SEARCH(",",G302)),"Several items (the script lists them)",IFERROR(INDEX('Dashboard Items'!$B$2:$B$495,MATCH(G302,'Dashboard Items'!$A$2:$A$495,0))&amp;": "&amp;INDEX('Dashboard Items'!$C$2:$C$495,MATCH(G302,'Dashboard Items'!$A$2:$A$495,0)),"ID not found")))</f>
        <v/>
      </c>
      <c r="I302" s="56"/>
      <c r="J302" s="56"/>
      <c r="K302" s="56"/>
      <c r="L302" s="56"/>
      <c r="M302" s="56"/>
      <c r="N302" s="56"/>
      <c r="O302" s="56"/>
      <c r="P302" s="56"/>
      <c r="Q302" s="56"/>
      <c r="R302" s="56"/>
      <c r="S302" s="56"/>
      <c r="T302" s="56"/>
      <c r="U302" s="17" t="str">
        <f>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spans="2:21" x14ac:dyDescent="0.2">
      <c r="B303" s="56"/>
      <c r="C303" s="56"/>
      <c r="D303" s="56"/>
      <c r="E303" s="56"/>
      <c r="F303" s="57" t="str">
        <f>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58"/>
      <c r="H303" s="57" t="str">
        <f>IF(G303="","",IF(ISNUMBER(SEARCH(",",G303)),"Several items (the script lists them)",IFERROR(INDEX('Dashboard Items'!$B$2:$B$495,MATCH(G303,'Dashboard Items'!$A$2:$A$495,0))&amp;": "&amp;INDEX('Dashboard Items'!$C$2:$C$495,MATCH(G303,'Dashboard Items'!$A$2:$A$495,0)),"ID not found")))</f>
        <v/>
      </c>
      <c r="I303" s="56"/>
      <c r="J303" s="56"/>
      <c r="K303" s="56"/>
      <c r="L303" s="56"/>
      <c r="M303" s="56"/>
      <c r="N303" s="56"/>
      <c r="O303" s="56"/>
      <c r="P303" s="56"/>
      <c r="Q303" s="56"/>
      <c r="R303" s="56"/>
      <c r="S303" s="56"/>
      <c r="T303" s="56"/>
      <c r="U303" s="17" t="str">
        <f>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spans="2:21" x14ac:dyDescent="0.2">
      <c r="B304" s="56"/>
      <c r="C304" s="56"/>
      <c r="D304" s="56"/>
      <c r="E304" s="56"/>
      <c r="F304" s="57" t="str">
        <f>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58"/>
      <c r="H304" s="57" t="str">
        <f>IF(G304="","",IF(ISNUMBER(SEARCH(",",G304)),"Several items (the script lists them)",IFERROR(INDEX('Dashboard Items'!$B$2:$B$495,MATCH(G304,'Dashboard Items'!$A$2:$A$495,0))&amp;": "&amp;INDEX('Dashboard Items'!$C$2:$C$495,MATCH(G304,'Dashboard Items'!$A$2:$A$495,0)),"ID not found")))</f>
        <v/>
      </c>
      <c r="I304" s="56"/>
      <c r="J304" s="56"/>
      <c r="K304" s="56"/>
      <c r="L304" s="56"/>
      <c r="M304" s="56"/>
      <c r="N304" s="56"/>
      <c r="O304" s="56"/>
      <c r="P304" s="56"/>
      <c r="Q304" s="56"/>
      <c r="R304" s="56"/>
      <c r="S304" s="56"/>
      <c r="T304" s="56"/>
      <c r="U304" s="17" t="str">
        <f>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spans="2:21" x14ac:dyDescent="0.2">
      <c r="B305" s="56"/>
      <c r="C305" s="56"/>
      <c r="D305" s="56"/>
      <c r="E305" s="56"/>
      <c r="F305" s="57" t="str">
        <f>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58"/>
      <c r="H305" s="57" t="str">
        <f>IF(G305="","",IF(ISNUMBER(SEARCH(",",G305)),"Several items (the script lists them)",IFERROR(INDEX('Dashboard Items'!$B$2:$B$495,MATCH(G305,'Dashboard Items'!$A$2:$A$495,0))&amp;": "&amp;INDEX('Dashboard Items'!$C$2:$C$495,MATCH(G305,'Dashboard Items'!$A$2:$A$495,0)),"ID not found")))</f>
        <v/>
      </c>
      <c r="I305" s="56"/>
      <c r="J305" s="56"/>
      <c r="K305" s="56"/>
      <c r="L305" s="56"/>
      <c r="M305" s="56"/>
      <c r="N305" s="56"/>
      <c r="O305" s="56"/>
      <c r="P305" s="56"/>
      <c r="Q305" s="56"/>
      <c r="R305" s="56"/>
      <c r="S305" s="56"/>
      <c r="T305" s="56"/>
      <c r="U305" s="17" t="str">
        <f>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dataValidations count="3">
    <dataValidation type="list" allowBlank="1" errorTitle="Level" error="Choose Work System, Key Service or Program." sqref="E29 D2:D305" xr:uid="{00000000-0002-0000-0200-000000000000}">
      <formula1>"Work System,Key Service,Program"</formula1>
      <formula2>0</formula2>
    </dataValidation>
    <dataValidation type="list" allowBlank="1" sqref="O2:O305 K2:K305" xr:uid="{00000000-0002-0000-0200-000001000000}">
      <formula1>"Yes,No"</formula1>
      <formula2>0</formula2>
    </dataValidation>
    <dataValidation type="list" allowBlank="1" errorTitle="Status Based On" error="Choose Target or Benchmark." sqref="L2:L305" xr:uid="{00000000-0002-0000-0200-000002000000}">
      <formula1>"Target,Benchmark"</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02"/>
  <sheetViews>
    <sheetView tabSelected="1" zoomScale="90" zoomScaleNormal="90" workbookViewId="0">
      <pane ySplit="1" topLeftCell="A263" activePane="bottomLeft" state="frozen"/>
      <selection pane="bottomLeft" activeCell="G270" sqref="G270"/>
    </sheetView>
  </sheetViews>
  <sheetFormatPr baseColWidth="10" defaultColWidth="8.6640625" defaultRowHeight="15" x14ac:dyDescent="0.2"/>
  <cols>
    <col min="1" max="1" width="8.33203125" bestFit="1" customWidth="1"/>
    <col min="2" max="2" width="22.1640625" customWidth="1"/>
    <col min="3" max="3" width="9.1640625" style="1" customWidth="1"/>
    <col min="4" max="4" width="24" style="1" bestFit="1" customWidth="1"/>
    <col min="5" max="5" width="11.6640625" style="1" bestFit="1" customWidth="1"/>
    <col min="6" max="6" width="9" style="1" customWidth="1"/>
    <col min="7" max="7" width="13" style="1" customWidth="1"/>
    <col min="8" max="8" width="20.33203125" customWidth="1"/>
  </cols>
  <sheetData>
    <row r="1" spans="1:8" x14ac:dyDescent="0.2">
      <c r="A1" s="59" t="s">
        <v>0</v>
      </c>
      <c r="B1" s="60" t="s">
        <v>45</v>
      </c>
      <c r="C1" s="59" t="s">
        <v>327</v>
      </c>
      <c r="D1" s="59" t="s">
        <v>328</v>
      </c>
      <c r="E1" s="59" t="s">
        <v>329</v>
      </c>
      <c r="F1" s="59" t="s">
        <v>72</v>
      </c>
      <c r="G1" s="59" t="s">
        <v>330</v>
      </c>
      <c r="H1" s="59" t="s">
        <v>331</v>
      </c>
    </row>
    <row r="2" spans="1:8" s="61" customFormat="1" ht="14" x14ac:dyDescent="0.2">
      <c r="A2" s="61" t="str">
        <f t="shared" ref="A2:A33" si="0">LEFT(B2, FIND("-", B2) - 1)</f>
        <v>CLERK</v>
      </c>
      <c r="B2" s="61" t="s">
        <v>167</v>
      </c>
      <c r="C2" s="62" t="s">
        <v>332</v>
      </c>
      <c r="D2" s="62"/>
      <c r="E2" s="62"/>
      <c r="F2" s="62"/>
      <c r="G2" s="62"/>
    </row>
    <row r="3" spans="1:8" s="61" customFormat="1" ht="14" x14ac:dyDescent="0.2">
      <c r="A3" s="61" t="str">
        <f t="shared" si="0"/>
        <v>CLERK</v>
      </c>
      <c r="B3" s="61" t="s">
        <v>170</v>
      </c>
      <c r="C3" s="62" t="s">
        <v>332</v>
      </c>
      <c r="D3" s="62"/>
      <c r="E3" s="62"/>
      <c r="F3" s="62"/>
      <c r="G3" s="62"/>
    </row>
    <row r="4" spans="1:8" s="61" customFormat="1" ht="14" x14ac:dyDescent="0.2">
      <c r="A4" s="61" t="str">
        <f t="shared" si="0"/>
        <v>CLERK</v>
      </c>
      <c r="B4" s="61" t="s">
        <v>172</v>
      </c>
      <c r="C4" s="62" t="s">
        <v>332</v>
      </c>
      <c r="D4" s="62"/>
      <c r="E4" s="62"/>
      <c r="F4" s="62"/>
      <c r="G4" s="62"/>
    </row>
    <row r="5" spans="1:8" s="61" customFormat="1" ht="14" x14ac:dyDescent="0.2">
      <c r="A5" s="61" t="str">
        <f t="shared" si="0"/>
        <v>CLERK</v>
      </c>
      <c r="B5" s="61" t="s">
        <v>175</v>
      </c>
      <c r="C5" s="62" t="s">
        <v>332</v>
      </c>
      <c r="D5" s="62"/>
      <c r="E5" s="62"/>
      <c r="F5" s="62"/>
      <c r="G5" s="62"/>
    </row>
    <row r="6" spans="1:8" s="61" customFormat="1" ht="14" x14ac:dyDescent="0.2">
      <c r="A6" s="61" t="str">
        <f t="shared" si="0"/>
        <v>CLERK</v>
      </c>
      <c r="B6" s="61" t="s">
        <v>177</v>
      </c>
      <c r="C6" s="62" t="s">
        <v>332</v>
      </c>
      <c r="D6" s="62"/>
      <c r="E6" s="62"/>
      <c r="F6" s="62"/>
      <c r="G6" s="62"/>
    </row>
    <row r="7" spans="1:8" s="61" customFormat="1" ht="14" x14ac:dyDescent="0.2">
      <c r="A7" s="61" t="str">
        <f t="shared" si="0"/>
        <v>CLERK</v>
      </c>
      <c r="B7" s="61" t="s">
        <v>180</v>
      </c>
      <c r="C7" s="62" t="s">
        <v>332</v>
      </c>
      <c r="D7" s="62"/>
      <c r="E7" s="62"/>
      <c r="F7" s="62"/>
      <c r="G7" s="62"/>
    </row>
    <row r="8" spans="1:8" s="61" customFormat="1" ht="14" x14ac:dyDescent="0.2">
      <c r="A8" s="61" t="str">
        <f t="shared" si="0"/>
        <v>CLERK</v>
      </c>
      <c r="B8" s="61" t="s">
        <v>183</v>
      </c>
      <c r="C8" s="62" t="s">
        <v>332</v>
      </c>
      <c r="D8" s="62"/>
      <c r="E8" s="62"/>
      <c r="F8" s="62"/>
      <c r="G8" s="62"/>
    </row>
    <row r="9" spans="1:8" s="61" customFormat="1" ht="14" x14ac:dyDescent="0.2">
      <c r="A9" s="61" t="str">
        <f t="shared" si="0"/>
        <v>CLERK</v>
      </c>
      <c r="B9" s="61" t="s">
        <v>186</v>
      </c>
      <c r="C9" s="62" t="s">
        <v>332</v>
      </c>
      <c r="D9" s="62"/>
      <c r="E9" s="62"/>
      <c r="F9" s="62"/>
      <c r="G9" s="62"/>
    </row>
    <row r="10" spans="1:8" s="20" customFormat="1" ht="14" x14ac:dyDescent="0.2">
      <c r="A10" s="20" t="str">
        <f t="shared" si="0"/>
        <v>HR</v>
      </c>
      <c r="B10" s="20" t="s">
        <v>65</v>
      </c>
      <c r="C10" s="63" t="s">
        <v>333</v>
      </c>
      <c r="D10" s="63"/>
      <c r="E10" s="63">
        <v>69</v>
      </c>
      <c r="F10" s="63"/>
      <c r="G10" s="63">
        <v>76.599999999999994</v>
      </c>
      <c r="H10" s="20" t="s">
        <v>334</v>
      </c>
    </row>
    <row r="11" spans="1:8" s="20" customFormat="1" ht="14" x14ac:dyDescent="0.2">
      <c r="A11" s="20" t="str">
        <f t="shared" si="0"/>
        <v>HR</v>
      </c>
      <c r="B11" s="20" t="s">
        <v>65</v>
      </c>
      <c r="C11" s="63" t="s">
        <v>335</v>
      </c>
      <c r="D11" s="63"/>
      <c r="E11" s="63">
        <v>81.3</v>
      </c>
      <c r="F11" s="63"/>
      <c r="G11" s="63">
        <v>75.099999999999994</v>
      </c>
      <c r="H11" s="20" t="s">
        <v>334</v>
      </c>
    </row>
    <row r="12" spans="1:8" s="20" customFormat="1" ht="14" x14ac:dyDescent="0.2">
      <c r="A12" s="20" t="str">
        <f t="shared" si="0"/>
        <v>HR</v>
      </c>
      <c r="B12" s="20" t="s">
        <v>65</v>
      </c>
      <c r="C12" s="63" t="s">
        <v>336</v>
      </c>
      <c r="D12" s="63"/>
      <c r="E12" s="63">
        <v>79.3</v>
      </c>
      <c r="F12" s="63"/>
      <c r="G12" s="63">
        <v>76.599999999999994</v>
      </c>
    </row>
    <row r="13" spans="1:8" s="20" customFormat="1" ht="14" x14ac:dyDescent="0.2">
      <c r="A13" s="20" t="str">
        <f t="shared" si="0"/>
        <v>HR</v>
      </c>
      <c r="B13" s="20" t="s">
        <v>65</v>
      </c>
      <c r="C13" s="63" t="s">
        <v>336</v>
      </c>
      <c r="D13" s="63" t="s">
        <v>337</v>
      </c>
      <c r="E13" s="63">
        <v>79.900000000000006</v>
      </c>
      <c r="F13" s="63"/>
      <c r="G13" s="63"/>
    </row>
    <row r="14" spans="1:8" s="20" customFormat="1" ht="14" x14ac:dyDescent="0.2">
      <c r="A14" s="20" t="str">
        <f t="shared" si="0"/>
        <v>HR</v>
      </c>
      <c r="B14" s="20" t="s">
        <v>65</v>
      </c>
      <c r="C14" s="63" t="s">
        <v>336</v>
      </c>
      <c r="D14" s="63" t="s">
        <v>338</v>
      </c>
      <c r="E14" s="63">
        <v>78.2</v>
      </c>
      <c r="F14" s="63"/>
      <c r="G14" s="63"/>
    </row>
    <row r="15" spans="1:8" s="20" customFormat="1" ht="14" x14ac:dyDescent="0.2">
      <c r="A15" s="20" t="str">
        <f t="shared" si="0"/>
        <v>HR</v>
      </c>
      <c r="B15" s="20" t="s">
        <v>65</v>
      </c>
      <c r="C15" s="63"/>
      <c r="D15" s="63"/>
      <c r="E15" s="63"/>
      <c r="F15" s="63"/>
      <c r="G15" s="63"/>
    </row>
    <row r="16" spans="1:8" s="20" customFormat="1" ht="14" x14ac:dyDescent="0.2">
      <c r="A16" s="20" t="str">
        <f t="shared" si="0"/>
        <v>HR</v>
      </c>
      <c r="B16" s="20" t="s">
        <v>77</v>
      </c>
      <c r="C16" s="63"/>
      <c r="D16" s="63"/>
      <c r="E16" s="63"/>
      <c r="F16" s="63"/>
      <c r="G16" s="63"/>
    </row>
    <row r="17" spans="1:7" s="20" customFormat="1" ht="14" x14ac:dyDescent="0.2">
      <c r="A17" s="20" t="str">
        <f t="shared" si="0"/>
        <v>HR</v>
      </c>
      <c r="B17" s="20" t="s">
        <v>81</v>
      </c>
      <c r="C17" s="63"/>
      <c r="D17" s="63"/>
      <c r="E17" s="63"/>
      <c r="F17" s="63"/>
      <c r="G17" s="63"/>
    </row>
    <row r="18" spans="1:7" s="20" customFormat="1" ht="14" x14ac:dyDescent="0.2">
      <c r="A18" s="20" t="str">
        <f t="shared" si="0"/>
        <v>HR</v>
      </c>
      <c r="B18" s="20" t="s">
        <v>83</v>
      </c>
      <c r="C18" s="63"/>
      <c r="D18" s="63"/>
      <c r="E18" s="63"/>
      <c r="F18" s="63"/>
      <c r="G18" s="63"/>
    </row>
    <row r="19" spans="1:7" s="20" customFormat="1" ht="14" x14ac:dyDescent="0.2">
      <c r="A19" s="20" t="str">
        <f t="shared" si="0"/>
        <v>HR</v>
      </c>
      <c r="B19" s="20" t="s">
        <v>87</v>
      </c>
      <c r="C19" s="63"/>
      <c r="D19" s="63"/>
      <c r="E19" s="63"/>
      <c r="F19" s="63"/>
      <c r="G19" s="63"/>
    </row>
    <row r="20" spans="1:7" s="20" customFormat="1" ht="14" x14ac:dyDescent="0.2">
      <c r="A20" s="20" t="str">
        <f t="shared" si="0"/>
        <v>HR</v>
      </c>
      <c r="B20" s="20" t="s">
        <v>89</v>
      </c>
      <c r="C20" s="63"/>
      <c r="D20" s="63"/>
      <c r="E20" s="63"/>
      <c r="F20" s="63"/>
      <c r="G20" s="63"/>
    </row>
    <row r="21" spans="1:7" s="20" customFormat="1" ht="14" x14ac:dyDescent="0.2">
      <c r="A21" s="20" t="str">
        <f t="shared" si="0"/>
        <v>HR</v>
      </c>
      <c r="B21" s="20" t="s">
        <v>91</v>
      </c>
      <c r="C21" s="63"/>
      <c r="D21" s="63"/>
      <c r="E21" s="63"/>
      <c r="F21" s="63"/>
      <c r="G21" s="63"/>
    </row>
    <row r="22" spans="1:7" s="20" customFormat="1" ht="14" x14ac:dyDescent="0.2">
      <c r="A22" s="20" t="str">
        <f t="shared" si="0"/>
        <v>HR</v>
      </c>
      <c r="B22" s="20" t="s">
        <v>94</v>
      </c>
      <c r="C22" s="63"/>
      <c r="D22" s="63"/>
      <c r="E22" s="63"/>
      <c r="F22" s="63"/>
      <c r="G22" s="63"/>
    </row>
    <row r="23" spans="1:7" s="20" customFormat="1" ht="14" x14ac:dyDescent="0.2">
      <c r="A23" s="20" t="str">
        <f t="shared" si="0"/>
        <v>HR</v>
      </c>
      <c r="B23" s="20" t="s">
        <v>96</v>
      </c>
      <c r="C23" s="63"/>
      <c r="D23" s="63"/>
      <c r="E23" s="63"/>
      <c r="F23" s="63"/>
      <c r="G23" s="63"/>
    </row>
    <row r="24" spans="1:7" s="20" customFormat="1" ht="14" x14ac:dyDescent="0.2">
      <c r="A24" s="20" t="str">
        <f t="shared" si="0"/>
        <v>HR</v>
      </c>
      <c r="B24" s="20" t="s">
        <v>98</v>
      </c>
      <c r="C24" s="63"/>
      <c r="D24" s="63"/>
      <c r="E24" s="63"/>
      <c r="F24" s="63"/>
      <c r="G24" s="63"/>
    </row>
    <row r="25" spans="1:7" s="20" customFormat="1" ht="14" x14ac:dyDescent="0.2">
      <c r="A25" s="20" t="str">
        <f t="shared" si="0"/>
        <v>HR</v>
      </c>
      <c r="B25" s="20" t="s">
        <v>100</v>
      </c>
      <c r="C25" s="63"/>
      <c r="D25" s="63"/>
      <c r="E25" s="63"/>
      <c r="F25" s="63"/>
      <c r="G25" s="63"/>
    </row>
    <row r="26" spans="1:7" s="20" customFormat="1" ht="14" x14ac:dyDescent="0.2">
      <c r="A26" s="20" t="str">
        <f t="shared" si="0"/>
        <v>HR</v>
      </c>
      <c r="B26" s="20" t="s">
        <v>102</v>
      </c>
      <c r="C26" s="63"/>
      <c r="D26" s="63"/>
      <c r="E26" s="63"/>
      <c r="F26" s="63"/>
      <c r="G26" s="63"/>
    </row>
    <row r="27" spans="1:7" s="20" customFormat="1" ht="14" x14ac:dyDescent="0.2">
      <c r="A27" s="20" t="str">
        <f t="shared" si="0"/>
        <v>HR</v>
      </c>
      <c r="B27" s="20" t="s">
        <v>104</v>
      </c>
      <c r="C27" s="63"/>
      <c r="D27" s="63"/>
      <c r="E27" s="63"/>
      <c r="F27" s="63"/>
      <c r="G27" s="63"/>
    </row>
    <row r="28" spans="1:7" s="20" customFormat="1" ht="14" x14ac:dyDescent="0.2">
      <c r="A28" s="20" t="str">
        <f t="shared" si="0"/>
        <v>HR</v>
      </c>
      <c r="B28" s="20" t="s">
        <v>106</v>
      </c>
      <c r="C28" s="63"/>
      <c r="D28" s="63"/>
      <c r="E28" s="63"/>
      <c r="F28" s="63"/>
      <c r="G28" s="63"/>
    </row>
    <row r="29" spans="1:7" s="20" customFormat="1" ht="14" x14ac:dyDescent="0.2">
      <c r="A29" s="20" t="str">
        <f t="shared" si="0"/>
        <v>HR</v>
      </c>
      <c r="B29" s="19" t="s">
        <v>109</v>
      </c>
      <c r="C29" s="63"/>
      <c r="D29" s="63"/>
      <c r="E29" s="63"/>
      <c r="F29" s="63"/>
      <c r="G29" s="63"/>
    </row>
    <row r="30" spans="1:7" s="20" customFormat="1" ht="14" x14ac:dyDescent="0.2">
      <c r="A30" s="20" t="str">
        <f t="shared" si="0"/>
        <v>HR</v>
      </c>
      <c r="B30" s="20" t="s">
        <v>112</v>
      </c>
      <c r="C30" s="63"/>
      <c r="D30" s="63"/>
      <c r="E30" s="63"/>
      <c r="F30" s="63"/>
      <c r="G30" s="63"/>
    </row>
    <row r="31" spans="1:7" s="20" customFormat="1" ht="14" x14ac:dyDescent="0.2">
      <c r="A31" s="20" t="str">
        <f t="shared" si="0"/>
        <v>HR</v>
      </c>
      <c r="B31" s="20" t="s">
        <v>114</v>
      </c>
      <c r="C31" s="63"/>
      <c r="D31" s="63"/>
      <c r="E31" s="63"/>
      <c r="F31" s="63"/>
      <c r="G31" s="63"/>
    </row>
    <row r="32" spans="1:7" s="20" customFormat="1" ht="14" x14ac:dyDescent="0.2">
      <c r="A32" s="20" t="str">
        <f t="shared" si="0"/>
        <v>HR</v>
      </c>
      <c r="B32" s="20" t="s">
        <v>116</v>
      </c>
      <c r="C32" s="63"/>
      <c r="D32" s="63"/>
      <c r="E32" s="63"/>
      <c r="F32" s="63"/>
      <c r="G32" s="63"/>
    </row>
    <row r="33" spans="1:8" s="20" customFormat="1" ht="14" x14ac:dyDescent="0.2">
      <c r="A33" s="20" t="str">
        <f t="shared" si="0"/>
        <v>HR</v>
      </c>
      <c r="B33" s="13" t="s">
        <v>118</v>
      </c>
      <c r="C33" s="63"/>
      <c r="D33" s="63"/>
      <c r="E33" s="63"/>
      <c r="F33" s="63"/>
      <c r="G33" s="63"/>
    </row>
    <row r="34" spans="1:8" s="20" customFormat="1" ht="14" x14ac:dyDescent="0.2">
      <c r="A34" s="20" t="str">
        <f t="shared" ref="A34:A65" si="1">LEFT(B34, FIND("-", B34) - 1)</f>
        <v>HR</v>
      </c>
      <c r="B34" s="13" t="s">
        <v>120</v>
      </c>
      <c r="C34" s="63"/>
      <c r="D34" s="63"/>
      <c r="E34" s="63"/>
      <c r="F34" s="63"/>
      <c r="G34" s="63"/>
    </row>
    <row r="35" spans="1:8" s="69" customFormat="1" x14ac:dyDescent="0.2">
      <c r="A35" s="64" t="str">
        <f t="shared" si="1"/>
        <v>IT</v>
      </c>
      <c r="B35" s="65" t="s">
        <v>122</v>
      </c>
      <c r="C35" s="66" t="s">
        <v>339</v>
      </c>
      <c r="D35" s="67"/>
      <c r="E35" s="67">
        <v>99.89</v>
      </c>
      <c r="F35" s="67">
        <v>99.99</v>
      </c>
      <c r="G35" s="67">
        <v>99.998999999999995</v>
      </c>
      <c r="H35" s="68"/>
    </row>
    <row r="36" spans="1:8" s="69" customFormat="1" x14ac:dyDescent="0.2">
      <c r="A36" s="64" t="str">
        <f t="shared" si="1"/>
        <v>IT</v>
      </c>
      <c r="B36" s="65" t="s">
        <v>122</v>
      </c>
      <c r="C36" s="66" t="s">
        <v>340</v>
      </c>
      <c r="D36" s="67"/>
      <c r="E36" s="67">
        <v>99.98</v>
      </c>
      <c r="F36" s="67">
        <v>99.99</v>
      </c>
      <c r="G36" s="67">
        <v>99.998999999999995</v>
      </c>
      <c r="H36" s="68"/>
    </row>
    <row r="37" spans="1:8" s="69" customFormat="1" x14ac:dyDescent="0.2">
      <c r="A37" s="64" t="str">
        <f t="shared" si="1"/>
        <v>IT</v>
      </c>
      <c r="B37" s="65" t="s">
        <v>122</v>
      </c>
      <c r="C37" s="66" t="s">
        <v>333</v>
      </c>
      <c r="D37" s="67"/>
      <c r="E37" s="67">
        <v>99.92</v>
      </c>
      <c r="F37" s="67">
        <v>99.99</v>
      </c>
      <c r="G37" s="67">
        <v>99.998999999999995</v>
      </c>
      <c r="H37" s="68"/>
    </row>
    <row r="38" spans="1:8" s="69" customFormat="1" x14ac:dyDescent="0.2">
      <c r="A38" s="64" t="str">
        <f t="shared" si="1"/>
        <v>IT</v>
      </c>
      <c r="B38" s="65" t="s">
        <v>122</v>
      </c>
      <c r="C38" s="66" t="s">
        <v>341</v>
      </c>
      <c r="D38" s="67"/>
      <c r="E38" s="67">
        <v>99.91</v>
      </c>
      <c r="F38" s="67">
        <v>99.99</v>
      </c>
      <c r="G38" s="67">
        <v>99.998999999999995</v>
      </c>
      <c r="H38" s="68"/>
    </row>
    <row r="39" spans="1:8" s="69" customFormat="1" x14ac:dyDescent="0.2">
      <c r="A39" s="64" t="str">
        <f t="shared" si="1"/>
        <v>IT</v>
      </c>
      <c r="B39" s="65" t="s">
        <v>122</v>
      </c>
      <c r="C39" s="66" t="s">
        <v>335</v>
      </c>
      <c r="D39" s="67"/>
      <c r="E39" s="67">
        <v>99.79</v>
      </c>
      <c r="F39" s="67">
        <v>99.99</v>
      </c>
      <c r="G39" s="67">
        <v>99.998999999999995</v>
      </c>
      <c r="H39" s="68"/>
    </row>
    <row r="40" spans="1:8" s="69" customFormat="1" x14ac:dyDescent="0.2">
      <c r="A40" s="64" t="str">
        <f t="shared" si="1"/>
        <v>IT</v>
      </c>
      <c r="B40" s="65" t="s">
        <v>122</v>
      </c>
      <c r="C40" s="66" t="s">
        <v>342</v>
      </c>
      <c r="D40" s="67"/>
      <c r="E40" s="67">
        <v>99.85</v>
      </c>
      <c r="F40" s="67">
        <v>99.99</v>
      </c>
      <c r="G40" s="67">
        <v>99.998999999999995</v>
      </c>
      <c r="H40" s="68"/>
    </row>
    <row r="41" spans="1:8" s="69" customFormat="1" x14ac:dyDescent="0.2">
      <c r="A41" s="64" t="str">
        <f t="shared" si="1"/>
        <v>IT</v>
      </c>
      <c r="B41" s="65" t="s">
        <v>129</v>
      </c>
      <c r="C41" s="66" t="s">
        <v>333</v>
      </c>
      <c r="D41" s="67"/>
      <c r="E41" s="67">
        <v>80</v>
      </c>
      <c r="F41" s="67">
        <v>85</v>
      </c>
      <c r="G41" s="67"/>
      <c r="H41" s="68"/>
    </row>
    <row r="42" spans="1:8" s="69" customFormat="1" x14ac:dyDescent="0.2">
      <c r="A42" s="64" t="str">
        <f t="shared" si="1"/>
        <v>IT</v>
      </c>
      <c r="B42" s="65" t="s">
        <v>129</v>
      </c>
      <c r="C42" s="66" t="s">
        <v>341</v>
      </c>
      <c r="D42" s="67"/>
      <c r="E42" s="67">
        <v>89.86</v>
      </c>
      <c r="F42" s="67">
        <v>85</v>
      </c>
      <c r="G42" s="67"/>
      <c r="H42" s="68"/>
    </row>
    <row r="43" spans="1:8" s="69" customFormat="1" x14ac:dyDescent="0.2">
      <c r="A43" s="64" t="str">
        <f t="shared" si="1"/>
        <v>IT</v>
      </c>
      <c r="B43" s="65" t="s">
        <v>129</v>
      </c>
      <c r="C43" s="66" t="s">
        <v>335</v>
      </c>
      <c r="D43" s="67"/>
      <c r="E43" s="67">
        <v>85.71</v>
      </c>
      <c r="F43" s="67">
        <v>85</v>
      </c>
      <c r="G43" s="67"/>
      <c r="H43" s="68"/>
    </row>
    <row r="44" spans="1:8" s="69" customFormat="1" x14ac:dyDescent="0.2">
      <c r="A44" s="64" t="str">
        <f t="shared" si="1"/>
        <v>IT</v>
      </c>
      <c r="B44" s="65" t="s">
        <v>129</v>
      </c>
      <c r="C44" s="66" t="s">
        <v>342</v>
      </c>
      <c r="D44" s="67"/>
      <c r="E44" s="67">
        <v>89.97</v>
      </c>
      <c r="F44" s="67">
        <v>85</v>
      </c>
      <c r="G44" s="67"/>
      <c r="H44" s="68"/>
    </row>
    <row r="45" spans="1:8" s="69" customFormat="1" x14ac:dyDescent="0.2">
      <c r="A45" s="64" t="str">
        <f t="shared" si="1"/>
        <v>IT</v>
      </c>
      <c r="B45" s="65" t="s">
        <v>134</v>
      </c>
      <c r="C45" s="66" t="s">
        <v>333</v>
      </c>
      <c r="D45" s="67" t="s">
        <v>343</v>
      </c>
      <c r="E45" s="67"/>
      <c r="F45" s="67">
        <v>95</v>
      </c>
      <c r="G45" s="67">
        <v>100</v>
      </c>
      <c r="H45" s="68"/>
    </row>
    <row r="46" spans="1:8" s="69" customFormat="1" x14ac:dyDescent="0.2">
      <c r="A46" s="64" t="str">
        <f t="shared" si="1"/>
        <v>IT</v>
      </c>
      <c r="B46" s="65" t="s">
        <v>134</v>
      </c>
      <c r="C46" s="66" t="s">
        <v>333</v>
      </c>
      <c r="D46" s="67" t="s">
        <v>344</v>
      </c>
      <c r="E46" s="67"/>
      <c r="F46" s="67">
        <v>95</v>
      </c>
      <c r="G46" s="67">
        <v>100</v>
      </c>
      <c r="H46" s="68"/>
    </row>
    <row r="47" spans="1:8" s="69" customFormat="1" x14ac:dyDescent="0.2">
      <c r="A47" s="64" t="str">
        <f t="shared" si="1"/>
        <v>IT</v>
      </c>
      <c r="B47" s="65" t="s">
        <v>134</v>
      </c>
      <c r="C47" s="66" t="s">
        <v>333</v>
      </c>
      <c r="D47" s="67" t="s">
        <v>345</v>
      </c>
      <c r="E47" s="67"/>
      <c r="F47" s="67">
        <v>95</v>
      </c>
      <c r="G47" s="67">
        <v>100</v>
      </c>
      <c r="H47" s="68"/>
    </row>
    <row r="48" spans="1:8" s="69" customFormat="1" x14ac:dyDescent="0.2">
      <c r="A48" s="64" t="str">
        <f t="shared" si="1"/>
        <v>IT</v>
      </c>
      <c r="B48" s="65" t="s">
        <v>134</v>
      </c>
      <c r="C48" s="66" t="s">
        <v>333</v>
      </c>
      <c r="D48" s="67" t="s">
        <v>346</v>
      </c>
      <c r="E48" s="67"/>
      <c r="F48" s="67">
        <v>95</v>
      </c>
      <c r="G48" s="67">
        <v>100</v>
      </c>
      <c r="H48" s="68"/>
    </row>
    <row r="49" spans="1:8" s="69" customFormat="1" x14ac:dyDescent="0.2">
      <c r="A49" s="64" t="str">
        <f t="shared" si="1"/>
        <v>IT</v>
      </c>
      <c r="B49" s="65" t="s">
        <v>134</v>
      </c>
      <c r="C49" s="66" t="s">
        <v>341</v>
      </c>
      <c r="D49" s="67" t="s">
        <v>343</v>
      </c>
      <c r="E49" s="67"/>
      <c r="F49" s="67">
        <v>95</v>
      </c>
      <c r="G49" s="67">
        <v>100</v>
      </c>
      <c r="H49" s="68"/>
    </row>
    <row r="50" spans="1:8" s="69" customFormat="1" x14ac:dyDescent="0.2">
      <c r="A50" s="64" t="str">
        <f t="shared" si="1"/>
        <v>IT</v>
      </c>
      <c r="B50" s="65" t="s">
        <v>134</v>
      </c>
      <c r="C50" s="66" t="s">
        <v>341</v>
      </c>
      <c r="D50" s="67" t="s">
        <v>344</v>
      </c>
      <c r="E50" s="67"/>
      <c r="F50" s="67">
        <v>95</v>
      </c>
      <c r="G50" s="67">
        <v>100</v>
      </c>
      <c r="H50" s="68"/>
    </row>
    <row r="51" spans="1:8" s="69" customFormat="1" x14ac:dyDescent="0.2">
      <c r="A51" s="64" t="str">
        <f t="shared" si="1"/>
        <v>IT</v>
      </c>
      <c r="B51" s="65" t="s">
        <v>134</v>
      </c>
      <c r="C51" s="66" t="s">
        <v>341</v>
      </c>
      <c r="D51" s="67" t="s">
        <v>345</v>
      </c>
      <c r="E51" s="67"/>
      <c r="F51" s="67">
        <v>95</v>
      </c>
      <c r="G51" s="67">
        <v>100</v>
      </c>
      <c r="H51" s="68"/>
    </row>
    <row r="52" spans="1:8" s="69" customFormat="1" x14ac:dyDescent="0.2">
      <c r="A52" s="64" t="str">
        <f t="shared" si="1"/>
        <v>IT</v>
      </c>
      <c r="B52" s="65" t="s">
        <v>134</v>
      </c>
      <c r="C52" s="66" t="s">
        <v>341</v>
      </c>
      <c r="D52" s="67" t="s">
        <v>346</v>
      </c>
      <c r="E52" s="67"/>
      <c r="F52" s="67">
        <v>95</v>
      </c>
      <c r="G52" s="67">
        <v>100</v>
      </c>
      <c r="H52" s="68"/>
    </row>
    <row r="53" spans="1:8" s="69" customFormat="1" x14ac:dyDescent="0.2">
      <c r="A53" s="64" t="str">
        <f t="shared" si="1"/>
        <v>IT</v>
      </c>
      <c r="B53" s="65" t="s">
        <v>134</v>
      </c>
      <c r="C53" s="66" t="s">
        <v>335</v>
      </c>
      <c r="D53" s="67" t="s">
        <v>343</v>
      </c>
      <c r="E53" s="67"/>
      <c r="F53" s="67">
        <v>95</v>
      </c>
      <c r="G53" s="67">
        <v>100</v>
      </c>
      <c r="H53" s="68"/>
    </row>
    <row r="54" spans="1:8" s="69" customFormat="1" x14ac:dyDescent="0.2">
      <c r="A54" s="64" t="str">
        <f t="shared" si="1"/>
        <v>IT</v>
      </c>
      <c r="B54" s="65" t="s">
        <v>134</v>
      </c>
      <c r="C54" s="66" t="s">
        <v>335</v>
      </c>
      <c r="D54" s="67" t="s">
        <v>344</v>
      </c>
      <c r="E54" s="67"/>
      <c r="F54" s="67">
        <v>95</v>
      </c>
      <c r="G54" s="67">
        <v>100</v>
      </c>
      <c r="H54" s="68"/>
    </row>
    <row r="55" spans="1:8" s="69" customFormat="1" x14ac:dyDescent="0.2">
      <c r="A55" s="64" t="str">
        <f t="shared" si="1"/>
        <v>IT</v>
      </c>
      <c r="B55" s="65" t="s">
        <v>134</v>
      </c>
      <c r="C55" s="66" t="s">
        <v>335</v>
      </c>
      <c r="D55" s="67" t="s">
        <v>345</v>
      </c>
      <c r="E55" s="67"/>
      <c r="F55" s="67">
        <v>95</v>
      </c>
      <c r="G55" s="67">
        <v>100</v>
      </c>
      <c r="H55" s="68"/>
    </row>
    <row r="56" spans="1:8" s="69" customFormat="1" x14ac:dyDescent="0.2">
      <c r="A56" s="64" t="str">
        <f t="shared" si="1"/>
        <v>IT</v>
      </c>
      <c r="B56" s="65" t="s">
        <v>134</v>
      </c>
      <c r="C56" s="66" t="s">
        <v>335</v>
      </c>
      <c r="D56" s="67" t="s">
        <v>346</v>
      </c>
      <c r="E56" s="67"/>
      <c r="F56" s="67">
        <v>95</v>
      </c>
      <c r="G56" s="67">
        <v>100</v>
      </c>
      <c r="H56" s="68"/>
    </row>
    <row r="57" spans="1:8" s="69" customFormat="1" x14ac:dyDescent="0.2">
      <c r="A57" s="64" t="str">
        <f t="shared" si="1"/>
        <v>IT</v>
      </c>
      <c r="B57" s="65" t="s">
        <v>134</v>
      </c>
      <c r="C57" s="66" t="s">
        <v>342</v>
      </c>
      <c r="D57" s="67" t="s">
        <v>343</v>
      </c>
      <c r="E57" s="67"/>
      <c r="F57" s="67">
        <v>95</v>
      </c>
      <c r="G57" s="67">
        <v>100</v>
      </c>
      <c r="H57" s="68"/>
    </row>
    <row r="58" spans="1:8" s="69" customFormat="1" x14ac:dyDescent="0.2">
      <c r="A58" s="64" t="str">
        <f t="shared" si="1"/>
        <v>IT</v>
      </c>
      <c r="B58" s="65" t="s">
        <v>134</v>
      </c>
      <c r="C58" s="66" t="s">
        <v>342</v>
      </c>
      <c r="D58" s="67" t="s">
        <v>344</v>
      </c>
      <c r="E58" s="67"/>
      <c r="F58" s="67">
        <v>95</v>
      </c>
      <c r="G58" s="67">
        <v>100</v>
      </c>
      <c r="H58" s="68"/>
    </row>
    <row r="59" spans="1:8" s="69" customFormat="1" x14ac:dyDescent="0.2">
      <c r="A59" s="64" t="str">
        <f t="shared" si="1"/>
        <v>IT</v>
      </c>
      <c r="B59" s="65" t="s">
        <v>134</v>
      </c>
      <c r="C59" s="66" t="s">
        <v>342</v>
      </c>
      <c r="D59" s="67" t="s">
        <v>345</v>
      </c>
      <c r="E59" s="67"/>
      <c r="F59" s="67">
        <v>95</v>
      </c>
      <c r="G59" s="67">
        <v>100</v>
      </c>
      <c r="H59" s="68"/>
    </row>
    <row r="60" spans="1:8" s="69" customFormat="1" x14ac:dyDescent="0.2">
      <c r="A60" s="64" t="str">
        <f t="shared" si="1"/>
        <v>IT</v>
      </c>
      <c r="B60" s="65" t="s">
        <v>134</v>
      </c>
      <c r="C60" s="66" t="s">
        <v>342</v>
      </c>
      <c r="D60" s="67" t="s">
        <v>346</v>
      </c>
      <c r="E60" s="67"/>
      <c r="F60" s="67">
        <v>95</v>
      </c>
      <c r="G60" s="67">
        <v>100</v>
      </c>
      <c r="H60" s="68"/>
    </row>
    <row r="61" spans="1:8" s="69" customFormat="1" x14ac:dyDescent="0.2">
      <c r="A61" s="64" t="str">
        <f t="shared" si="1"/>
        <v>IT</v>
      </c>
      <c r="B61" s="65" t="s">
        <v>136</v>
      </c>
      <c r="C61" s="66" t="s">
        <v>347</v>
      </c>
      <c r="D61" s="70"/>
      <c r="E61" s="67">
        <v>8.9</v>
      </c>
      <c r="F61" s="67">
        <v>3.9</v>
      </c>
      <c r="G61" s="67">
        <v>3.9</v>
      </c>
      <c r="H61" s="68"/>
    </row>
    <row r="62" spans="1:8" s="69" customFormat="1" x14ac:dyDescent="0.2">
      <c r="A62" s="64" t="str">
        <f t="shared" si="1"/>
        <v>IT</v>
      </c>
      <c r="B62" s="65" t="s">
        <v>136</v>
      </c>
      <c r="C62" s="66" t="s">
        <v>348</v>
      </c>
      <c r="D62" s="70"/>
      <c r="E62" s="67">
        <v>2.4</v>
      </c>
      <c r="F62" s="67">
        <v>3.9</v>
      </c>
      <c r="G62" s="67">
        <v>3.9</v>
      </c>
      <c r="H62" s="68"/>
    </row>
    <row r="63" spans="1:8" s="68" customFormat="1" ht="14" x14ac:dyDescent="0.2">
      <c r="A63" s="68" t="str">
        <f t="shared" si="1"/>
        <v>IT</v>
      </c>
      <c r="B63" s="68" t="s">
        <v>136</v>
      </c>
      <c r="C63" s="71" t="s">
        <v>349</v>
      </c>
      <c r="D63" s="71"/>
      <c r="E63" s="71">
        <v>1.05</v>
      </c>
      <c r="F63" s="71">
        <v>3.9</v>
      </c>
      <c r="G63" s="71">
        <v>3.9</v>
      </c>
    </row>
    <row r="64" spans="1:8" s="68" customFormat="1" ht="14" x14ac:dyDescent="0.2">
      <c r="A64" s="68" t="str">
        <f t="shared" si="1"/>
        <v>IT</v>
      </c>
      <c r="B64" s="68" t="s">
        <v>136</v>
      </c>
      <c r="C64" s="71" t="s">
        <v>350</v>
      </c>
      <c r="D64" s="71"/>
      <c r="E64" s="71">
        <v>0.9</v>
      </c>
      <c r="F64" s="71">
        <v>3.9</v>
      </c>
      <c r="G64" s="71">
        <v>3.9</v>
      </c>
    </row>
    <row r="65" spans="1:7" s="68" customFormat="1" ht="14" x14ac:dyDescent="0.2">
      <c r="A65" s="68" t="str">
        <f t="shared" si="1"/>
        <v>IT</v>
      </c>
      <c r="B65" s="68" t="s">
        <v>136</v>
      </c>
      <c r="C65" s="71" t="s">
        <v>351</v>
      </c>
      <c r="D65" s="71"/>
      <c r="E65" s="71">
        <v>0.63333333333333297</v>
      </c>
      <c r="F65" s="71">
        <v>3.9</v>
      </c>
      <c r="G65" s="71">
        <v>3.9</v>
      </c>
    </row>
    <row r="66" spans="1:7" s="68" customFormat="1" ht="14" x14ac:dyDescent="0.2">
      <c r="A66" s="68" t="str">
        <f t="shared" ref="A66:A97" si="2">LEFT(B66, FIND("-", B66) - 1)</f>
        <v>IT</v>
      </c>
      <c r="B66" s="68" t="s">
        <v>136</v>
      </c>
      <c r="C66" s="71" t="s">
        <v>352</v>
      </c>
      <c r="D66" s="71"/>
      <c r="E66" s="71">
        <v>0.7</v>
      </c>
      <c r="F66" s="71">
        <v>3.9</v>
      </c>
      <c r="G66" s="71">
        <v>3.9</v>
      </c>
    </row>
    <row r="67" spans="1:7" s="68" customFormat="1" ht="14" x14ac:dyDescent="0.2">
      <c r="A67" s="68" t="str">
        <f t="shared" si="2"/>
        <v>IT</v>
      </c>
      <c r="B67" s="68" t="s">
        <v>136</v>
      </c>
      <c r="C67" s="71" t="s">
        <v>353</v>
      </c>
      <c r="D67" s="71"/>
      <c r="E67" s="71">
        <v>1.13333333333333</v>
      </c>
      <c r="F67" s="71">
        <v>3.9</v>
      </c>
      <c r="G67" s="71">
        <v>3.9</v>
      </c>
    </row>
    <row r="68" spans="1:7" s="68" customFormat="1" ht="14" x14ac:dyDescent="0.2">
      <c r="A68" s="68" t="str">
        <f t="shared" si="2"/>
        <v>IT</v>
      </c>
      <c r="B68" s="68" t="s">
        <v>136</v>
      </c>
      <c r="C68" s="71" t="s">
        <v>354</v>
      </c>
      <c r="D68" s="71"/>
      <c r="E68" s="71">
        <v>0.56666666666666698</v>
      </c>
      <c r="F68" s="71">
        <v>3.9</v>
      </c>
      <c r="G68" s="71">
        <v>3.9</v>
      </c>
    </row>
    <row r="69" spans="1:7" s="68" customFormat="1" ht="14" x14ac:dyDescent="0.2">
      <c r="A69" s="68" t="str">
        <f t="shared" si="2"/>
        <v>IT</v>
      </c>
      <c r="B69" s="68" t="s">
        <v>136</v>
      </c>
      <c r="C69" s="71" t="s">
        <v>355</v>
      </c>
      <c r="D69" s="71"/>
      <c r="E69" s="71">
        <v>0.83333333333333304</v>
      </c>
      <c r="F69" s="71">
        <v>3.9</v>
      </c>
      <c r="G69" s="71">
        <v>3.9</v>
      </c>
    </row>
    <row r="70" spans="1:7" s="68" customFormat="1" ht="14" x14ac:dyDescent="0.2">
      <c r="A70" s="68" t="str">
        <f t="shared" si="2"/>
        <v>IT</v>
      </c>
      <c r="B70" s="68" t="s">
        <v>136</v>
      </c>
      <c r="C70" s="71" t="s">
        <v>356</v>
      </c>
      <c r="D70" s="71"/>
      <c r="E70" s="71">
        <v>1.5333333333333301</v>
      </c>
      <c r="F70" s="71">
        <v>3.9</v>
      </c>
      <c r="G70" s="71">
        <v>3.9</v>
      </c>
    </row>
    <row r="71" spans="1:7" s="68" customFormat="1" ht="14" x14ac:dyDescent="0.2">
      <c r="A71" s="68" t="str">
        <f t="shared" si="2"/>
        <v>IT</v>
      </c>
      <c r="B71" s="68" t="s">
        <v>136</v>
      </c>
      <c r="C71" s="71" t="s">
        <v>357</v>
      </c>
      <c r="D71" s="71"/>
      <c r="E71" s="71">
        <v>1.1000000000000001</v>
      </c>
      <c r="F71" s="71">
        <v>3.9</v>
      </c>
      <c r="G71" s="71">
        <v>3.9</v>
      </c>
    </row>
    <row r="72" spans="1:7" s="68" customFormat="1" ht="14" x14ac:dyDescent="0.2">
      <c r="A72" s="68" t="str">
        <f t="shared" si="2"/>
        <v>IT</v>
      </c>
      <c r="B72" s="68" t="s">
        <v>136</v>
      </c>
      <c r="C72" s="71" t="s">
        <v>358</v>
      </c>
      <c r="D72" s="71"/>
      <c r="E72" s="71">
        <v>0.66666666666666696</v>
      </c>
      <c r="F72" s="71">
        <v>3.9</v>
      </c>
      <c r="G72" s="71">
        <v>3.9</v>
      </c>
    </row>
    <row r="73" spans="1:7" s="68" customFormat="1" ht="14" x14ac:dyDescent="0.2">
      <c r="A73" s="68" t="str">
        <f t="shared" si="2"/>
        <v>IT</v>
      </c>
      <c r="B73" s="68" t="s">
        <v>136</v>
      </c>
      <c r="C73" s="71" t="s">
        <v>359</v>
      </c>
      <c r="D73" s="71"/>
      <c r="E73" s="71">
        <v>0.73333333333333295</v>
      </c>
      <c r="F73" s="71">
        <v>3.9</v>
      </c>
      <c r="G73" s="71">
        <v>3.9</v>
      </c>
    </row>
    <row r="74" spans="1:7" s="68" customFormat="1" ht="14" x14ac:dyDescent="0.2">
      <c r="A74" s="68" t="str">
        <f t="shared" si="2"/>
        <v>IT</v>
      </c>
      <c r="B74" s="68" t="s">
        <v>136</v>
      </c>
      <c r="C74" s="71" t="s">
        <v>360</v>
      </c>
      <c r="D74" s="71"/>
      <c r="E74" s="71">
        <v>0.75</v>
      </c>
      <c r="F74" s="71">
        <v>3.9</v>
      </c>
      <c r="G74" s="71">
        <v>3.9</v>
      </c>
    </row>
    <row r="75" spans="1:7" s="68" customFormat="1" ht="14" x14ac:dyDescent="0.2">
      <c r="A75" s="68" t="str">
        <f t="shared" si="2"/>
        <v>IT</v>
      </c>
      <c r="B75" s="68" t="s">
        <v>136</v>
      </c>
      <c r="C75" s="71" t="s">
        <v>361</v>
      </c>
      <c r="D75" s="71"/>
      <c r="E75" s="71">
        <v>8.3666666666666707</v>
      </c>
      <c r="F75" s="71">
        <v>3.9</v>
      </c>
      <c r="G75" s="71">
        <v>3.9</v>
      </c>
    </row>
    <row r="76" spans="1:7" s="68" customFormat="1" ht="14" x14ac:dyDescent="0.2">
      <c r="A76" s="68" t="str">
        <f t="shared" si="2"/>
        <v>IT</v>
      </c>
      <c r="B76" s="68" t="s">
        <v>136</v>
      </c>
      <c r="C76" s="71" t="s">
        <v>362</v>
      </c>
      <c r="D76" s="71"/>
      <c r="E76" s="71">
        <v>9.6999999999999993</v>
      </c>
      <c r="F76" s="71">
        <v>3.9</v>
      </c>
      <c r="G76" s="71">
        <v>3.9</v>
      </c>
    </row>
    <row r="77" spans="1:7" s="68" customFormat="1" ht="14" x14ac:dyDescent="0.2">
      <c r="A77" s="68" t="str">
        <f t="shared" si="2"/>
        <v>IT</v>
      </c>
      <c r="B77" s="68" t="s">
        <v>136</v>
      </c>
      <c r="C77" s="71" t="s">
        <v>363</v>
      </c>
      <c r="D77" s="71"/>
      <c r="E77" s="71">
        <v>10.5666666666667</v>
      </c>
      <c r="F77" s="71">
        <v>3.9</v>
      </c>
      <c r="G77" s="71">
        <v>3.9</v>
      </c>
    </row>
    <row r="78" spans="1:7" s="68" customFormat="1" ht="14" x14ac:dyDescent="0.2">
      <c r="A78" s="68" t="str">
        <f t="shared" si="2"/>
        <v>IT</v>
      </c>
      <c r="B78" s="68" t="s">
        <v>136</v>
      </c>
      <c r="C78" s="71" t="s">
        <v>364</v>
      </c>
      <c r="D78" s="71"/>
      <c r="E78" s="71">
        <v>1.7</v>
      </c>
      <c r="F78" s="71">
        <v>3.9</v>
      </c>
      <c r="G78" s="71">
        <v>3.9</v>
      </c>
    </row>
    <row r="79" spans="1:7" s="68" customFormat="1" ht="14" x14ac:dyDescent="0.2">
      <c r="A79" s="68" t="str">
        <f t="shared" si="2"/>
        <v>IT</v>
      </c>
      <c r="B79" s="68" t="s">
        <v>136</v>
      </c>
      <c r="C79" s="71" t="s">
        <v>365</v>
      </c>
      <c r="D79" s="71"/>
      <c r="E79" s="71">
        <v>0.73333333333333295</v>
      </c>
      <c r="F79" s="71">
        <v>3.9</v>
      </c>
      <c r="G79" s="71">
        <v>3.9</v>
      </c>
    </row>
    <row r="80" spans="1:7" s="68" customFormat="1" ht="14" x14ac:dyDescent="0.2">
      <c r="A80" s="68" t="str">
        <f t="shared" si="2"/>
        <v>IT</v>
      </c>
      <c r="B80" s="68" t="s">
        <v>136</v>
      </c>
      <c r="C80" s="71" t="s">
        <v>366</v>
      </c>
      <c r="D80" s="71"/>
      <c r="E80" s="71">
        <v>0.76666666666666705</v>
      </c>
      <c r="F80" s="71">
        <v>3.9</v>
      </c>
      <c r="G80" s="71">
        <v>3.9</v>
      </c>
    </row>
    <row r="81" spans="1:7" s="72" customFormat="1" ht="14" x14ac:dyDescent="0.15">
      <c r="A81" s="72" t="str">
        <f t="shared" si="2"/>
        <v>LIB</v>
      </c>
      <c r="B81" s="72" t="s">
        <v>141</v>
      </c>
      <c r="C81" s="73" t="s">
        <v>340</v>
      </c>
      <c r="D81" s="73" t="s">
        <v>367</v>
      </c>
      <c r="E81" s="73">
        <v>143</v>
      </c>
      <c r="F81" s="73">
        <v>150</v>
      </c>
      <c r="G81" s="73">
        <v>150</v>
      </c>
    </row>
    <row r="82" spans="1:7" s="72" customFormat="1" ht="14" x14ac:dyDescent="0.15">
      <c r="A82" s="72" t="str">
        <f t="shared" si="2"/>
        <v>LIB</v>
      </c>
      <c r="B82" s="72" t="s">
        <v>141</v>
      </c>
      <c r="C82" s="73" t="s">
        <v>333</v>
      </c>
      <c r="D82" s="73" t="s">
        <v>367</v>
      </c>
      <c r="E82" s="73">
        <v>146</v>
      </c>
      <c r="F82" s="73">
        <v>150</v>
      </c>
      <c r="G82" s="73">
        <v>150</v>
      </c>
    </row>
    <row r="83" spans="1:7" s="72" customFormat="1" ht="14" x14ac:dyDescent="0.15">
      <c r="A83" s="72" t="str">
        <f t="shared" si="2"/>
        <v>LIB</v>
      </c>
      <c r="B83" s="72" t="s">
        <v>141</v>
      </c>
      <c r="C83" s="73" t="s">
        <v>341</v>
      </c>
      <c r="D83" s="73" t="s">
        <v>367</v>
      </c>
      <c r="E83" s="73">
        <v>47</v>
      </c>
      <c r="F83" s="73">
        <v>150</v>
      </c>
      <c r="G83" s="73">
        <v>150</v>
      </c>
    </row>
    <row r="84" spans="1:7" s="72" customFormat="1" ht="14" x14ac:dyDescent="0.15">
      <c r="A84" s="72" t="str">
        <f t="shared" si="2"/>
        <v>LIB</v>
      </c>
      <c r="B84" s="72" t="s">
        <v>141</v>
      </c>
      <c r="C84" s="73" t="s">
        <v>335</v>
      </c>
      <c r="D84" s="73" t="s">
        <v>367</v>
      </c>
      <c r="E84" s="73">
        <v>122</v>
      </c>
      <c r="F84" s="73">
        <v>150</v>
      </c>
      <c r="G84" s="73">
        <v>150</v>
      </c>
    </row>
    <row r="85" spans="1:7" s="72" customFormat="1" ht="14" x14ac:dyDescent="0.15">
      <c r="A85" s="72" t="str">
        <f t="shared" si="2"/>
        <v>LIB</v>
      </c>
      <c r="B85" s="72" t="s">
        <v>141</v>
      </c>
      <c r="C85" s="73" t="s">
        <v>342</v>
      </c>
      <c r="D85" s="73" t="s">
        <v>367</v>
      </c>
      <c r="E85" s="73">
        <v>112</v>
      </c>
      <c r="F85" s="73">
        <v>150</v>
      </c>
      <c r="G85" s="73">
        <v>150</v>
      </c>
    </row>
    <row r="86" spans="1:7" s="72" customFormat="1" ht="14" x14ac:dyDescent="0.15">
      <c r="A86" s="72" t="str">
        <f t="shared" si="2"/>
        <v>LIB</v>
      </c>
      <c r="B86" s="72" t="s">
        <v>141</v>
      </c>
      <c r="C86" s="73" t="s">
        <v>340</v>
      </c>
      <c r="D86" s="73" t="s">
        <v>368</v>
      </c>
      <c r="E86" s="73">
        <v>55</v>
      </c>
      <c r="F86" s="73">
        <v>50</v>
      </c>
      <c r="G86" s="73">
        <v>50</v>
      </c>
    </row>
    <row r="87" spans="1:7" s="72" customFormat="1" ht="14" x14ac:dyDescent="0.15">
      <c r="A87" s="72" t="str">
        <f t="shared" si="2"/>
        <v>LIB</v>
      </c>
      <c r="B87" s="72" t="s">
        <v>141</v>
      </c>
      <c r="C87" s="73" t="s">
        <v>333</v>
      </c>
      <c r="D87" s="73" t="s">
        <v>368</v>
      </c>
      <c r="E87" s="73">
        <v>48</v>
      </c>
      <c r="F87" s="73">
        <v>50</v>
      </c>
      <c r="G87" s="73">
        <v>50</v>
      </c>
    </row>
    <row r="88" spans="1:7" s="72" customFormat="1" ht="14" x14ac:dyDescent="0.15">
      <c r="A88" s="72" t="str">
        <f t="shared" si="2"/>
        <v>LIB</v>
      </c>
      <c r="B88" s="72" t="s">
        <v>141</v>
      </c>
      <c r="C88" s="73" t="s">
        <v>341</v>
      </c>
      <c r="D88" s="73" t="s">
        <v>368</v>
      </c>
      <c r="E88" s="73">
        <v>25</v>
      </c>
      <c r="F88" s="73">
        <v>50</v>
      </c>
      <c r="G88" s="73">
        <v>50</v>
      </c>
    </row>
    <row r="89" spans="1:7" s="72" customFormat="1" ht="14" x14ac:dyDescent="0.15">
      <c r="A89" s="72" t="str">
        <f t="shared" si="2"/>
        <v>LIB</v>
      </c>
      <c r="B89" s="72" t="s">
        <v>141</v>
      </c>
      <c r="C89" s="73" t="s">
        <v>335</v>
      </c>
      <c r="D89" s="73" t="s">
        <v>368</v>
      </c>
      <c r="E89" s="73">
        <v>68</v>
      </c>
      <c r="F89" s="73">
        <v>50</v>
      </c>
      <c r="G89" s="73">
        <v>50</v>
      </c>
    </row>
    <row r="90" spans="1:7" s="72" customFormat="1" ht="14" x14ac:dyDescent="0.15">
      <c r="A90" s="72" t="str">
        <f t="shared" si="2"/>
        <v>LIB</v>
      </c>
      <c r="B90" s="72" t="s">
        <v>141</v>
      </c>
      <c r="C90" s="73" t="s">
        <v>342</v>
      </c>
      <c r="D90" s="73" t="s">
        <v>368</v>
      </c>
      <c r="E90" s="73">
        <v>54</v>
      </c>
      <c r="F90" s="73">
        <v>50</v>
      </c>
      <c r="G90" s="73">
        <v>50</v>
      </c>
    </row>
    <row r="91" spans="1:7" s="72" customFormat="1" ht="14" x14ac:dyDescent="0.15">
      <c r="A91" s="72" t="str">
        <f t="shared" si="2"/>
        <v>LIB</v>
      </c>
      <c r="B91" s="72" t="s">
        <v>141</v>
      </c>
      <c r="C91" s="73" t="s">
        <v>340</v>
      </c>
      <c r="D91" s="73" t="s">
        <v>369</v>
      </c>
      <c r="E91" s="73">
        <v>88</v>
      </c>
      <c r="F91" s="73">
        <v>50</v>
      </c>
      <c r="G91" s="73">
        <v>50</v>
      </c>
    </row>
    <row r="92" spans="1:7" s="72" customFormat="1" ht="14" x14ac:dyDescent="0.15">
      <c r="A92" s="72" t="str">
        <f t="shared" si="2"/>
        <v>LIB</v>
      </c>
      <c r="B92" s="72" t="s">
        <v>141</v>
      </c>
      <c r="C92" s="73" t="s">
        <v>333</v>
      </c>
      <c r="D92" s="73" t="s">
        <v>369</v>
      </c>
      <c r="E92" s="73">
        <v>98</v>
      </c>
      <c r="F92" s="73">
        <v>50</v>
      </c>
      <c r="G92" s="73">
        <v>50</v>
      </c>
    </row>
    <row r="93" spans="1:7" s="72" customFormat="1" ht="14" x14ac:dyDescent="0.15">
      <c r="A93" s="72" t="str">
        <f t="shared" si="2"/>
        <v>LIB</v>
      </c>
      <c r="B93" s="72" t="s">
        <v>141</v>
      </c>
      <c r="C93" s="73" t="s">
        <v>341</v>
      </c>
      <c r="D93" s="73" t="s">
        <v>369</v>
      </c>
      <c r="E93" s="73">
        <v>22</v>
      </c>
      <c r="F93" s="73">
        <v>50</v>
      </c>
      <c r="G93" s="73">
        <v>50</v>
      </c>
    </row>
    <row r="94" spans="1:7" s="72" customFormat="1" ht="14" x14ac:dyDescent="0.15">
      <c r="A94" s="72" t="str">
        <f t="shared" si="2"/>
        <v>LIB</v>
      </c>
      <c r="B94" s="72" t="s">
        <v>141</v>
      </c>
      <c r="C94" s="73" t="s">
        <v>335</v>
      </c>
      <c r="D94" s="73" t="s">
        <v>369</v>
      </c>
      <c r="E94" s="73">
        <v>54</v>
      </c>
      <c r="F94" s="73">
        <v>50</v>
      </c>
      <c r="G94" s="73">
        <v>50</v>
      </c>
    </row>
    <row r="95" spans="1:7" s="72" customFormat="1" ht="14" x14ac:dyDescent="0.15">
      <c r="A95" s="72" t="str">
        <f t="shared" si="2"/>
        <v>LIB</v>
      </c>
      <c r="B95" s="72" t="s">
        <v>141</v>
      </c>
      <c r="C95" s="73" t="s">
        <v>342</v>
      </c>
      <c r="D95" s="73" t="s">
        <v>369</v>
      </c>
      <c r="E95" s="73">
        <v>58</v>
      </c>
      <c r="F95" s="73">
        <v>50</v>
      </c>
      <c r="G95" s="73">
        <v>50</v>
      </c>
    </row>
    <row r="96" spans="1:7" s="72" customFormat="1" ht="14" x14ac:dyDescent="0.15">
      <c r="A96" s="72" t="str">
        <f t="shared" si="2"/>
        <v>LIB</v>
      </c>
      <c r="B96" s="72" t="s">
        <v>151</v>
      </c>
      <c r="C96" s="73" t="s">
        <v>332</v>
      </c>
      <c r="D96" s="73"/>
      <c r="E96" s="73"/>
      <c r="F96" s="73"/>
      <c r="G96" s="73"/>
    </row>
    <row r="97" spans="1:7" s="72" customFormat="1" ht="14" x14ac:dyDescent="0.15">
      <c r="A97" s="72" t="str">
        <f t="shared" si="2"/>
        <v>LIB</v>
      </c>
      <c r="B97" s="72" t="s">
        <v>153</v>
      </c>
      <c r="C97" s="73" t="s">
        <v>332</v>
      </c>
      <c r="D97" s="73"/>
      <c r="E97" s="73"/>
      <c r="F97" s="73"/>
      <c r="G97" s="73"/>
    </row>
    <row r="98" spans="1:7" s="72" customFormat="1" ht="14" x14ac:dyDescent="0.15">
      <c r="A98" s="72" t="str">
        <f t="shared" ref="A98:A130" si="3">LEFT(B98, FIND("-", B98) - 1)</f>
        <v>LIB</v>
      </c>
      <c r="B98" s="72" t="s">
        <v>155</v>
      </c>
      <c r="C98" s="73" t="s">
        <v>332</v>
      </c>
      <c r="D98" s="73"/>
      <c r="E98" s="73"/>
      <c r="F98" s="73"/>
      <c r="G98" s="73"/>
    </row>
    <row r="99" spans="1:7" s="72" customFormat="1" ht="14" x14ac:dyDescent="0.15">
      <c r="A99" s="72" t="str">
        <f t="shared" si="3"/>
        <v>LIB</v>
      </c>
      <c r="B99" s="72" t="s">
        <v>158</v>
      </c>
      <c r="C99" s="73" t="s">
        <v>332</v>
      </c>
      <c r="D99" s="73"/>
      <c r="E99" s="73"/>
      <c r="F99" s="73"/>
      <c r="G99" s="73"/>
    </row>
    <row r="100" spans="1:7" s="72" customFormat="1" ht="14" x14ac:dyDescent="0.15">
      <c r="A100" s="72" t="str">
        <f t="shared" si="3"/>
        <v>LIB</v>
      </c>
      <c r="B100" s="72" t="s">
        <v>161</v>
      </c>
      <c r="C100" s="73" t="s">
        <v>332</v>
      </c>
      <c r="D100" s="73"/>
      <c r="E100" s="73"/>
      <c r="F100" s="73"/>
      <c r="G100" s="73"/>
    </row>
    <row r="101" spans="1:7" s="72" customFormat="1" ht="14" x14ac:dyDescent="0.15">
      <c r="A101" s="72" t="str">
        <f t="shared" si="3"/>
        <v>LIB</v>
      </c>
      <c r="B101" s="72" t="s">
        <v>163</v>
      </c>
      <c r="C101" s="73" t="s">
        <v>332</v>
      </c>
      <c r="D101" s="73"/>
      <c r="E101" s="73"/>
      <c r="F101" s="73"/>
      <c r="G101" s="73"/>
    </row>
    <row r="102" spans="1:7" s="72" customFormat="1" ht="14" x14ac:dyDescent="0.15">
      <c r="A102" s="72" t="str">
        <f t="shared" si="3"/>
        <v>LIB</v>
      </c>
      <c r="B102" s="72" t="s">
        <v>165</v>
      </c>
      <c r="C102" s="73" t="s">
        <v>332</v>
      </c>
      <c r="D102" s="73"/>
      <c r="E102" s="73"/>
      <c r="F102" s="73"/>
      <c r="G102" s="73"/>
    </row>
    <row r="103" spans="1:7" s="72" customFormat="1" ht="14" x14ac:dyDescent="0.15">
      <c r="A103" s="72" t="str">
        <f t="shared" si="3"/>
        <v>LIB</v>
      </c>
      <c r="B103" s="72" t="s">
        <v>148</v>
      </c>
      <c r="C103" s="73" t="s">
        <v>339</v>
      </c>
      <c r="D103" s="73"/>
      <c r="E103" s="73">
        <v>65014</v>
      </c>
      <c r="F103" s="73">
        <v>71834</v>
      </c>
      <c r="G103" s="73">
        <v>62464</v>
      </c>
    </row>
    <row r="104" spans="1:7" s="72" customFormat="1" ht="14" x14ac:dyDescent="0.15">
      <c r="A104" s="72" t="str">
        <f t="shared" si="3"/>
        <v>LIB</v>
      </c>
      <c r="B104" s="72" t="s">
        <v>148</v>
      </c>
      <c r="C104" s="73" t="s">
        <v>340</v>
      </c>
      <c r="D104" s="73"/>
      <c r="E104" s="73">
        <v>103774</v>
      </c>
      <c r="F104" s="73">
        <v>102033</v>
      </c>
      <c r="G104" s="73">
        <v>88724</v>
      </c>
    </row>
    <row r="105" spans="1:7" s="72" customFormat="1" ht="14" x14ac:dyDescent="0.15">
      <c r="A105" s="72" t="str">
        <f t="shared" si="3"/>
        <v>LIB</v>
      </c>
      <c r="B105" s="72" t="s">
        <v>148</v>
      </c>
      <c r="C105" s="73" t="s">
        <v>333</v>
      </c>
      <c r="D105" s="73"/>
      <c r="E105" s="73">
        <v>211580</v>
      </c>
      <c r="F105" s="73">
        <v>150513</v>
      </c>
      <c r="G105" s="73">
        <v>130881</v>
      </c>
    </row>
    <row r="106" spans="1:7" s="72" customFormat="1" ht="14" x14ac:dyDescent="0.15">
      <c r="A106" s="72" t="str">
        <f t="shared" si="3"/>
        <v>LIB</v>
      </c>
      <c r="B106" s="72" t="s">
        <v>148</v>
      </c>
      <c r="C106" s="73" t="s">
        <v>341</v>
      </c>
      <c r="D106" s="73"/>
      <c r="E106" s="73">
        <v>280116</v>
      </c>
      <c r="F106" s="73">
        <v>173234</v>
      </c>
      <c r="G106" s="73">
        <v>150638</v>
      </c>
    </row>
    <row r="107" spans="1:7" s="72" customFormat="1" ht="14" x14ac:dyDescent="0.15">
      <c r="A107" s="72" t="str">
        <f t="shared" si="3"/>
        <v>LIB</v>
      </c>
      <c r="B107" s="72" t="s">
        <v>148</v>
      </c>
      <c r="C107" s="73" t="s">
        <v>335</v>
      </c>
      <c r="D107" s="73"/>
      <c r="E107" s="73">
        <v>287958</v>
      </c>
      <c r="F107" s="73">
        <v>197111</v>
      </c>
      <c r="G107" s="73">
        <v>171401</v>
      </c>
    </row>
    <row r="108" spans="1:7" s="72" customFormat="1" ht="14" x14ac:dyDescent="0.15">
      <c r="A108" s="72" t="str">
        <f t="shared" si="3"/>
        <v>LIB</v>
      </c>
      <c r="B108" s="72" t="s">
        <v>148</v>
      </c>
      <c r="C108" s="73" t="s">
        <v>342</v>
      </c>
      <c r="D108" s="73"/>
      <c r="E108" s="73">
        <v>293189</v>
      </c>
      <c r="F108" s="73">
        <v>201250</v>
      </c>
      <c r="G108" s="73">
        <v>175000</v>
      </c>
    </row>
    <row r="109" spans="1:7" s="74" customFormat="1" ht="14" x14ac:dyDescent="0.15">
      <c r="A109" s="74" t="str">
        <f t="shared" si="3"/>
        <v>PIO</v>
      </c>
      <c r="B109" s="74" t="s">
        <v>192</v>
      </c>
      <c r="C109" s="75" t="s">
        <v>340</v>
      </c>
      <c r="D109" s="75" t="s">
        <v>370</v>
      </c>
      <c r="E109" s="75">
        <v>4.1100000000000003</v>
      </c>
      <c r="F109" s="75">
        <v>5.9</v>
      </c>
      <c r="G109" s="75">
        <v>2.6</v>
      </c>
    </row>
    <row r="110" spans="1:7" s="74" customFormat="1" ht="14" x14ac:dyDescent="0.15">
      <c r="A110" s="74" t="str">
        <f t="shared" si="3"/>
        <v>PIO</v>
      </c>
      <c r="B110" s="74" t="s">
        <v>192</v>
      </c>
      <c r="C110" s="75" t="s">
        <v>333</v>
      </c>
      <c r="D110" s="75" t="s">
        <v>370</v>
      </c>
      <c r="E110" s="75">
        <v>4.2</v>
      </c>
      <c r="F110" s="75">
        <v>5.9</v>
      </c>
      <c r="G110" s="75">
        <v>2.6</v>
      </c>
    </row>
    <row r="111" spans="1:7" s="74" customFormat="1" ht="14" x14ac:dyDescent="0.15">
      <c r="A111" s="74" t="str">
        <f t="shared" si="3"/>
        <v>PIO</v>
      </c>
      <c r="B111" s="74" t="s">
        <v>192</v>
      </c>
      <c r="C111" s="75" t="s">
        <v>341</v>
      </c>
      <c r="D111" s="75" t="s">
        <v>370</v>
      </c>
      <c r="E111" s="75">
        <v>5.0999999999999996</v>
      </c>
      <c r="F111" s="75">
        <v>5.9</v>
      </c>
      <c r="G111" s="75">
        <v>2.6</v>
      </c>
    </row>
    <row r="112" spans="1:7" s="74" customFormat="1" ht="14" x14ac:dyDescent="0.15">
      <c r="A112" s="74" t="str">
        <f t="shared" si="3"/>
        <v>PIO</v>
      </c>
      <c r="B112" s="74" t="s">
        <v>192</v>
      </c>
      <c r="C112" s="75" t="s">
        <v>335</v>
      </c>
      <c r="D112" s="75" t="s">
        <v>370</v>
      </c>
      <c r="E112" s="75">
        <v>5.7</v>
      </c>
      <c r="F112" s="75">
        <v>5.9</v>
      </c>
      <c r="G112" s="75">
        <v>2.6</v>
      </c>
    </row>
    <row r="113" spans="1:7" s="74" customFormat="1" ht="14" x14ac:dyDescent="0.15">
      <c r="A113" s="74" t="str">
        <f t="shared" si="3"/>
        <v>PIO</v>
      </c>
      <c r="B113" s="74" t="s">
        <v>192</v>
      </c>
      <c r="C113" s="75" t="s">
        <v>342</v>
      </c>
      <c r="D113" s="75" t="s">
        <v>370</v>
      </c>
      <c r="E113" s="75">
        <v>3.5</v>
      </c>
      <c r="F113" s="75">
        <v>3.5</v>
      </c>
      <c r="G113" s="75">
        <v>3.5</v>
      </c>
    </row>
    <row r="114" spans="1:7" s="74" customFormat="1" ht="14" x14ac:dyDescent="0.15">
      <c r="A114" s="74" t="str">
        <f t="shared" si="3"/>
        <v>PIO</v>
      </c>
      <c r="B114" s="74" t="s">
        <v>192</v>
      </c>
      <c r="C114" s="75" t="s">
        <v>340</v>
      </c>
      <c r="D114" s="75" t="s">
        <v>371</v>
      </c>
      <c r="E114" s="75">
        <v>8.4</v>
      </c>
      <c r="F114" s="75">
        <v>6.5</v>
      </c>
      <c r="G114" s="75">
        <v>2.5</v>
      </c>
    </row>
    <row r="115" spans="1:7" s="74" customFormat="1" ht="14" x14ac:dyDescent="0.15">
      <c r="A115" s="74" t="str">
        <f t="shared" si="3"/>
        <v>PIO</v>
      </c>
      <c r="B115" s="74" t="s">
        <v>192</v>
      </c>
      <c r="C115" s="75" t="s">
        <v>333</v>
      </c>
      <c r="D115" s="75" t="s">
        <v>371</v>
      </c>
      <c r="E115" s="75">
        <v>6.9</v>
      </c>
      <c r="F115" s="75">
        <v>6.5</v>
      </c>
      <c r="G115" s="75">
        <v>2.5</v>
      </c>
    </row>
    <row r="116" spans="1:7" s="74" customFormat="1" ht="14" x14ac:dyDescent="0.15">
      <c r="A116" s="74" t="str">
        <f t="shared" si="3"/>
        <v>PIO</v>
      </c>
      <c r="B116" s="74" t="s">
        <v>192</v>
      </c>
      <c r="C116" s="75" t="s">
        <v>341</v>
      </c>
      <c r="D116" s="75" t="s">
        <v>371</v>
      </c>
      <c r="E116" s="75">
        <v>7.7</v>
      </c>
      <c r="F116" s="75">
        <v>6.5</v>
      </c>
      <c r="G116" s="75">
        <v>2.5</v>
      </c>
    </row>
    <row r="117" spans="1:7" s="74" customFormat="1" ht="14" x14ac:dyDescent="0.15">
      <c r="A117" s="74" t="str">
        <f t="shared" si="3"/>
        <v>PIO</v>
      </c>
      <c r="B117" s="74" t="s">
        <v>192</v>
      </c>
      <c r="C117" s="75" t="s">
        <v>335</v>
      </c>
      <c r="D117" s="75" t="s">
        <v>371</v>
      </c>
      <c r="E117" s="75">
        <v>6.3</v>
      </c>
      <c r="F117" s="75">
        <v>6.5</v>
      </c>
      <c r="G117" s="75">
        <v>2.5</v>
      </c>
    </row>
    <row r="118" spans="1:7" s="74" customFormat="1" ht="14" x14ac:dyDescent="0.15">
      <c r="A118" s="74" t="str">
        <f t="shared" si="3"/>
        <v>PIO</v>
      </c>
      <c r="B118" s="74" t="s">
        <v>192</v>
      </c>
      <c r="C118" s="75" t="s">
        <v>342</v>
      </c>
      <c r="D118" s="75" t="s">
        <v>371</v>
      </c>
      <c r="E118" s="75">
        <v>7.9</v>
      </c>
      <c r="F118" s="75">
        <v>6.5</v>
      </c>
      <c r="G118" s="75">
        <v>3.2</v>
      </c>
    </row>
    <row r="119" spans="1:7" s="74" customFormat="1" ht="14" x14ac:dyDescent="0.15">
      <c r="A119" s="74" t="str">
        <f t="shared" si="3"/>
        <v>PIO</v>
      </c>
      <c r="B119" s="74" t="s">
        <v>192</v>
      </c>
      <c r="C119" s="75" t="s">
        <v>341</v>
      </c>
      <c r="D119" s="75" t="s">
        <v>372</v>
      </c>
      <c r="E119" s="75">
        <v>3.7</v>
      </c>
      <c r="F119" s="75">
        <v>4.7</v>
      </c>
      <c r="G119" s="75">
        <v>1.6</v>
      </c>
    </row>
    <row r="120" spans="1:7" s="74" customFormat="1" ht="14" x14ac:dyDescent="0.15">
      <c r="A120" s="74" t="str">
        <f t="shared" si="3"/>
        <v>PIO</v>
      </c>
      <c r="B120" s="74" t="s">
        <v>192</v>
      </c>
      <c r="C120" s="75" t="s">
        <v>335</v>
      </c>
      <c r="D120" s="75" t="s">
        <v>372</v>
      </c>
      <c r="E120" s="75">
        <v>4.5999999999999996</v>
      </c>
      <c r="F120" s="75">
        <v>4.7</v>
      </c>
      <c r="G120" s="75">
        <v>1.6</v>
      </c>
    </row>
    <row r="121" spans="1:7" s="74" customFormat="1" ht="14" x14ac:dyDescent="0.15">
      <c r="A121" s="74" t="str">
        <f t="shared" si="3"/>
        <v>PIO</v>
      </c>
      <c r="B121" s="74" t="s">
        <v>192</v>
      </c>
      <c r="C121" s="75" t="s">
        <v>342</v>
      </c>
      <c r="D121" s="75" t="s">
        <v>372</v>
      </c>
      <c r="E121" s="75">
        <v>5.4</v>
      </c>
      <c r="F121" s="75">
        <v>4.7</v>
      </c>
      <c r="G121" s="75">
        <v>1.6</v>
      </c>
    </row>
    <row r="122" spans="1:7" s="74" customFormat="1" ht="14" x14ac:dyDescent="0.15">
      <c r="A122" s="74" t="str">
        <f t="shared" si="3"/>
        <v>PIO</v>
      </c>
      <c r="B122" s="36" t="s">
        <v>197</v>
      </c>
      <c r="C122" s="84"/>
      <c r="D122" s="84"/>
      <c r="E122" s="84"/>
      <c r="F122" s="75">
        <v>15</v>
      </c>
      <c r="G122" s="75"/>
    </row>
    <row r="123" spans="1:7" s="74" customFormat="1" ht="14" x14ac:dyDescent="0.15">
      <c r="A123" s="74" t="str">
        <f t="shared" si="3"/>
        <v>PIO</v>
      </c>
      <c r="B123" s="36" t="s">
        <v>200</v>
      </c>
      <c r="C123" s="84"/>
      <c r="D123" s="84"/>
      <c r="E123" s="84"/>
      <c r="F123" s="84" t="s">
        <v>694</v>
      </c>
      <c r="G123" s="75">
        <v>1115176</v>
      </c>
    </row>
    <row r="124" spans="1:7" s="74" customFormat="1" ht="14" x14ac:dyDescent="0.15">
      <c r="A124" s="74" t="str">
        <f t="shared" si="3"/>
        <v>PIO</v>
      </c>
      <c r="B124" s="36" t="s">
        <v>202</v>
      </c>
      <c r="C124" s="84"/>
      <c r="D124" s="85" t="s">
        <v>371</v>
      </c>
      <c r="E124" s="84"/>
      <c r="F124" s="75">
        <v>2</v>
      </c>
      <c r="G124" s="75">
        <v>1.38</v>
      </c>
    </row>
    <row r="125" spans="1:7" s="74" customFormat="1" ht="14" x14ac:dyDescent="0.15">
      <c r="A125" s="74" t="str">
        <f t="shared" si="3"/>
        <v>PIO</v>
      </c>
      <c r="B125" s="36" t="s">
        <v>202</v>
      </c>
      <c r="C125" s="84"/>
      <c r="D125" s="75" t="s">
        <v>370</v>
      </c>
      <c r="E125" s="84"/>
      <c r="F125" s="75">
        <v>2.5</v>
      </c>
      <c r="G125" s="75">
        <v>2.17</v>
      </c>
    </row>
    <row r="126" spans="1:7" s="74" customFormat="1" ht="14" x14ac:dyDescent="0.15">
      <c r="A126" s="74" t="str">
        <f t="shared" si="3"/>
        <v>PIO</v>
      </c>
      <c r="B126" s="36" t="s">
        <v>202</v>
      </c>
      <c r="C126" s="84"/>
      <c r="D126" s="75" t="s">
        <v>372</v>
      </c>
      <c r="E126" s="84"/>
      <c r="F126" s="75">
        <v>1</v>
      </c>
      <c r="G126" s="75">
        <v>7.0000000000000007E-2</v>
      </c>
    </row>
    <row r="127" spans="1:7" s="76" customFormat="1" ht="13" x14ac:dyDescent="0.2">
      <c r="A127" s="76" t="str">
        <f t="shared" si="3"/>
        <v>TRAN</v>
      </c>
      <c r="B127" s="76" t="s">
        <v>203</v>
      </c>
      <c r="C127" s="77"/>
      <c r="D127" s="77"/>
      <c r="E127" s="77"/>
      <c r="F127" s="77">
        <v>85</v>
      </c>
      <c r="G127" s="77"/>
    </row>
    <row r="128" spans="1:7" s="76" customFormat="1" ht="13" x14ac:dyDescent="0.2">
      <c r="A128" s="76" t="str">
        <f t="shared" si="3"/>
        <v>TRAN</v>
      </c>
      <c r="B128" s="76" t="s">
        <v>208</v>
      </c>
      <c r="C128" s="77"/>
      <c r="D128" s="77"/>
      <c r="E128" s="77"/>
      <c r="F128" s="77">
        <v>100</v>
      </c>
      <c r="G128" s="77">
        <v>95</v>
      </c>
    </row>
    <row r="129" spans="1:7" s="76" customFormat="1" ht="13" x14ac:dyDescent="0.2">
      <c r="A129" s="76" t="str">
        <f t="shared" si="3"/>
        <v>TRAN</v>
      </c>
      <c r="B129" s="76" t="s">
        <v>210</v>
      </c>
      <c r="C129" s="77"/>
      <c r="D129" s="77"/>
      <c r="E129" s="77"/>
      <c r="F129" s="77"/>
      <c r="G129" s="77"/>
    </row>
    <row r="130" spans="1:7" s="76" customFormat="1" ht="13" x14ac:dyDescent="0.2">
      <c r="A130" s="76" t="str">
        <f t="shared" si="3"/>
        <v>TRAN</v>
      </c>
      <c r="B130" s="76" t="s">
        <v>212</v>
      </c>
      <c r="C130" s="77"/>
      <c r="D130" s="77"/>
      <c r="E130" s="77"/>
      <c r="F130" s="77">
        <v>100</v>
      </c>
      <c r="G130" s="77"/>
    </row>
    <row r="131" spans="1:7" s="76" customFormat="1" ht="13" x14ac:dyDescent="0.2">
      <c r="A131" s="76" t="str">
        <f t="shared" ref="A131:A162" si="4">LEFT(B131, FIND("-", B131) - 1)</f>
        <v>TRAN</v>
      </c>
      <c r="B131" s="76" t="s">
        <v>214</v>
      </c>
      <c r="C131" s="77"/>
      <c r="D131" s="77"/>
      <c r="E131" s="77"/>
      <c r="F131" s="77"/>
      <c r="G131" s="77"/>
    </row>
    <row r="132" spans="1:7" s="76" customFormat="1" ht="13" x14ac:dyDescent="0.2">
      <c r="A132" s="76" t="str">
        <f t="shared" si="4"/>
        <v>TRAN</v>
      </c>
      <c r="B132" s="76" t="s">
        <v>217</v>
      </c>
      <c r="C132" s="77"/>
      <c r="D132" s="77"/>
      <c r="E132" s="77"/>
      <c r="F132" s="77"/>
      <c r="G132" s="77"/>
    </row>
    <row r="133" spans="1:7" s="76" customFormat="1" ht="13" x14ac:dyDescent="0.2">
      <c r="A133" s="76" t="str">
        <f t="shared" si="4"/>
        <v>TRAN</v>
      </c>
      <c r="B133" s="76" t="s">
        <v>220</v>
      </c>
      <c r="C133" s="77"/>
      <c r="D133" s="77"/>
      <c r="E133" s="77"/>
      <c r="F133" s="77"/>
      <c r="G133" s="77"/>
    </row>
    <row r="134" spans="1:7" s="45" customFormat="1" ht="13" x14ac:dyDescent="0.2">
      <c r="A134" s="45" t="str">
        <f t="shared" si="4"/>
        <v>PROS</v>
      </c>
      <c r="B134" s="45" t="s">
        <v>222</v>
      </c>
      <c r="F134" s="45" t="str">
        <f t="array" ref="F134">IFERROR(_xlfn.XLOOKUP(B2&amp;"|"&amp;(C2-1)&amp;"|"&amp;D2, $B$2:$B$484&amp;"|"&amp;$C$2:$C$484&amp;"|"&amp;$D$2:$D$484, $E$2:$E$484), "")</f>
        <v/>
      </c>
      <c r="G134" s="45">
        <v>99</v>
      </c>
    </row>
    <row r="135" spans="1:7" s="45" customFormat="1" ht="13" x14ac:dyDescent="0.2">
      <c r="A135" s="45" t="str">
        <f t="shared" si="4"/>
        <v>PROS</v>
      </c>
      <c r="B135" s="45" t="s">
        <v>227</v>
      </c>
      <c r="F135" s="45" t="str">
        <f t="array" ref="F135">IFERROR(_xlfn.XLOOKUP(B3&amp;"|"&amp;(C3-1)&amp;"|"&amp;D3, $B$2:$B$484&amp;"|"&amp;$C$2:$C$484&amp;"|"&amp;$D$2:$D$484, $E$2:$E$484), "")</f>
        <v/>
      </c>
      <c r="G135" s="45">
        <v>606</v>
      </c>
    </row>
    <row r="136" spans="1:7" s="45" customFormat="1" ht="13" x14ac:dyDescent="0.2">
      <c r="A136" s="45" t="str">
        <f t="shared" si="4"/>
        <v>PROS</v>
      </c>
      <c r="B136" s="45" t="s">
        <v>229</v>
      </c>
      <c r="F136" s="45" t="str">
        <f t="array" ref="F136">IFERROR(_xlfn.XLOOKUP(B4&amp;"|"&amp;(C4-1)&amp;"|"&amp;D4, $B$2:$B$484&amp;"|"&amp;$C$2:$C$484&amp;"|"&amp;$D$2:$D$484, $E$2:$E$484), "")</f>
        <v/>
      </c>
    </row>
    <row r="137" spans="1:7" s="45" customFormat="1" ht="13" x14ac:dyDescent="0.2">
      <c r="A137" s="45" t="str">
        <f t="shared" si="4"/>
        <v>PROS</v>
      </c>
      <c r="B137" s="45" t="s">
        <v>232</v>
      </c>
      <c r="F137" s="45">
        <v>96</v>
      </c>
    </row>
    <row r="138" spans="1:7" s="45" customFormat="1" ht="13" x14ac:dyDescent="0.2">
      <c r="A138" s="45" t="str">
        <f t="shared" si="4"/>
        <v>PROS</v>
      </c>
      <c r="B138" s="45" t="s">
        <v>235</v>
      </c>
      <c r="F138" s="45">
        <v>368438</v>
      </c>
    </row>
    <row r="139" spans="1:7" s="45" customFormat="1" ht="13" x14ac:dyDescent="0.2">
      <c r="A139" s="45" t="str">
        <f t="shared" si="4"/>
        <v>PROS</v>
      </c>
      <c r="B139" s="45" t="s">
        <v>237</v>
      </c>
    </row>
    <row r="140" spans="1:7" s="45" customFormat="1" ht="13" x14ac:dyDescent="0.2">
      <c r="A140" s="45" t="str">
        <f t="shared" si="4"/>
        <v>PROS</v>
      </c>
      <c r="B140" s="45" t="s">
        <v>240</v>
      </c>
      <c r="F140" s="45">
        <v>65</v>
      </c>
    </row>
    <row r="141" spans="1:7" s="45" customFormat="1" ht="13" x14ac:dyDescent="0.2">
      <c r="A141" s="45" t="str">
        <f t="shared" si="4"/>
        <v>PROS</v>
      </c>
      <c r="B141" s="45" t="s">
        <v>242</v>
      </c>
      <c r="F141" s="45" t="str">
        <f t="array" ref="F141">IFERROR(_xlfn.XLOOKUP(B3&amp;"|"&amp;(C3-1)&amp;"|"&amp;D3, $B$2:$B$484&amp;"|"&amp;$C$2:$C$484&amp;"|"&amp;$D$2:$D$484, $E$2:$E$484) * 1.01, "")</f>
        <v/>
      </c>
    </row>
    <row r="142" spans="1:7" s="45" customFormat="1" ht="13" x14ac:dyDescent="0.2">
      <c r="A142" s="45" t="str">
        <f t="shared" si="4"/>
        <v>PROS</v>
      </c>
      <c r="B142" s="45" t="s">
        <v>245</v>
      </c>
      <c r="F142" s="45">
        <v>1000</v>
      </c>
    </row>
    <row r="143" spans="1:7" s="45" customFormat="1" ht="13" x14ac:dyDescent="0.2">
      <c r="A143" s="45" t="str">
        <f t="shared" si="4"/>
        <v>PROS</v>
      </c>
      <c r="B143" s="45" t="s">
        <v>247</v>
      </c>
      <c r="F143" s="45" t="str">
        <f t="array" ref="F143">IFERROR(_xlfn.XLOOKUP(B2&amp;"|"&amp;(C2-1)&amp;"|"&amp;D2, $B$2:$B$484&amp;"|"&amp;$C$2:$C$484&amp;"|"&amp;$D$2:$D$484, $E$2:$E$484) * 1.02, "")</f>
        <v/>
      </c>
    </row>
    <row r="144" spans="1:7" s="45" customFormat="1" ht="13" x14ac:dyDescent="0.2">
      <c r="A144" s="45" t="str">
        <f t="shared" si="4"/>
        <v>PROS</v>
      </c>
      <c r="B144" s="45" t="s">
        <v>249</v>
      </c>
      <c r="F144" s="45">
        <v>190</v>
      </c>
    </row>
    <row r="145" spans="1:6" s="45" customFormat="1" ht="13" x14ac:dyDescent="0.2">
      <c r="A145" s="45" t="str">
        <f t="shared" si="4"/>
        <v>PROS</v>
      </c>
      <c r="B145" s="45" t="s">
        <v>253</v>
      </c>
      <c r="F145" s="45">
        <v>162</v>
      </c>
    </row>
    <row r="146" spans="1:6" s="45" customFormat="1" ht="13" x14ac:dyDescent="0.2">
      <c r="A146" s="45" t="str">
        <f t="shared" si="4"/>
        <v>PROS</v>
      </c>
      <c r="B146" s="45" t="s">
        <v>255</v>
      </c>
    </row>
    <row r="147" spans="1:6" s="50" customFormat="1" ht="13" x14ac:dyDescent="0.2">
      <c r="A147" s="50" t="str">
        <f t="shared" si="4"/>
        <v>PD</v>
      </c>
      <c r="B147" s="50" t="s">
        <v>257</v>
      </c>
    </row>
    <row r="148" spans="1:6" s="50" customFormat="1" ht="13" x14ac:dyDescent="0.2">
      <c r="A148" s="50" t="str">
        <f t="shared" si="4"/>
        <v>PD</v>
      </c>
      <c r="B148" s="50" t="s">
        <v>261</v>
      </c>
    </row>
    <row r="149" spans="1:6" s="50" customFormat="1" ht="13" x14ac:dyDescent="0.2">
      <c r="A149" s="50" t="str">
        <f t="shared" si="4"/>
        <v>PD</v>
      </c>
      <c r="B149" s="50" t="s">
        <v>263</v>
      </c>
    </row>
    <row r="150" spans="1:6" s="50" customFormat="1" ht="13" x14ac:dyDescent="0.2">
      <c r="A150" s="50" t="str">
        <f t="shared" si="4"/>
        <v>PD</v>
      </c>
      <c r="B150" s="50" t="s">
        <v>265</v>
      </c>
    </row>
    <row r="151" spans="1:6" s="50" customFormat="1" ht="13" x14ac:dyDescent="0.2">
      <c r="A151" s="50" t="str">
        <f t="shared" si="4"/>
        <v>PD</v>
      </c>
      <c r="B151" s="50" t="s">
        <v>268</v>
      </c>
    </row>
    <row r="152" spans="1:6" s="50" customFormat="1" ht="13" x14ac:dyDescent="0.2">
      <c r="A152" s="50" t="str">
        <f t="shared" si="4"/>
        <v>PD</v>
      </c>
      <c r="B152" s="50" t="s">
        <v>270</v>
      </c>
    </row>
    <row r="153" spans="1:6" s="50" customFormat="1" ht="13" x14ac:dyDescent="0.2">
      <c r="A153" s="50" t="str">
        <f t="shared" si="4"/>
        <v>PD</v>
      </c>
      <c r="B153" s="50" t="s">
        <v>272</v>
      </c>
    </row>
    <row r="154" spans="1:6" s="50" customFormat="1" ht="13" x14ac:dyDescent="0.2">
      <c r="A154" s="50" t="str">
        <f t="shared" si="4"/>
        <v>PD</v>
      </c>
      <c r="B154" s="50" t="s">
        <v>275</v>
      </c>
    </row>
    <row r="155" spans="1:6" s="50" customFormat="1" ht="13" x14ac:dyDescent="0.2">
      <c r="A155" s="50" t="str">
        <f t="shared" si="4"/>
        <v>PD</v>
      </c>
      <c r="B155" s="50" t="s">
        <v>277</v>
      </c>
    </row>
    <row r="156" spans="1:6" s="50" customFormat="1" ht="13" x14ac:dyDescent="0.2">
      <c r="A156" s="50" t="str">
        <f t="shared" si="4"/>
        <v>PD</v>
      </c>
      <c r="B156" s="50" t="s">
        <v>279</v>
      </c>
    </row>
    <row r="157" spans="1:6" s="50" customFormat="1" ht="13" x14ac:dyDescent="0.2">
      <c r="A157" s="50" t="str">
        <f t="shared" si="4"/>
        <v>PD</v>
      </c>
      <c r="B157" s="50" t="s">
        <v>281</v>
      </c>
    </row>
    <row r="158" spans="1:6" s="50" customFormat="1" ht="13" x14ac:dyDescent="0.2">
      <c r="A158" s="50" t="str">
        <f t="shared" si="4"/>
        <v>PD</v>
      </c>
      <c r="B158" s="50" t="s">
        <v>283</v>
      </c>
    </row>
    <row r="159" spans="1:6" s="50" customFormat="1" ht="13" x14ac:dyDescent="0.2">
      <c r="A159" s="50" t="str">
        <f t="shared" si="4"/>
        <v>PD</v>
      </c>
      <c r="B159" s="50" t="s">
        <v>286</v>
      </c>
    </row>
    <row r="160" spans="1:6" s="50" customFormat="1" ht="13" x14ac:dyDescent="0.2">
      <c r="A160" s="50" t="str">
        <f t="shared" si="4"/>
        <v>PD</v>
      </c>
      <c r="B160" s="50" t="s">
        <v>288</v>
      </c>
    </row>
    <row r="161" spans="1:2" s="50" customFormat="1" ht="13" x14ac:dyDescent="0.2">
      <c r="A161" s="50" t="str">
        <f t="shared" si="4"/>
        <v>PD</v>
      </c>
      <c r="B161" s="50" t="s">
        <v>290</v>
      </c>
    </row>
    <row r="162" spans="1:2" s="50" customFormat="1" ht="13" x14ac:dyDescent="0.2">
      <c r="A162" s="50" t="str">
        <f t="shared" si="4"/>
        <v>PD</v>
      </c>
      <c r="B162" s="50" t="s">
        <v>292</v>
      </c>
    </row>
    <row r="163" spans="1:2" s="50" customFormat="1" ht="13" x14ac:dyDescent="0.2">
      <c r="A163" s="50" t="str">
        <f t="shared" ref="A163:A213" si="5">LEFT(B163, FIND("-", B163) - 1)</f>
        <v>PD</v>
      </c>
      <c r="B163" s="50" t="s">
        <v>295</v>
      </c>
    </row>
    <row r="164" spans="1:2" s="50" customFormat="1" ht="13" x14ac:dyDescent="0.2">
      <c r="A164" s="50" t="str">
        <f t="shared" si="5"/>
        <v>PD</v>
      </c>
      <c r="B164" s="50" t="s">
        <v>297</v>
      </c>
    </row>
    <row r="165" spans="1:2" s="50" customFormat="1" ht="13" x14ac:dyDescent="0.2">
      <c r="A165" s="50" t="str">
        <f t="shared" si="5"/>
        <v>PD</v>
      </c>
      <c r="B165" s="50" t="s">
        <v>299</v>
      </c>
    </row>
    <row r="166" spans="1:2" s="50" customFormat="1" ht="13" x14ac:dyDescent="0.2">
      <c r="A166" s="50" t="str">
        <f t="shared" si="5"/>
        <v>PD</v>
      </c>
      <c r="B166" s="50" t="s">
        <v>301</v>
      </c>
    </row>
    <row r="167" spans="1:2" s="50" customFormat="1" ht="13" x14ac:dyDescent="0.2">
      <c r="A167" s="50" t="str">
        <f t="shared" si="5"/>
        <v>PD</v>
      </c>
      <c r="B167" s="50" t="s">
        <v>303</v>
      </c>
    </row>
    <row r="168" spans="1:2" s="50" customFormat="1" ht="13" x14ac:dyDescent="0.2">
      <c r="A168" s="50" t="str">
        <f t="shared" si="5"/>
        <v>PD</v>
      </c>
      <c r="B168" s="50" t="s">
        <v>305</v>
      </c>
    </row>
    <row r="169" spans="1:2" s="50" customFormat="1" ht="13" x14ac:dyDescent="0.2">
      <c r="A169" s="50" t="str">
        <f t="shared" si="5"/>
        <v>PD</v>
      </c>
      <c r="B169" s="50" t="s">
        <v>307</v>
      </c>
    </row>
    <row r="170" spans="1:2" s="50" customFormat="1" ht="13" x14ac:dyDescent="0.2">
      <c r="A170" s="50" t="str">
        <f t="shared" si="5"/>
        <v>PD</v>
      </c>
      <c r="B170" s="50" t="s">
        <v>309</v>
      </c>
    </row>
    <row r="171" spans="1:2" s="13" customFormat="1" ht="13" x14ac:dyDescent="0.2">
      <c r="A171" s="13" t="str">
        <f t="shared" si="5"/>
        <v>911</v>
      </c>
      <c r="B171" s="13" t="s">
        <v>312</v>
      </c>
    </row>
    <row r="172" spans="1:2" s="13" customFormat="1" ht="13" x14ac:dyDescent="0.2">
      <c r="A172" s="13" t="str">
        <f t="shared" si="5"/>
        <v>911</v>
      </c>
      <c r="B172" s="13" t="s">
        <v>315</v>
      </c>
    </row>
    <row r="173" spans="1:2" s="13" customFormat="1" ht="13" x14ac:dyDescent="0.2">
      <c r="A173" s="13" t="str">
        <f t="shared" si="5"/>
        <v>911</v>
      </c>
      <c r="B173" s="13" t="s">
        <v>317</v>
      </c>
    </row>
    <row r="174" spans="1:2" s="13" customFormat="1" ht="13" x14ac:dyDescent="0.2">
      <c r="A174" s="13" t="str">
        <f t="shared" si="5"/>
        <v>911</v>
      </c>
      <c r="B174" s="13" t="s">
        <v>319</v>
      </c>
    </row>
    <row r="175" spans="1:2" s="13" customFormat="1" ht="13" x14ac:dyDescent="0.2">
      <c r="A175" s="13" t="str">
        <f t="shared" si="5"/>
        <v>911</v>
      </c>
      <c r="B175" s="13" t="s">
        <v>321</v>
      </c>
    </row>
    <row r="176" spans="1:2" s="13" customFormat="1" ht="13" x14ac:dyDescent="0.2">
      <c r="A176" s="13" t="str">
        <f t="shared" si="5"/>
        <v>911</v>
      </c>
      <c r="B176" s="13" t="s">
        <v>323</v>
      </c>
    </row>
    <row r="177" spans="1:8" s="13" customFormat="1" ht="13" x14ac:dyDescent="0.2">
      <c r="A177" s="13" t="str">
        <f t="shared" si="5"/>
        <v>911</v>
      </c>
      <c r="B177" s="13" t="s">
        <v>325</v>
      </c>
    </row>
    <row r="178" spans="1:8" x14ac:dyDescent="0.2">
      <c r="A178" s="45" t="str">
        <f t="shared" si="5"/>
        <v>PROS</v>
      </c>
      <c r="B178" s="45" t="s">
        <v>229</v>
      </c>
      <c r="C178" s="79" t="s">
        <v>715</v>
      </c>
      <c r="D178" s="80"/>
      <c r="E178" s="80">
        <v>516</v>
      </c>
      <c r="F178" s="80"/>
      <c r="G178" s="80"/>
      <c r="H178" s="81"/>
    </row>
    <row r="179" spans="1:8" x14ac:dyDescent="0.2">
      <c r="A179" s="45" t="str">
        <f t="shared" si="5"/>
        <v>PROS</v>
      </c>
      <c r="B179" s="45" t="s">
        <v>229</v>
      </c>
      <c r="C179" s="79" t="s">
        <v>716</v>
      </c>
      <c r="D179" s="80"/>
      <c r="E179" s="80">
        <v>552</v>
      </c>
      <c r="F179" s="80"/>
      <c r="G179" s="80"/>
      <c r="H179" s="81"/>
    </row>
    <row r="180" spans="1:8" x14ac:dyDescent="0.2">
      <c r="A180" s="45" t="str">
        <f t="shared" si="5"/>
        <v>PROS</v>
      </c>
      <c r="B180" s="45" t="s">
        <v>229</v>
      </c>
      <c r="C180" s="79" t="s">
        <v>717</v>
      </c>
      <c r="D180" s="80"/>
      <c r="E180" s="80">
        <v>605</v>
      </c>
      <c r="F180" s="80"/>
      <c r="G180" s="80"/>
      <c r="H180" s="81"/>
    </row>
    <row r="181" spans="1:8" x14ac:dyDescent="0.2">
      <c r="A181" s="45" t="str">
        <f t="shared" si="5"/>
        <v>PROS</v>
      </c>
      <c r="B181" s="45" t="s">
        <v>229</v>
      </c>
      <c r="C181" s="79" t="s">
        <v>340</v>
      </c>
      <c r="D181" s="80"/>
      <c r="E181" s="80">
        <v>645</v>
      </c>
      <c r="F181" s="80"/>
      <c r="G181" s="80"/>
      <c r="H181" s="81"/>
    </row>
    <row r="182" spans="1:8" x14ac:dyDescent="0.2">
      <c r="A182" s="45" t="str">
        <f t="shared" si="5"/>
        <v>PROS</v>
      </c>
      <c r="B182" s="45" t="s">
        <v>229</v>
      </c>
      <c r="C182" s="79" t="s">
        <v>333</v>
      </c>
      <c r="D182" s="80"/>
      <c r="E182" s="80">
        <v>654</v>
      </c>
      <c r="F182" s="80"/>
      <c r="G182" s="80"/>
      <c r="H182" s="81"/>
    </row>
    <row r="183" spans="1:8" x14ac:dyDescent="0.2">
      <c r="A183" s="45" t="str">
        <f t="shared" si="5"/>
        <v>PROS</v>
      </c>
      <c r="B183" s="45" t="s">
        <v>229</v>
      </c>
      <c r="C183" s="79" t="s">
        <v>341</v>
      </c>
      <c r="D183" s="80"/>
      <c r="E183" s="80">
        <v>672</v>
      </c>
      <c r="F183" s="80"/>
      <c r="G183" s="80"/>
      <c r="H183" s="81"/>
    </row>
    <row r="184" spans="1:8" x14ac:dyDescent="0.2">
      <c r="A184" s="45" t="str">
        <f t="shared" si="5"/>
        <v>PROS</v>
      </c>
      <c r="B184" s="45" t="s">
        <v>229</v>
      </c>
      <c r="C184" s="79" t="s">
        <v>335</v>
      </c>
      <c r="D184" s="80"/>
      <c r="E184" s="80">
        <v>672</v>
      </c>
      <c r="F184" s="80"/>
      <c r="G184" s="80"/>
      <c r="H184" s="81"/>
    </row>
    <row r="185" spans="1:8" x14ac:dyDescent="0.2">
      <c r="A185" s="45" t="str">
        <f t="shared" si="5"/>
        <v>PROS</v>
      </c>
      <c r="B185" s="45" t="s">
        <v>229</v>
      </c>
      <c r="C185" s="79" t="s">
        <v>342</v>
      </c>
      <c r="D185" s="80"/>
      <c r="E185" s="80">
        <v>792</v>
      </c>
      <c r="F185" s="80"/>
      <c r="G185" s="80"/>
      <c r="H185" s="81"/>
    </row>
    <row r="186" spans="1:8" x14ac:dyDescent="0.2">
      <c r="A186" s="45" t="str">
        <f t="shared" si="5"/>
        <v>PROS</v>
      </c>
      <c r="B186" s="45" t="s">
        <v>229</v>
      </c>
      <c r="C186" s="79" t="s">
        <v>336</v>
      </c>
      <c r="D186" s="80"/>
      <c r="E186" s="80">
        <v>792</v>
      </c>
      <c r="F186" s="80"/>
      <c r="G186" s="80"/>
      <c r="H186" s="81"/>
    </row>
    <row r="187" spans="1:8" x14ac:dyDescent="0.2">
      <c r="A187" s="40" t="str">
        <f t="shared" si="5"/>
        <v>TRAN</v>
      </c>
      <c r="B187" s="40" t="s">
        <v>214</v>
      </c>
      <c r="C187" s="79" t="s">
        <v>719</v>
      </c>
      <c r="D187" s="87" t="s">
        <v>723</v>
      </c>
      <c r="E187">
        <v>135.33333333333331</v>
      </c>
      <c r="F187" s="80"/>
      <c r="G187" s="80"/>
      <c r="H187" s="81"/>
    </row>
    <row r="188" spans="1:8" x14ac:dyDescent="0.2">
      <c r="A188" s="40" t="str">
        <f t="shared" si="5"/>
        <v>TRAN</v>
      </c>
      <c r="B188" s="40" t="s">
        <v>214</v>
      </c>
      <c r="C188" s="79" t="s">
        <v>720</v>
      </c>
      <c r="D188" s="87" t="s">
        <v>723</v>
      </c>
      <c r="E188">
        <v>117.66666666666666</v>
      </c>
      <c r="F188" s="80"/>
      <c r="G188" s="80"/>
      <c r="H188" s="81"/>
    </row>
    <row r="189" spans="1:8" x14ac:dyDescent="0.2">
      <c r="A189" s="40" t="str">
        <f t="shared" si="5"/>
        <v>TRAN</v>
      </c>
      <c r="B189" s="40" t="s">
        <v>214</v>
      </c>
      <c r="C189" s="79" t="s">
        <v>721</v>
      </c>
      <c r="D189" s="87" t="s">
        <v>723</v>
      </c>
      <c r="E189">
        <v>99.5</v>
      </c>
      <c r="F189" s="80"/>
      <c r="G189" s="80"/>
      <c r="H189" s="81"/>
    </row>
    <row r="190" spans="1:8" x14ac:dyDescent="0.2">
      <c r="A190" s="40" t="str">
        <f t="shared" si="5"/>
        <v>TRAN</v>
      </c>
      <c r="B190" s="40" t="s">
        <v>214</v>
      </c>
      <c r="C190" s="79" t="s">
        <v>715</v>
      </c>
      <c r="D190" s="87" t="s">
        <v>723</v>
      </c>
      <c r="E190">
        <v>142.85714285714283</v>
      </c>
      <c r="F190" s="80"/>
      <c r="G190" s="80"/>
      <c r="H190" s="81"/>
    </row>
    <row r="191" spans="1:8" x14ac:dyDescent="0.2">
      <c r="A191" s="40" t="str">
        <f t="shared" si="5"/>
        <v>TRAN</v>
      </c>
      <c r="B191" s="40" t="s">
        <v>214</v>
      </c>
      <c r="C191" s="79" t="s">
        <v>722</v>
      </c>
      <c r="D191" s="87" t="s">
        <v>723</v>
      </c>
      <c r="E191">
        <v>172.11904761904759</v>
      </c>
      <c r="F191" s="80"/>
      <c r="G191" s="80"/>
      <c r="H191" s="81"/>
    </row>
    <row r="192" spans="1:8" x14ac:dyDescent="0.2">
      <c r="A192" s="40" t="str">
        <f t="shared" si="5"/>
        <v>TRAN</v>
      </c>
      <c r="B192" s="40" t="s">
        <v>214</v>
      </c>
      <c r="C192" s="79" t="s">
        <v>717</v>
      </c>
      <c r="D192" s="87" t="s">
        <v>723</v>
      </c>
      <c r="E192">
        <v>170.26984126984127</v>
      </c>
      <c r="F192" s="80"/>
      <c r="G192" s="80"/>
      <c r="H192" s="81"/>
    </row>
    <row r="193" spans="1:8" x14ac:dyDescent="0.2">
      <c r="A193" s="40" t="str">
        <f t="shared" si="5"/>
        <v>TRAN</v>
      </c>
      <c r="B193" s="40" t="s">
        <v>214</v>
      </c>
      <c r="C193" s="79" t="s">
        <v>340</v>
      </c>
      <c r="D193" s="87" t="s">
        <v>723</v>
      </c>
      <c r="E193">
        <v>205.6825396825397</v>
      </c>
      <c r="F193" s="80"/>
      <c r="G193" s="80"/>
      <c r="H193" s="81"/>
    </row>
    <row r="194" spans="1:8" x14ac:dyDescent="0.2">
      <c r="A194" s="40" t="str">
        <f t="shared" si="5"/>
        <v>TRAN</v>
      </c>
      <c r="B194" s="40" t="s">
        <v>214</v>
      </c>
      <c r="C194" s="79" t="s">
        <v>341</v>
      </c>
      <c r="D194" s="87" t="s">
        <v>723</v>
      </c>
      <c r="E194">
        <v>148</v>
      </c>
      <c r="F194" s="80"/>
      <c r="G194" s="80"/>
      <c r="H194" s="81"/>
    </row>
    <row r="195" spans="1:8" x14ac:dyDescent="0.2">
      <c r="A195" s="40" t="str">
        <f t="shared" si="5"/>
        <v>TRAN</v>
      </c>
      <c r="B195" s="40" t="s">
        <v>214</v>
      </c>
      <c r="C195" s="79" t="s">
        <v>342</v>
      </c>
      <c r="D195" s="87" t="s">
        <v>723</v>
      </c>
      <c r="E195">
        <v>233</v>
      </c>
      <c r="F195" s="80"/>
      <c r="G195" s="80"/>
      <c r="H195" s="81"/>
    </row>
    <row r="196" spans="1:8" ht="28" x14ac:dyDescent="0.2">
      <c r="A196" s="40" t="str">
        <f t="shared" si="5"/>
        <v>TRAN</v>
      </c>
      <c r="B196" s="40" t="s">
        <v>214</v>
      </c>
      <c r="C196" s="79" t="s">
        <v>719</v>
      </c>
      <c r="D196" s="81" t="s">
        <v>724</v>
      </c>
      <c r="E196">
        <v>102.16666666666667</v>
      </c>
      <c r="F196" s="80"/>
      <c r="G196" s="80"/>
      <c r="H196" s="81"/>
    </row>
    <row r="197" spans="1:8" ht="28" x14ac:dyDescent="0.2">
      <c r="A197" s="40" t="str">
        <f t="shared" si="5"/>
        <v>TRAN</v>
      </c>
      <c r="B197" s="40" t="s">
        <v>214</v>
      </c>
      <c r="C197" s="79" t="s">
        <v>720</v>
      </c>
      <c r="D197" s="81" t="s">
        <v>724</v>
      </c>
      <c r="E197">
        <v>117.16666666666667</v>
      </c>
      <c r="F197" s="80"/>
      <c r="G197" s="80"/>
      <c r="H197" s="81"/>
    </row>
    <row r="198" spans="1:8" ht="28" x14ac:dyDescent="0.2">
      <c r="A198" s="40" t="str">
        <f t="shared" si="5"/>
        <v>TRAN</v>
      </c>
      <c r="B198" s="40" t="s">
        <v>214</v>
      </c>
      <c r="C198" s="79" t="s">
        <v>721</v>
      </c>
      <c r="D198" s="81" t="s">
        <v>724</v>
      </c>
      <c r="E198">
        <v>83.333333333333329</v>
      </c>
      <c r="F198" s="80"/>
      <c r="G198" s="80"/>
      <c r="H198" s="81"/>
    </row>
    <row r="199" spans="1:8" ht="28" x14ac:dyDescent="0.2">
      <c r="A199" s="40" t="str">
        <f t="shared" si="5"/>
        <v>TRAN</v>
      </c>
      <c r="B199" s="40" t="s">
        <v>214</v>
      </c>
      <c r="C199" s="79" t="s">
        <v>715</v>
      </c>
      <c r="D199" s="81" t="s">
        <v>724</v>
      </c>
      <c r="E199">
        <v>84</v>
      </c>
      <c r="F199" s="80"/>
      <c r="G199" s="80"/>
      <c r="H199" s="81"/>
    </row>
    <row r="200" spans="1:8" ht="28" x14ac:dyDescent="0.2">
      <c r="A200" s="40" t="str">
        <f t="shared" si="5"/>
        <v>TRAN</v>
      </c>
      <c r="B200" s="40" t="s">
        <v>214</v>
      </c>
      <c r="C200" s="79" t="s">
        <v>722</v>
      </c>
      <c r="D200" s="81" t="s">
        <v>724</v>
      </c>
      <c r="E200">
        <v>125.47619047619047</v>
      </c>
      <c r="F200" s="80"/>
      <c r="G200" s="80"/>
      <c r="H200" s="81"/>
    </row>
    <row r="201" spans="1:8" ht="28" x14ac:dyDescent="0.2">
      <c r="A201" s="40" t="str">
        <f t="shared" si="5"/>
        <v>TRAN</v>
      </c>
      <c r="B201" s="40" t="s">
        <v>214</v>
      </c>
      <c r="C201" s="79" t="s">
        <v>717</v>
      </c>
      <c r="D201" s="81" t="s">
        <v>724</v>
      </c>
      <c r="E201">
        <v>71.777777777777786</v>
      </c>
      <c r="F201" s="80"/>
      <c r="G201" s="80"/>
      <c r="H201" s="81"/>
    </row>
    <row r="202" spans="1:8" ht="28" x14ac:dyDescent="0.2">
      <c r="A202" s="40" t="str">
        <f t="shared" si="5"/>
        <v>TRAN</v>
      </c>
      <c r="B202" s="40" t="s">
        <v>214</v>
      </c>
      <c r="C202" s="79" t="s">
        <v>340</v>
      </c>
      <c r="D202" s="81" t="s">
        <v>724</v>
      </c>
      <c r="E202">
        <v>88.541666666666671</v>
      </c>
      <c r="F202" s="80"/>
      <c r="G202" s="80"/>
      <c r="H202" s="81"/>
    </row>
    <row r="203" spans="1:8" ht="28" x14ac:dyDescent="0.2">
      <c r="A203" s="40" t="str">
        <f t="shared" si="5"/>
        <v>TRAN</v>
      </c>
      <c r="B203" s="40" t="s">
        <v>214</v>
      </c>
      <c r="C203" s="79" t="s">
        <v>341</v>
      </c>
      <c r="D203" s="81" t="s">
        <v>724</v>
      </c>
      <c r="E203">
        <v>77</v>
      </c>
      <c r="F203" s="80"/>
      <c r="G203" s="80"/>
      <c r="H203" s="81"/>
    </row>
    <row r="204" spans="1:8" ht="28" x14ac:dyDescent="0.2">
      <c r="A204" s="40" t="str">
        <f t="shared" si="5"/>
        <v>TRAN</v>
      </c>
      <c r="B204" s="40" t="s">
        <v>214</v>
      </c>
      <c r="C204" s="79" t="s">
        <v>342</v>
      </c>
      <c r="D204" s="81" t="s">
        <v>724</v>
      </c>
      <c r="E204">
        <v>76</v>
      </c>
      <c r="F204" s="80"/>
      <c r="G204" s="80"/>
      <c r="H204" s="81"/>
    </row>
    <row r="205" spans="1:8" x14ac:dyDescent="0.2">
      <c r="A205" s="40" t="str">
        <f t="shared" si="5"/>
        <v>TRAN</v>
      </c>
      <c r="B205" s="40" t="s">
        <v>214</v>
      </c>
      <c r="C205" s="79" t="s">
        <v>719</v>
      </c>
      <c r="D205" s="81" t="s">
        <v>725</v>
      </c>
      <c r="E205">
        <v>54.5</v>
      </c>
      <c r="F205" s="80"/>
      <c r="G205" s="80"/>
      <c r="H205" s="81"/>
    </row>
    <row r="206" spans="1:8" x14ac:dyDescent="0.2">
      <c r="A206" s="40" t="str">
        <f t="shared" si="5"/>
        <v>TRAN</v>
      </c>
      <c r="B206" s="40" t="s">
        <v>214</v>
      </c>
      <c r="C206" s="79" t="s">
        <v>720</v>
      </c>
      <c r="D206" s="81" t="s">
        <v>725</v>
      </c>
      <c r="E206">
        <v>58.500000000000007</v>
      </c>
      <c r="F206" s="80"/>
      <c r="G206" s="80"/>
      <c r="H206" s="81"/>
    </row>
    <row r="207" spans="1:8" x14ac:dyDescent="0.2">
      <c r="A207" s="40" t="str">
        <f t="shared" si="5"/>
        <v>TRAN</v>
      </c>
      <c r="B207" s="40" t="s">
        <v>214</v>
      </c>
      <c r="C207" s="79" t="s">
        <v>721</v>
      </c>
      <c r="D207" s="81" t="s">
        <v>725</v>
      </c>
      <c r="E207">
        <v>63.166666666666671</v>
      </c>
      <c r="F207" s="80"/>
      <c r="G207" s="80"/>
      <c r="H207" s="81"/>
    </row>
    <row r="208" spans="1:8" x14ac:dyDescent="0.2">
      <c r="A208" s="40" t="str">
        <f t="shared" si="5"/>
        <v>TRAN</v>
      </c>
      <c r="B208" s="40" t="s">
        <v>214</v>
      </c>
      <c r="C208" s="79" t="s">
        <v>715</v>
      </c>
      <c r="D208" s="81" t="s">
        <v>725</v>
      </c>
      <c r="E208">
        <v>77.166666666666671</v>
      </c>
      <c r="F208" s="80"/>
      <c r="G208" s="80"/>
      <c r="H208" s="81"/>
    </row>
    <row r="209" spans="1:8" x14ac:dyDescent="0.2">
      <c r="A209" s="40" t="str">
        <f t="shared" si="5"/>
        <v>TRAN</v>
      </c>
      <c r="B209" s="40" t="s">
        <v>214</v>
      </c>
      <c r="C209" s="79" t="s">
        <v>722</v>
      </c>
      <c r="D209" s="81" t="s">
        <v>725</v>
      </c>
      <c r="E209">
        <v>66.119047619047606</v>
      </c>
      <c r="F209" s="80"/>
      <c r="G209" s="80"/>
      <c r="H209" s="81"/>
    </row>
    <row r="210" spans="1:8" x14ac:dyDescent="0.2">
      <c r="A210" s="40" t="str">
        <f t="shared" si="5"/>
        <v>TRAN</v>
      </c>
      <c r="B210" s="40" t="s">
        <v>214</v>
      </c>
      <c r="C210" s="79" t="s">
        <v>717</v>
      </c>
      <c r="D210" s="81" t="s">
        <v>725</v>
      </c>
      <c r="E210">
        <v>82.158730158730151</v>
      </c>
      <c r="F210" s="80"/>
      <c r="G210" s="80"/>
      <c r="H210" s="81"/>
    </row>
    <row r="211" spans="1:8" x14ac:dyDescent="0.2">
      <c r="A211" s="40" t="str">
        <f t="shared" si="5"/>
        <v>TRAN</v>
      </c>
      <c r="B211" s="40" t="s">
        <v>214</v>
      </c>
      <c r="C211" s="79" t="s">
        <v>340</v>
      </c>
      <c r="D211" s="81" t="s">
        <v>725</v>
      </c>
      <c r="E211">
        <v>46</v>
      </c>
      <c r="F211" s="80"/>
      <c r="G211" s="80"/>
      <c r="H211" s="81"/>
    </row>
    <row r="212" spans="1:8" x14ac:dyDescent="0.2">
      <c r="A212" s="40" t="str">
        <f t="shared" si="5"/>
        <v>TRAN</v>
      </c>
      <c r="B212" s="40" t="s">
        <v>214</v>
      </c>
      <c r="C212" s="79" t="s">
        <v>341</v>
      </c>
      <c r="D212" s="81" t="s">
        <v>725</v>
      </c>
      <c r="E212">
        <v>75</v>
      </c>
      <c r="F212" s="80"/>
      <c r="G212" s="80"/>
      <c r="H212" s="81"/>
    </row>
    <row r="213" spans="1:8" x14ac:dyDescent="0.2">
      <c r="A213" s="40" t="str">
        <f t="shared" si="5"/>
        <v>TRAN</v>
      </c>
      <c r="B213" s="40" t="s">
        <v>214</v>
      </c>
      <c r="C213" s="79" t="s">
        <v>342</v>
      </c>
      <c r="D213" s="81" t="s">
        <v>725</v>
      </c>
      <c r="E213">
        <v>75</v>
      </c>
      <c r="F213" s="80"/>
      <c r="G213" s="80"/>
      <c r="H213" s="81"/>
    </row>
    <row r="214" spans="1:8" ht="28" x14ac:dyDescent="0.2">
      <c r="A214" s="40" t="str">
        <f t="shared" ref="A214:A238" si="6">LEFT(B214, FIND("-", B214) - 1)</f>
        <v>TRAN</v>
      </c>
      <c r="B214" s="40" t="s">
        <v>214</v>
      </c>
      <c r="C214" s="79" t="s">
        <v>719</v>
      </c>
      <c r="D214" s="81" t="s">
        <v>726</v>
      </c>
      <c r="E214">
        <v>61.500000000000007</v>
      </c>
      <c r="F214" s="80"/>
      <c r="G214" s="80"/>
      <c r="H214" s="81"/>
    </row>
    <row r="215" spans="1:8" ht="28" x14ac:dyDescent="0.2">
      <c r="A215" s="40" t="str">
        <f t="shared" si="6"/>
        <v>TRAN</v>
      </c>
      <c r="B215" s="40" t="s">
        <v>214</v>
      </c>
      <c r="C215" s="79" t="s">
        <v>720</v>
      </c>
      <c r="D215" s="81" t="s">
        <v>726</v>
      </c>
      <c r="E215">
        <v>114</v>
      </c>
      <c r="F215" s="80"/>
      <c r="G215" s="80"/>
      <c r="H215" s="81"/>
    </row>
    <row r="216" spans="1:8" ht="28" x14ac:dyDescent="0.2">
      <c r="A216" s="40" t="str">
        <f t="shared" si="6"/>
        <v>TRAN</v>
      </c>
      <c r="B216" s="40" t="s">
        <v>214</v>
      </c>
      <c r="C216" s="79" t="s">
        <v>721</v>
      </c>
      <c r="D216" s="81" t="s">
        <v>726</v>
      </c>
      <c r="E216">
        <v>72.833333333333329</v>
      </c>
      <c r="F216" s="80"/>
      <c r="G216" s="80"/>
      <c r="H216" s="81"/>
    </row>
    <row r="217" spans="1:8" ht="28" x14ac:dyDescent="0.2">
      <c r="A217" s="40" t="str">
        <f t="shared" si="6"/>
        <v>TRAN</v>
      </c>
      <c r="B217" s="40" t="s">
        <v>214</v>
      </c>
      <c r="C217" s="79" t="s">
        <v>715</v>
      </c>
      <c r="D217" s="81" t="s">
        <v>726</v>
      </c>
      <c r="E217">
        <v>81.857142857142861</v>
      </c>
      <c r="F217" s="80"/>
      <c r="G217" s="80"/>
      <c r="H217" s="81"/>
    </row>
    <row r="218" spans="1:8" ht="28" x14ac:dyDescent="0.2">
      <c r="A218" s="40" t="str">
        <f t="shared" si="6"/>
        <v>TRAN</v>
      </c>
      <c r="B218" s="40" t="s">
        <v>214</v>
      </c>
      <c r="C218" s="79" t="s">
        <v>722</v>
      </c>
      <c r="D218" s="81" t="s">
        <v>726</v>
      </c>
      <c r="E218">
        <v>101.73809523809524</v>
      </c>
      <c r="F218" s="80"/>
      <c r="G218" s="80"/>
      <c r="H218" s="81"/>
    </row>
    <row r="219" spans="1:8" ht="28" x14ac:dyDescent="0.2">
      <c r="A219" s="40" t="str">
        <f t="shared" si="6"/>
        <v>TRAN</v>
      </c>
      <c r="B219" s="40" t="s">
        <v>214</v>
      </c>
      <c r="C219" s="79" t="s">
        <v>717</v>
      </c>
      <c r="D219" s="81" t="s">
        <v>726</v>
      </c>
      <c r="E219">
        <v>110.65079365079366</v>
      </c>
      <c r="F219" s="80"/>
      <c r="G219" s="80"/>
      <c r="H219" s="81"/>
    </row>
    <row r="220" spans="1:8" ht="28" x14ac:dyDescent="0.2">
      <c r="A220" s="40" t="str">
        <f t="shared" si="6"/>
        <v>TRAN</v>
      </c>
      <c r="B220" s="40" t="s">
        <v>214</v>
      </c>
      <c r="C220" s="79" t="s">
        <v>340</v>
      </c>
      <c r="D220" s="81" t="s">
        <v>726</v>
      </c>
      <c r="E220">
        <v>116.16666666666666</v>
      </c>
      <c r="F220" s="80"/>
      <c r="G220" s="80"/>
      <c r="H220" s="81"/>
    </row>
    <row r="221" spans="1:8" ht="28" x14ac:dyDescent="0.2">
      <c r="A221" s="40" t="str">
        <f t="shared" si="6"/>
        <v>TRAN</v>
      </c>
      <c r="B221" s="40" t="s">
        <v>214</v>
      </c>
      <c r="C221" s="79" t="s">
        <v>341</v>
      </c>
      <c r="D221" s="81" t="s">
        <v>726</v>
      </c>
      <c r="E221">
        <v>105</v>
      </c>
      <c r="F221" s="80"/>
      <c r="G221" s="80"/>
      <c r="H221" s="81"/>
    </row>
    <row r="222" spans="1:8" ht="28" x14ac:dyDescent="0.2">
      <c r="A222" s="40" t="str">
        <f t="shared" si="6"/>
        <v>TRAN</v>
      </c>
      <c r="B222" s="40" t="s">
        <v>214</v>
      </c>
      <c r="C222" s="79" t="s">
        <v>342</v>
      </c>
      <c r="D222" s="81" t="s">
        <v>726</v>
      </c>
      <c r="E222">
        <v>155</v>
      </c>
      <c r="F222" s="80"/>
      <c r="G222" s="80"/>
      <c r="H222" s="81"/>
    </row>
    <row r="223" spans="1:8" x14ac:dyDescent="0.2">
      <c r="A223" s="40" t="str">
        <f t="shared" si="6"/>
        <v>TRAN</v>
      </c>
      <c r="B223" s="40" t="s">
        <v>214</v>
      </c>
      <c r="C223" s="79" t="s">
        <v>719</v>
      </c>
      <c r="D223" s="81" t="s">
        <v>727</v>
      </c>
      <c r="E223">
        <v>135.33333333333334</v>
      </c>
      <c r="F223" s="80"/>
      <c r="G223" s="80"/>
      <c r="H223" s="81"/>
    </row>
    <row r="224" spans="1:8" x14ac:dyDescent="0.2">
      <c r="A224" s="40" t="str">
        <f t="shared" si="6"/>
        <v>TRAN</v>
      </c>
      <c r="B224" s="40" t="s">
        <v>214</v>
      </c>
      <c r="C224" s="79" t="s">
        <v>720</v>
      </c>
      <c r="D224" s="81" t="s">
        <v>727</v>
      </c>
      <c r="E224">
        <v>141.83333333333334</v>
      </c>
      <c r="F224" s="80"/>
      <c r="G224" s="80"/>
      <c r="H224" s="81"/>
    </row>
    <row r="225" spans="1:8" x14ac:dyDescent="0.2">
      <c r="A225" s="40" t="str">
        <f t="shared" si="6"/>
        <v>TRAN</v>
      </c>
      <c r="B225" s="40" t="s">
        <v>214</v>
      </c>
      <c r="C225" s="79" t="s">
        <v>721</v>
      </c>
      <c r="D225" s="81" t="s">
        <v>727</v>
      </c>
      <c r="E225">
        <v>157.66666666666666</v>
      </c>
      <c r="F225" s="80"/>
      <c r="G225" s="80"/>
      <c r="H225" s="81"/>
    </row>
    <row r="226" spans="1:8" x14ac:dyDescent="0.2">
      <c r="A226" s="40" t="str">
        <f t="shared" si="6"/>
        <v>TRAN</v>
      </c>
      <c r="B226" s="40" t="s">
        <v>214</v>
      </c>
      <c r="C226" s="79" t="s">
        <v>715</v>
      </c>
      <c r="D226" s="81" t="s">
        <v>727</v>
      </c>
      <c r="E226">
        <v>165.42857142857144</v>
      </c>
      <c r="F226" s="80"/>
      <c r="G226" s="80"/>
      <c r="H226" s="81"/>
    </row>
    <row r="227" spans="1:8" x14ac:dyDescent="0.2">
      <c r="A227" s="40" t="str">
        <f t="shared" si="6"/>
        <v>TRAN</v>
      </c>
      <c r="B227" s="40" t="s">
        <v>214</v>
      </c>
      <c r="C227" s="79" t="s">
        <v>722</v>
      </c>
      <c r="D227" s="81" t="s">
        <v>727</v>
      </c>
      <c r="E227">
        <v>175.38095238095238</v>
      </c>
      <c r="F227" s="80"/>
      <c r="G227" s="80"/>
      <c r="H227" s="81"/>
    </row>
    <row r="228" spans="1:8" x14ac:dyDescent="0.2">
      <c r="A228" s="40" t="str">
        <f t="shared" si="6"/>
        <v>TRAN</v>
      </c>
      <c r="B228" s="40" t="s">
        <v>214</v>
      </c>
      <c r="C228" s="79" t="s">
        <v>717</v>
      </c>
      <c r="D228" s="81" t="s">
        <v>727</v>
      </c>
      <c r="E228">
        <v>156.85714285714286</v>
      </c>
      <c r="F228" s="80"/>
      <c r="G228" s="80"/>
      <c r="H228" s="81"/>
    </row>
    <row r="229" spans="1:8" x14ac:dyDescent="0.2">
      <c r="A229" s="40" t="str">
        <f t="shared" si="6"/>
        <v>TRAN</v>
      </c>
      <c r="B229" s="40" t="s">
        <v>214</v>
      </c>
      <c r="C229" s="79" t="s">
        <v>340</v>
      </c>
      <c r="D229" s="81" t="s">
        <v>727</v>
      </c>
      <c r="E229">
        <v>163.5873015873016</v>
      </c>
      <c r="F229" s="80"/>
      <c r="G229" s="80"/>
      <c r="H229" s="81"/>
    </row>
    <row r="230" spans="1:8" x14ac:dyDescent="0.2">
      <c r="A230" s="40" t="str">
        <f t="shared" si="6"/>
        <v>TRAN</v>
      </c>
      <c r="B230" s="40" t="s">
        <v>214</v>
      </c>
      <c r="C230" s="79" t="s">
        <v>341</v>
      </c>
      <c r="D230" s="81" t="s">
        <v>727</v>
      </c>
      <c r="E230">
        <v>152</v>
      </c>
      <c r="F230" s="80"/>
      <c r="G230" s="80"/>
      <c r="H230" s="81"/>
    </row>
    <row r="231" spans="1:8" x14ac:dyDescent="0.2">
      <c r="A231" s="40" t="str">
        <f t="shared" si="6"/>
        <v>TRAN</v>
      </c>
      <c r="B231" s="40" t="s">
        <v>214</v>
      </c>
      <c r="C231" s="79" t="s">
        <v>342</v>
      </c>
      <c r="D231" s="81" t="s">
        <v>727</v>
      </c>
      <c r="E231">
        <v>225</v>
      </c>
      <c r="F231" s="80"/>
      <c r="G231" s="80"/>
      <c r="H231" s="81"/>
    </row>
    <row r="232" spans="1:8" x14ac:dyDescent="0.2">
      <c r="A232" s="40" t="str">
        <f t="shared" si="6"/>
        <v>TRAN</v>
      </c>
      <c r="B232" s="40" t="s">
        <v>214</v>
      </c>
      <c r="C232" s="79" t="s">
        <v>719</v>
      </c>
      <c r="D232" s="81" t="s">
        <v>728</v>
      </c>
      <c r="E232">
        <v>95.499999999999986</v>
      </c>
      <c r="F232" s="80"/>
      <c r="G232" s="80"/>
      <c r="H232" s="81"/>
    </row>
    <row r="233" spans="1:8" x14ac:dyDescent="0.2">
      <c r="A233" s="40" t="str">
        <f t="shared" si="6"/>
        <v>TRAN</v>
      </c>
      <c r="B233" s="40" t="s">
        <v>214</v>
      </c>
      <c r="C233" s="79" t="s">
        <v>720</v>
      </c>
      <c r="D233" s="81" t="s">
        <v>728</v>
      </c>
      <c r="E233">
        <v>102.00000000000001</v>
      </c>
      <c r="F233" s="80"/>
      <c r="G233" s="80"/>
      <c r="H233" s="81"/>
    </row>
    <row r="234" spans="1:8" x14ac:dyDescent="0.2">
      <c r="A234" s="40" t="str">
        <f t="shared" si="6"/>
        <v>TRAN</v>
      </c>
      <c r="B234" s="40" t="s">
        <v>214</v>
      </c>
      <c r="C234" s="79" t="s">
        <v>721</v>
      </c>
      <c r="D234" s="81" t="s">
        <v>728</v>
      </c>
      <c r="E234">
        <v>98</v>
      </c>
      <c r="F234" s="80"/>
      <c r="G234" s="80"/>
      <c r="H234" s="81"/>
    </row>
    <row r="235" spans="1:8" x14ac:dyDescent="0.2">
      <c r="A235" s="40" t="str">
        <f t="shared" si="6"/>
        <v>TRAN</v>
      </c>
      <c r="B235" s="40" t="s">
        <v>214</v>
      </c>
      <c r="C235" s="79" t="s">
        <v>715</v>
      </c>
      <c r="D235" s="81" t="s">
        <v>728</v>
      </c>
      <c r="E235">
        <v>127.28571428571429</v>
      </c>
      <c r="F235" s="80"/>
      <c r="G235" s="80"/>
      <c r="H235" s="81"/>
    </row>
    <row r="236" spans="1:8" x14ac:dyDescent="0.2">
      <c r="A236" s="40" t="str">
        <f t="shared" si="6"/>
        <v>TRAN</v>
      </c>
      <c r="B236" s="40" t="s">
        <v>214</v>
      </c>
      <c r="C236" s="79" t="s">
        <v>722</v>
      </c>
      <c r="D236" s="81" t="s">
        <v>728</v>
      </c>
      <c r="E236">
        <v>72.761904761904759</v>
      </c>
      <c r="F236" s="80"/>
      <c r="G236" s="80"/>
      <c r="H236" s="81"/>
    </row>
    <row r="237" spans="1:8" x14ac:dyDescent="0.2">
      <c r="A237" s="40" t="str">
        <f t="shared" si="6"/>
        <v>TRAN</v>
      </c>
      <c r="B237" s="40" t="s">
        <v>214</v>
      </c>
      <c r="C237" s="79" t="s">
        <v>717</v>
      </c>
      <c r="D237" s="81" t="s">
        <v>728</v>
      </c>
      <c r="E237">
        <v>84.571428571428584</v>
      </c>
      <c r="F237" s="80"/>
      <c r="G237" s="80"/>
      <c r="H237" s="81"/>
    </row>
    <row r="238" spans="1:8" x14ac:dyDescent="0.2">
      <c r="A238" s="40" t="str">
        <f t="shared" si="6"/>
        <v>TRAN</v>
      </c>
      <c r="B238" s="40" t="s">
        <v>214</v>
      </c>
      <c r="C238" s="79" t="s">
        <v>340</v>
      </c>
      <c r="D238" s="81" t="s">
        <v>728</v>
      </c>
      <c r="E238">
        <v>57.000000000000007</v>
      </c>
      <c r="F238" s="80"/>
      <c r="G238" s="80"/>
      <c r="H238" s="81"/>
    </row>
    <row r="239" spans="1:8" x14ac:dyDescent="0.2">
      <c r="A239" s="40" t="str">
        <f t="shared" ref="A239:A258" si="7">LEFT(B239, FIND("-", B239) - 1)</f>
        <v>TRAN</v>
      </c>
      <c r="B239" s="40" t="s">
        <v>214</v>
      </c>
      <c r="C239" s="79" t="s">
        <v>341</v>
      </c>
      <c r="D239" s="81" t="s">
        <v>728</v>
      </c>
      <c r="E239">
        <v>60</v>
      </c>
      <c r="F239" s="80"/>
      <c r="G239" s="80"/>
      <c r="H239" s="81"/>
    </row>
    <row r="240" spans="1:8" x14ac:dyDescent="0.2">
      <c r="A240" s="40" t="str">
        <f t="shared" si="7"/>
        <v>TRAN</v>
      </c>
      <c r="B240" s="40" t="s">
        <v>214</v>
      </c>
      <c r="C240" s="79" t="s">
        <v>342</v>
      </c>
      <c r="D240" s="81" t="s">
        <v>728</v>
      </c>
      <c r="E240">
        <v>100</v>
      </c>
      <c r="F240" s="80"/>
      <c r="G240" s="80"/>
      <c r="H240" s="81"/>
    </row>
    <row r="241" spans="1:8" x14ac:dyDescent="0.2">
      <c r="A241" s="40" t="str">
        <f t="shared" si="7"/>
        <v>TRAN</v>
      </c>
      <c r="B241" s="40" t="s">
        <v>214</v>
      </c>
      <c r="C241" s="79" t="s">
        <v>719</v>
      </c>
      <c r="D241" s="81" t="s">
        <v>729</v>
      </c>
      <c r="E241">
        <v>136.83333333333331</v>
      </c>
      <c r="F241" s="80"/>
      <c r="G241" s="80"/>
      <c r="H241" s="81"/>
    </row>
    <row r="242" spans="1:8" x14ac:dyDescent="0.2">
      <c r="A242" s="40" t="str">
        <f t="shared" si="7"/>
        <v>TRAN</v>
      </c>
      <c r="B242" s="40" t="s">
        <v>214</v>
      </c>
      <c r="C242" s="79" t="s">
        <v>720</v>
      </c>
      <c r="D242" s="81" t="s">
        <v>729</v>
      </c>
      <c r="E242">
        <v>133.16666666666666</v>
      </c>
      <c r="F242" s="80"/>
      <c r="G242" s="80"/>
      <c r="H242" s="81"/>
    </row>
    <row r="243" spans="1:8" x14ac:dyDescent="0.2">
      <c r="A243" s="40" t="str">
        <f t="shared" si="7"/>
        <v>TRAN</v>
      </c>
      <c r="B243" s="40" t="s">
        <v>214</v>
      </c>
      <c r="C243" s="79" t="s">
        <v>721</v>
      </c>
      <c r="D243" s="81" t="s">
        <v>729</v>
      </c>
      <c r="E243">
        <v>137.50000000000003</v>
      </c>
      <c r="F243" s="80"/>
      <c r="G243" s="80"/>
      <c r="H243" s="81"/>
    </row>
    <row r="244" spans="1:8" x14ac:dyDescent="0.2">
      <c r="A244" s="40" t="str">
        <f t="shared" si="7"/>
        <v>TRAN</v>
      </c>
      <c r="B244" s="40" t="s">
        <v>214</v>
      </c>
      <c r="C244" s="79" t="s">
        <v>715</v>
      </c>
      <c r="D244" s="81" t="s">
        <v>729</v>
      </c>
      <c r="E244">
        <v>165.85714285714283</v>
      </c>
      <c r="F244" s="80"/>
      <c r="G244" s="80"/>
      <c r="H244" s="81"/>
    </row>
    <row r="245" spans="1:8" x14ac:dyDescent="0.2">
      <c r="A245" s="40" t="str">
        <f t="shared" si="7"/>
        <v>TRAN</v>
      </c>
      <c r="B245" s="40" t="s">
        <v>214</v>
      </c>
      <c r="C245" s="79" t="s">
        <v>722</v>
      </c>
      <c r="D245" s="81" t="s">
        <v>729</v>
      </c>
      <c r="E245">
        <v>152.64285714285714</v>
      </c>
      <c r="F245" s="80"/>
      <c r="G245" s="80"/>
      <c r="H245" s="81"/>
    </row>
    <row r="246" spans="1:8" x14ac:dyDescent="0.2">
      <c r="A246" s="40" t="str">
        <f t="shared" si="7"/>
        <v>TRAN</v>
      </c>
      <c r="B246" s="40" t="s">
        <v>214</v>
      </c>
      <c r="C246" s="79" t="s">
        <v>717</v>
      </c>
      <c r="D246" s="81" t="s">
        <v>729</v>
      </c>
      <c r="E246">
        <v>166.82539682539684</v>
      </c>
      <c r="F246" s="80"/>
      <c r="G246" s="80"/>
      <c r="H246" s="81"/>
    </row>
    <row r="247" spans="1:8" x14ac:dyDescent="0.2">
      <c r="A247" s="40" t="str">
        <f t="shared" si="7"/>
        <v>TRAN</v>
      </c>
      <c r="B247" s="40" t="s">
        <v>214</v>
      </c>
      <c r="C247" s="79" t="s">
        <v>340</v>
      </c>
      <c r="D247" s="81" t="s">
        <v>729</v>
      </c>
      <c r="E247">
        <v>113.2</v>
      </c>
      <c r="F247" s="80"/>
      <c r="G247" s="80"/>
      <c r="H247" s="81"/>
    </row>
    <row r="248" spans="1:8" x14ac:dyDescent="0.2">
      <c r="A248" s="40" t="str">
        <f t="shared" si="7"/>
        <v>TRAN</v>
      </c>
      <c r="B248" s="40" t="s">
        <v>214</v>
      </c>
      <c r="C248" s="79" t="s">
        <v>341</v>
      </c>
      <c r="D248" s="81" t="s">
        <v>729</v>
      </c>
      <c r="E248">
        <v>118</v>
      </c>
      <c r="F248" s="80"/>
      <c r="G248" s="80"/>
      <c r="H248" s="81"/>
    </row>
    <row r="249" spans="1:8" x14ac:dyDescent="0.2">
      <c r="A249" s="40" t="str">
        <f t="shared" si="7"/>
        <v>TRAN</v>
      </c>
      <c r="B249" s="40" t="s">
        <v>214</v>
      </c>
      <c r="C249" s="79" t="s">
        <v>342</v>
      </c>
      <c r="D249" s="81" t="s">
        <v>729</v>
      </c>
      <c r="E249">
        <v>129</v>
      </c>
      <c r="F249" s="80"/>
      <c r="G249" s="80"/>
      <c r="H249" s="81"/>
    </row>
    <row r="250" spans="1:8" ht="28" x14ac:dyDescent="0.2">
      <c r="A250" s="40" t="str">
        <f t="shared" si="7"/>
        <v>TRAN</v>
      </c>
      <c r="B250" s="40" t="s">
        <v>214</v>
      </c>
      <c r="C250" s="79" t="s">
        <v>719</v>
      </c>
      <c r="D250" s="81" t="s">
        <v>730</v>
      </c>
      <c r="E250">
        <v>4.833333333333333</v>
      </c>
      <c r="F250" s="80"/>
      <c r="G250" s="80"/>
      <c r="H250" s="81"/>
    </row>
    <row r="251" spans="1:8" ht="28" x14ac:dyDescent="0.2">
      <c r="A251" s="40" t="str">
        <f t="shared" si="7"/>
        <v>TRAN</v>
      </c>
      <c r="B251" s="40" t="s">
        <v>214</v>
      </c>
      <c r="C251" s="79" t="s">
        <v>720</v>
      </c>
      <c r="D251" s="81" t="s">
        <v>730</v>
      </c>
      <c r="E251">
        <v>2.666666666666667</v>
      </c>
      <c r="F251" s="80"/>
      <c r="G251" s="80"/>
      <c r="H251" s="81"/>
    </row>
    <row r="252" spans="1:8" ht="28" x14ac:dyDescent="0.2">
      <c r="A252" s="40" t="str">
        <f t="shared" si="7"/>
        <v>TRAN</v>
      </c>
      <c r="B252" s="40" t="s">
        <v>214</v>
      </c>
      <c r="C252" s="79" t="s">
        <v>721</v>
      </c>
      <c r="D252" s="81" t="s">
        <v>730</v>
      </c>
      <c r="E252">
        <v>5.333333333333333</v>
      </c>
      <c r="F252" s="80"/>
      <c r="G252" s="80"/>
      <c r="H252" s="81"/>
    </row>
    <row r="253" spans="1:8" ht="28" x14ac:dyDescent="0.2">
      <c r="A253" s="40" t="str">
        <f t="shared" si="7"/>
        <v>TRAN</v>
      </c>
      <c r="B253" s="40" t="s">
        <v>214</v>
      </c>
      <c r="C253" s="79" t="s">
        <v>715</v>
      </c>
      <c r="D253" s="81" t="s">
        <v>730</v>
      </c>
      <c r="E253">
        <v>5.3333333333333339</v>
      </c>
      <c r="F253" s="80"/>
      <c r="G253" s="80"/>
      <c r="H253" s="81"/>
    </row>
    <row r="254" spans="1:8" ht="28" x14ac:dyDescent="0.2">
      <c r="A254" s="40" t="str">
        <f t="shared" si="7"/>
        <v>TRAN</v>
      </c>
      <c r="B254" s="40" t="s">
        <v>214</v>
      </c>
      <c r="C254" s="79" t="s">
        <v>722</v>
      </c>
      <c r="D254" s="81" t="s">
        <v>730</v>
      </c>
      <c r="E254">
        <v>4.5</v>
      </c>
      <c r="F254" s="80"/>
      <c r="G254" s="80"/>
      <c r="H254" s="81"/>
    </row>
    <row r="255" spans="1:8" ht="28" x14ac:dyDescent="0.2">
      <c r="A255" s="40" t="str">
        <f t="shared" si="7"/>
        <v>TRAN</v>
      </c>
      <c r="B255" s="40" t="s">
        <v>214</v>
      </c>
      <c r="C255" s="79" t="s">
        <v>717</v>
      </c>
      <c r="D255" s="81" t="s">
        <v>730</v>
      </c>
      <c r="E255">
        <v>5.1428571428571423</v>
      </c>
      <c r="F255" s="80"/>
      <c r="G255" s="80"/>
      <c r="H255" s="81"/>
    </row>
    <row r="256" spans="1:8" ht="28" x14ac:dyDescent="0.2">
      <c r="A256" s="40" t="str">
        <f t="shared" si="7"/>
        <v>TRAN</v>
      </c>
      <c r="B256" s="40" t="s">
        <v>214</v>
      </c>
      <c r="C256" s="79" t="s">
        <v>340</v>
      </c>
      <c r="D256" s="81" t="s">
        <v>730</v>
      </c>
      <c r="E256">
        <v>4.6285714285714281</v>
      </c>
      <c r="F256" s="80"/>
      <c r="G256" s="80"/>
      <c r="H256" s="81"/>
    </row>
    <row r="257" spans="1:8" ht="28" x14ac:dyDescent="0.2">
      <c r="A257" s="40" t="str">
        <f t="shared" si="7"/>
        <v>TRAN</v>
      </c>
      <c r="B257" s="40" t="s">
        <v>214</v>
      </c>
      <c r="C257" s="79" t="s">
        <v>341</v>
      </c>
      <c r="D257" s="81" t="s">
        <v>730</v>
      </c>
      <c r="E257">
        <v>8</v>
      </c>
      <c r="F257" s="80"/>
      <c r="G257" s="80"/>
      <c r="H257" s="81"/>
    </row>
    <row r="258" spans="1:8" ht="28" x14ac:dyDescent="0.2">
      <c r="A258" s="40" t="str">
        <f t="shared" si="7"/>
        <v>TRAN</v>
      </c>
      <c r="B258" s="40" t="s">
        <v>214</v>
      </c>
      <c r="C258" s="79" t="s">
        <v>342</v>
      </c>
      <c r="D258" s="81" t="s">
        <v>730</v>
      </c>
      <c r="E258">
        <v>3</v>
      </c>
      <c r="F258" s="80"/>
      <c r="G258" s="80"/>
      <c r="H258" s="81"/>
    </row>
    <row r="259" spans="1:8" ht="28" x14ac:dyDescent="0.2">
      <c r="A259" s="40" t="str">
        <f t="shared" ref="A259:A283" si="8">LEFT(B259, FIND("-", B259) - 1)</f>
        <v>TRAN</v>
      </c>
      <c r="B259" s="40" t="s">
        <v>214</v>
      </c>
      <c r="C259" s="79" t="s">
        <v>719</v>
      </c>
      <c r="D259" s="81" t="s">
        <v>731</v>
      </c>
      <c r="E259">
        <v>107.66666666666667</v>
      </c>
      <c r="F259" s="80"/>
      <c r="G259" s="80"/>
      <c r="H259" s="81"/>
    </row>
    <row r="260" spans="1:8" ht="28" x14ac:dyDescent="0.2">
      <c r="A260" s="40" t="str">
        <f t="shared" si="8"/>
        <v>TRAN</v>
      </c>
      <c r="B260" s="40" t="s">
        <v>214</v>
      </c>
      <c r="C260" s="79" t="s">
        <v>720</v>
      </c>
      <c r="D260" s="81" t="s">
        <v>731</v>
      </c>
      <c r="E260">
        <v>95.333333333333343</v>
      </c>
      <c r="F260" s="80"/>
      <c r="G260" s="80"/>
      <c r="H260" s="81"/>
    </row>
    <row r="261" spans="1:8" ht="28" x14ac:dyDescent="0.2">
      <c r="A261" s="40" t="str">
        <f t="shared" si="8"/>
        <v>TRAN</v>
      </c>
      <c r="B261" s="40" t="s">
        <v>214</v>
      </c>
      <c r="C261" s="79" t="s">
        <v>721</v>
      </c>
      <c r="D261" s="81" t="s">
        <v>731</v>
      </c>
      <c r="E261">
        <v>96.166666666666671</v>
      </c>
      <c r="F261" s="80"/>
      <c r="G261" s="80"/>
      <c r="H261" s="81"/>
    </row>
    <row r="262" spans="1:8" ht="28" x14ac:dyDescent="0.2">
      <c r="A262" s="40" t="str">
        <f t="shared" si="8"/>
        <v>TRAN</v>
      </c>
      <c r="B262" s="40" t="s">
        <v>214</v>
      </c>
      <c r="C262" s="79" t="s">
        <v>715</v>
      </c>
      <c r="D262" s="81" t="s">
        <v>731</v>
      </c>
      <c r="E262">
        <v>104.33333333333333</v>
      </c>
      <c r="F262" s="80"/>
      <c r="G262" s="80"/>
      <c r="H262" s="81"/>
    </row>
    <row r="263" spans="1:8" ht="28" x14ac:dyDescent="0.2">
      <c r="A263" s="40" t="str">
        <f t="shared" si="8"/>
        <v>TRAN</v>
      </c>
      <c r="B263" s="40" t="s">
        <v>214</v>
      </c>
      <c r="C263" s="79" t="s">
        <v>722</v>
      </c>
      <c r="D263" s="81" t="s">
        <v>731</v>
      </c>
      <c r="E263">
        <v>60.642857142857146</v>
      </c>
      <c r="F263" s="80"/>
      <c r="G263" s="80"/>
      <c r="H263" s="81"/>
    </row>
    <row r="264" spans="1:8" ht="28" x14ac:dyDescent="0.2">
      <c r="A264" s="40" t="str">
        <f t="shared" si="8"/>
        <v>TRAN</v>
      </c>
      <c r="B264" s="40" t="s">
        <v>214</v>
      </c>
      <c r="C264" s="79" t="s">
        <v>717</v>
      </c>
      <c r="D264" s="81" t="s">
        <v>731</v>
      </c>
      <c r="E264">
        <v>85.301587301587304</v>
      </c>
      <c r="F264" s="80"/>
      <c r="G264" s="80"/>
      <c r="H264" s="81"/>
    </row>
    <row r="265" spans="1:8" ht="28" x14ac:dyDescent="0.2">
      <c r="A265" s="40" t="str">
        <f t="shared" si="8"/>
        <v>TRAN</v>
      </c>
      <c r="B265" s="40" t="s">
        <v>214</v>
      </c>
      <c r="C265" s="79" t="s">
        <v>340</v>
      </c>
      <c r="D265" s="81" t="s">
        <v>731</v>
      </c>
      <c r="E265">
        <v>91.333333333333329</v>
      </c>
      <c r="F265" s="80"/>
      <c r="G265" s="80"/>
      <c r="H265" s="81"/>
    </row>
    <row r="266" spans="1:8" ht="28" x14ac:dyDescent="0.2">
      <c r="A266" s="40" t="str">
        <f t="shared" si="8"/>
        <v>TRAN</v>
      </c>
      <c r="B266" s="40" t="s">
        <v>214</v>
      </c>
      <c r="C266" s="79" t="s">
        <v>341</v>
      </c>
      <c r="D266" s="81" t="s">
        <v>731</v>
      </c>
      <c r="E266">
        <v>92</v>
      </c>
      <c r="F266" s="80"/>
      <c r="G266" s="80"/>
      <c r="H266" s="81"/>
    </row>
    <row r="267" spans="1:8" ht="28" x14ac:dyDescent="0.2">
      <c r="A267" s="40" t="str">
        <f t="shared" si="8"/>
        <v>TRAN</v>
      </c>
      <c r="B267" s="40" t="s">
        <v>214</v>
      </c>
      <c r="C267" s="79" t="s">
        <v>342</v>
      </c>
      <c r="D267" s="81" t="s">
        <v>731</v>
      </c>
      <c r="E267">
        <v>118</v>
      </c>
      <c r="F267" s="80"/>
      <c r="G267" s="80"/>
      <c r="H267" s="81"/>
    </row>
    <row r="268" spans="1:8" ht="28" x14ac:dyDescent="0.2">
      <c r="A268" s="40" t="str">
        <f t="shared" si="8"/>
        <v>TRAN</v>
      </c>
      <c r="B268" s="40" t="s">
        <v>214</v>
      </c>
      <c r="C268" s="79" t="s">
        <v>719</v>
      </c>
      <c r="D268" s="81" t="s">
        <v>732</v>
      </c>
      <c r="E268">
        <v>0</v>
      </c>
      <c r="F268" s="80"/>
      <c r="G268" s="80"/>
      <c r="H268" s="81"/>
    </row>
    <row r="269" spans="1:8" ht="28" x14ac:dyDescent="0.2">
      <c r="A269" s="40" t="str">
        <f t="shared" si="8"/>
        <v>TRAN</v>
      </c>
      <c r="B269" s="40" t="s">
        <v>214</v>
      </c>
      <c r="C269" s="79" t="s">
        <v>720</v>
      </c>
      <c r="D269" s="81" t="s">
        <v>732</v>
      </c>
      <c r="E269">
        <v>0</v>
      </c>
      <c r="F269" s="80"/>
      <c r="G269" s="80"/>
      <c r="H269" s="81"/>
    </row>
    <row r="270" spans="1:8" ht="28" x14ac:dyDescent="0.2">
      <c r="A270" s="40" t="str">
        <f t="shared" si="8"/>
        <v>TRAN</v>
      </c>
      <c r="B270" s="40" t="s">
        <v>214</v>
      </c>
      <c r="C270" s="79" t="s">
        <v>721</v>
      </c>
      <c r="D270" s="81" t="s">
        <v>732</v>
      </c>
      <c r="E270">
        <v>0</v>
      </c>
      <c r="F270" s="80"/>
      <c r="G270" s="80"/>
      <c r="H270" s="81"/>
    </row>
    <row r="271" spans="1:8" ht="28" x14ac:dyDescent="0.2">
      <c r="A271" s="40" t="str">
        <f t="shared" si="8"/>
        <v>TRAN</v>
      </c>
      <c r="B271" s="40" t="s">
        <v>214</v>
      </c>
      <c r="C271" s="79" t="s">
        <v>715</v>
      </c>
      <c r="D271" s="81" t="s">
        <v>732</v>
      </c>
      <c r="E271">
        <v>83.833333333333329</v>
      </c>
      <c r="F271" s="80"/>
      <c r="G271" s="80"/>
      <c r="H271" s="81"/>
    </row>
    <row r="272" spans="1:8" ht="28" x14ac:dyDescent="0.2">
      <c r="A272" s="40" t="str">
        <f t="shared" si="8"/>
        <v>TRAN</v>
      </c>
      <c r="B272" s="40" t="s">
        <v>214</v>
      </c>
      <c r="C272" s="79" t="s">
        <v>722</v>
      </c>
      <c r="D272" s="81" t="s">
        <v>732</v>
      </c>
      <c r="E272">
        <v>69.071428571428569</v>
      </c>
      <c r="F272" s="80"/>
      <c r="G272" s="80"/>
      <c r="H272" s="81"/>
    </row>
    <row r="273" spans="1:8" ht="28" x14ac:dyDescent="0.2">
      <c r="A273" s="40" t="str">
        <f t="shared" si="8"/>
        <v>TRAN</v>
      </c>
      <c r="B273" s="40" t="s">
        <v>214</v>
      </c>
      <c r="C273" s="79" t="s">
        <v>717</v>
      </c>
      <c r="D273" s="81" t="s">
        <v>732</v>
      </c>
      <c r="E273">
        <v>102.04761904761904</v>
      </c>
      <c r="F273" s="80"/>
      <c r="G273" s="80"/>
      <c r="H273" s="81"/>
    </row>
    <row r="274" spans="1:8" ht="28" x14ac:dyDescent="0.2">
      <c r="A274" s="40" t="str">
        <f t="shared" si="8"/>
        <v>TRAN</v>
      </c>
      <c r="B274" s="40" t="s">
        <v>214</v>
      </c>
      <c r="C274" s="79" t="s">
        <v>340</v>
      </c>
      <c r="D274" s="81" t="s">
        <v>732</v>
      </c>
      <c r="E274">
        <v>100.96825396825396</v>
      </c>
      <c r="F274" s="80"/>
      <c r="G274" s="80"/>
      <c r="H274" s="81"/>
    </row>
    <row r="275" spans="1:8" ht="28" x14ac:dyDescent="0.2">
      <c r="A275" s="40" t="str">
        <f t="shared" si="8"/>
        <v>TRAN</v>
      </c>
      <c r="B275" s="40" t="s">
        <v>214</v>
      </c>
      <c r="C275" s="79" t="s">
        <v>341</v>
      </c>
      <c r="D275" s="81" t="s">
        <v>732</v>
      </c>
      <c r="E275">
        <v>81</v>
      </c>
      <c r="F275" s="80"/>
      <c r="G275" s="80"/>
      <c r="H275" s="81"/>
    </row>
    <row r="276" spans="1:8" ht="28" x14ac:dyDescent="0.2">
      <c r="A276" s="40" t="str">
        <f t="shared" si="8"/>
        <v>TRAN</v>
      </c>
      <c r="B276" s="40" t="s">
        <v>214</v>
      </c>
      <c r="C276" s="79" t="s">
        <v>342</v>
      </c>
      <c r="D276" s="81" t="s">
        <v>732</v>
      </c>
      <c r="E276">
        <v>98</v>
      </c>
      <c r="F276" s="80"/>
      <c r="G276" s="80"/>
      <c r="H276" s="81"/>
    </row>
    <row r="277" spans="1:8" x14ac:dyDescent="0.2">
      <c r="A277" s="40" t="str">
        <f t="shared" si="8"/>
        <v>TRAN</v>
      </c>
      <c r="B277" s="40" t="s">
        <v>214</v>
      </c>
      <c r="C277" s="79" t="s">
        <v>719</v>
      </c>
      <c r="D277" s="81" t="s">
        <v>733</v>
      </c>
      <c r="E277">
        <v>0</v>
      </c>
      <c r="F277" s="80"/>
      <c r="G277" s="80"/>
      <c r="H277" s="81"/>
    </row>
    <row r="278" spans="1:8" x14ac:dyDescent="0.2">
      <c r="A278" s="40" t="str">
        <f t="shared" si="8"/>
        <v>TRAN</v>
      </c>
      <c r="B278" s="40" t="s">
        <v>214</v>
      </c>
      <c r="C278" s="79" t="s">
        <v>720</v>
      </c>
      <c r="D278" s="81" t="s">
        <v>733</v>
      </c>
      <c r="E278">
        <v>0</v>
      </c>
      <c r="F278" s="80"/>
      <c r="G278" s="80"/>
      <c r="H278" s="81"/>
    </row>
    <row r="279" spans="1:8" x14ac:dyDescent="0.2">
      <c r="A279" s="40" t="str">
        <f t="shared" si="8"/>
        <v>TRAN</v>
      </c>
      <c r="B279" s="40" t="s">
        <v>214</v>
      </c>
      <c r="C279" s="79" t="s">
        <v>721</v>
      </c>
      <c r="D279" s="81" t="s">
        <v>733</v>
      </c>
      <c r="E279">
        <v>0</v>
      </c>
      <c r="F279" s="80"/>
      <c r="G279" s="80"/>
      <c r="H279" s="81"/>
    </row>
    <row r="280" spans="1:8" x14ac:dyDescent="0.2">
      <c r="A280" s="40" t="str">
        <f t="shared" si="8"/>
        <v>TRAN</v>
      </c>
      <c r="B280" s="40" t="s">
        <v>214</v>
      </c>
      <c r="C280" s="79" t="s">
        <v>715</v>
      </c>
      <c r="D280" s="81" t="s">
        <v>733</v>
      </c>
      <c r="E280">
        <v>77.333333333333343</v>
      </c>
      <c r="F280" s="80"/>
      <c r="G280" s="80"/>
      <c r="H280" s="81"/>
    </row>
    <row r="281" spans="1:8" x14ac:dyDescent="0.2">
      <c r="A281" s="40" t="str">
        <f t="shared" si="8"/>
        <v>TRAN</v>
      </c>
      <c r="B281" s="40" t="s">
        <v>214</v>
      </c>
      <c r="C281" s="79" t="s">
        <v>722</v>
      </c>
      <c r="D281" s="81" t="s">
        <v>733</v>
      </c>
      <c r="E281">
        <v>65.666666666666671</v>
      </c>
      <c r="F281" s="80"/>
      <c r="G281" s="80"/>
      <c r="H281" s="81"/>
    </row>
    <row r="282" spans="1:8" x14ac:dyDescent="0.2">
      <c r="A282" s="40" t="str">
        <f t="shared" si="8"/>
        <v>TRAN</v>
      </c>
      <c r="B282" s="40" t="s">
        <v>214</v>
      </c>
      <c r="C282" s="79" t="s">
        <v>717</v>
      </c>
      <c r="D282" s="81" t="s">
        <v>733</v>
      </c>
      <c r="E282">
        <v>90.841269841269835</v>
      </c>
      <c r="F282" s="80"/>
      <c r="G282" s="80"/>
      <c r="H282" s="81"/>
    </row>
    <row r="283" spans="1:8" x14ac:dyDescent="0.2">
      <c r="A283" s="40" t="str">
        <f t="shared" si="8"/>
        <v>TRAN</v>
      </c>
      <c r="B283" s="40" t="s">
        <v>214</v>
      </c>
      <c r="C283" s="79" t="s">
        <v>340</v>
      </c>
      <c r="D283" s="81" t="s">
        <v>733</v>
      </c>
      <c r="E283">
        <v>106.33333333333333</v>
      </c>
      <c r="F283" s="80"/>
      <c r="G283" s="80"/>
      <c r="H283" s="81"/>
    </row>
    <row r="284" spans="1:8" x14ac:dyDescent="0.2">
      <c r="A284" s="40" t="str">
        <f t="shared" ref="A284:A285" si="9">LEFT(B284, FIND("-", B284) - 1)</f>
        <v>TRAN</v>
      </c>
      <c r="B284" s="40" t="s">
        <v>214</v>
      </c>
      <c r="C284" s="79" t="s">
        <v>341</v>
      </c>
      <c r="D284" s="81" t="s">
        <v>733</v>
      </c>
      <c r="E284">
        <v>99</v>
      </c>
      <c r="F284" s="80"/>
      <c r="G284" s="80"/>
      <c r="H284" s="81"/>
    </row>
    <row r="285" spans="1:8" x14ac:dyDescent="0.2">
      <c r="A285" s="40" t="str">
        <f t="shared" si="9"/>
        <v>TRAN</v>
      </c>
      <c r="B285" s="40" t="s">
        <v>214</v>
      </c>
      <c r="C285" s="79" t="s">
        <v>342</v>
      </c>
      <c r="D285" s="81" t="s">
        <v>733</v>
      </c>
      <c r="E285">
        <v>85</v>
      </c>
      <c r="F285" s="80"/>
      <c r="G285" s="80"/>
      <c r="H285" s="81"/>
    </row>
    <row r="286" spans="1:8" x14ac:dyDescent="0.2">
      <c r="B286" s="78"/>
      <c r="C286" s="79"/>
      <c r="D286" s="80"/>
      <c r="E286" s="80"/>
      <c r="F286" s="80"/>
      <c r="G286" s="80"/>
      <c r="H286" s="81"/>
    </row>
    <row r="287" spans="1:8" x14ac:dyDescent="0.2">
      <c r="B287" s="78"/>
      <c r="C287" s="79"/>
      <c r="D287" s="80"/>
      <c r="E287" s="80"/>
      <c r="F287" s="80"/>
      <c r="G287" s="80"/>
      <c r="H287" s="81"/>
    </row>
    <row r="288" spans="1:8" x14ac:dyDescent="0.2">
      <c r="B288" s="78"/>
      <c r="C288" s="79"/>
      <c r="D288" s="80"/>
      <c r="E288" s="80"/>
      <c r="F288" s="80"/>
      <c r="G288" s="80"/>
      <c r="H288" s="81"/>
    </row>
    <row r="289" spans="2:8" x14ac:dyDescent="0.2">
      <c r="B289" s="78"/>
      <c r="C289" s="79"/>
      <c r="D289" s="80"/>
      <c r="E289" s="80"/>
      <c r="F289" s="80"/>
      <c r="G289" s="80"/>
      <c r="H289" s="81"/>
    </row>
    <row r="290" spans="2:8" x14ac:dyDescent="0.2">
      <c r="B290" s="78"/>
      <c r="C290" s="79"/>
      <c r="D290" s="80"/>
      <c r="E290" s="80"/>
      <c r="F290" s="80"/>
      <c r="G290" s="80"/>
      <c r="H290" s="81"/>
    </row>
    <row r="291" spans="2:8" x14ac:dyDescent="0.2">
      <c r="B291" s="78"/>
      <c r="C291" s="79"/>
      <c r="D291" s="80"/>
      <c r="E291" s="80"/>
      <c r="F291" s="80"/>
      <c r="G291" s="80"/>
      <c r="H291" s="81"/>
    </row>
    <row r="292" spans="2:8" x14ac:dyDescent="0.2">
      <c r="B292" s="78"/>
      <c r="C292" s="79"/>
      <c r="D292" s="80"/>
      <c r="E292" s="80"/>
      <c r="F292" s="80"/>
      <c r="G292" s="80"/>
      <c r="H292" s="81"/>
    </row>
    <row r="293" spans="2:8" x14ac:dyDescent="0.2">
      <c r="B293" s="78"/>
      <c r="C293" s="79"/>
      <c r="D293" s="80"/>
      <c r="E293" s="80"/>
      <c r="F293" s="80"/>
      <c r="G293" s="80"/>
      <c r="H293" s="81"/>
    </row>
    <row r="294" spans="2:8" x14ac:dyDescent="0.2">
      <c r="B294" s="78"/>
      <c r="C294" s="79"/>
      <c r="D294" s="80"/>
      <c r="E294" s="80"/>
      <c r="F294" s="80"/>
      <c r="G294" s="80"/>
      <c r="H294" s="81"/>
    </row>
    <row r="295" spans="2:8" x14ac:dyDescent="0.2">
      <c r="B295" s="78"/>
      <c r="C295" s="79"/>
      <c r="D295" s="80"/>
      <c r="E295" s="80"/>
      <c r="F295" s="80"/>
      <c r="G295" s="80"/>
      <c r="H295" s="81"/>
    </row>
    <row r="296" spans="2:8" x14ac:dyDescent="0.2">
      <c r="B296" s="78"/>
      <c r="C296" s="79"/>
      <c r="D296" s="80"/>
      <c r="E296" s="80"/>
      <c r="F296" s="80"/>
      <c r="G296" s="80"/>
      <c r="H296" s="81"/>
    </row>
    <row r="297" spans="2:8" x14ac:dyDescent="0.2">
      <c r="B297" s="78"/>
      <c r="C297" s="79"/>
      <c r="D297" s="80"/>
      <c r="E297" s="80"/>
      <c r="F297" s="80"/>
      <c r="G297" s="80"/>
      <c r="H297" s="81"/>
    </row>
    <row r="298" spans="2:8" x14ac:dyDescent="0.2">
      <c r="B298" s="78"/>
      <c r="C298" s="79"/>
      <c r="D298" s="80"/>
      <c r="E298" s="80"/>
      <c r="F298" s="80"/>
      <c r="G298" s="80"/>
      <c r="H298" s="81"/>
    </row>
    <row r="299" spans="2:8" x14ac:dyDescent="0.2">
      <c r="B299" s="78"/>
      <c r="C299" s="79"/>
      <c r="D299" s="80"/>
      <c r="E299" s="80"/>
      <c r="F299" s="80"/>
      <c r="G299" s="80"/>
      <c r="H299" s="81"/>
    </row>
    <row r="300" spans="2:8" x14ac:dyDescent="0.2">
      <c r="B300" s="78"/>
      <c r="C300" s="79"/>
      <c r="D300" s="80"/>
      <c r="E300" s="80"/>
      <c r="F300" s="80"/>
      <c r="G300" s="80"/>
      <c r="H300" s="81"/>
    </row>
    <row r="301" spans="2:8" x14ac:dyDescent="0.2">
      <c r="B301" s="78"/>
      <c r="C301" s="79"/>
      <c r="D301" s="80"/>
      <c r="E301" s="80"/>
      <c r="F301" s="80"/>
      <c r="G301" s="80"/>
      <c r="H301" s="81"/>
    </row>
    <row r="302" spans="2:8" x14ac:dyDescent="0.2">
      <c r="B302" s="78"/>
      <c r="C302" s="79"/>
      <c r="D302" s="80"/>
      <c r="E302" s="80"/>
      <c r="F302" s="80"/>
      <c r="G302" s="80"/>
      <c r="H302" s="81"/>
    </row>
    <row r="303" spans="2:8" x14ac:dyDescent="0.2">
      <c r="B303" s="78"/>
      <c r="C303" s="79"/>
      <c r="D303" s="80"/>
      <c r="E303" s="80"/>
      <c r="F303" s="80"/>
      <c r="G303" s="80"/>
      <c r="H303" s="81"/>
    </row>
    <row r="304" spans="2:8" x14ac:dyDescent="0.2">
      <c r="B304" s="78"/>
      <c r="C304" s="79"/>
      <c r="D304" s="80"/>
      <c r="E304" s="80"/>
      <c r="F304" s="80"/>
      <c r="G304" s="80"/>
      <c r="H304" s="81"/>
    </row>
    <row r="305" spans="2:8" x14ac:dyDescent="0.2">
      <c r="B305" s="78"/>
      <c r="C305" s="79"/>
      <c r="D305" s="80"/>
      <c r="E305" s="80"/>
      <c r="F305" s="80"/>
      <c r="G305" s="80"/>
      <c r="H305" s="81"/>
    </row>
    <row r="306" spans="2:8" x14ac:dyDescent="0.2">
      <c r="B306" s="78"/>
      <c r="C306" s="79"/>
      <c r="D306" s="80"/>
      <c r="E306" s="80"/>
      <c r="F306" s="80"/>
      <c r="G306" s="80"/>
      <c r="H306" s="81"/>
    </row>
    <row r="307" spans="2:8" x14ac:dyDescent="0.2">
      <c r="B307" s="78"/>
      <c r="C307" s="79"/>
      <c r="D307" s="80"/>
      <c r="E307" s="80"/>
      <c r="F307" s="80"/>
      <c r="G307" s="80"/>
      <c r="H307" s="81"/>
    </row>
    <row r="308" spans="2:8" x14ac:dyDescent="0.2">
      <c r="B308" s="78"/>
      <c r="C308" s="79"/>
      <c r="D308" s="80"/>
      <c r="E308" s="80"/>
      <c r="F308" s="80"/>
      <c r="G308" s="80"/>
      <c r="H308" s="81"/>
    </row>
    <row r="309" spans="2:8" x14ac:dyDescent="0.2">
      <c r="B309" s="78"/>
      <c r="C309" s="79"/>
      <c r="D309" s="80"/>
      <c r="E309" s="80"/>
      <c r="F309" s="80"/>
      <c r="G309" s="80"/>
      <c r="H309" s="81"/>
    </row>
    <row r="310" spans="2:8" x14ac:dyDescent="0.2">
      <c r="B310" s="78"/>
      <c r="C310" s="79"/>
      <c r="D310" s="80"/>
      <c r="E310" s="80"/>
      <c r="F310" s="80"/>
      <c r="G310" s="80"/>
      <c r="H310" s="81"/>
    </row>
    <row r="311" spans="2:8" x14ac:dyDescent="0.2">
      <c r="B311" s="78"/>
      <c r="C311" s="79"/>
      <c r="D311" s="80"/>
      <c r="E311" s="80"/>
      <c r="F311" s="80"/>
      <c r="G311" s="80"/>
      <c r="H311" s="81"/>
    </row>
    <row r="312" spans="2:8" x14ac:dyDescent="0.2">
      <c r="B312" s="78"/>
      <c r="C312" s="79"/>
      <c r="D312" s="80"/>
      <c r="E312" s="80"/>
      <c r="F312" s="80"/>
      <c r="G312" s="80"/>
      <c r="H312" s="81"/>
    </row>
    <row r="313" spans="2:8" x14ac:dyDescent="0.2">
      <c r="B313" s="78"/>
      <c r="C313" s="79"/>
      <c r="D313" s="80"/>
      <c r="E313" s="80"/>
      <c r="F313" s="80"/>
      <c r="G313" s="80"/>
      <c r="H313" s="81"/>
    </row>
    <row r="314" spans="2:8" x14ac:dyDescent="0.2">
      <c r="B314" s="78"/>
      <c r="C314" s="79"/>
      <c r="D314" s="80"/>
      <c r="E314" s="80"/>
      <c r="F314" s="80"/>
      <c r="G314" s="80"/>
      <c r="H314" s="81"/>
    </row>
    <row r="315" spans="2:8" x14ac:dyDescent="0.2">
      <c r="B315" s="78"/>
      <c r="C315" s="79"/>
      <c r="D315" s="80"/>
      <c r="E315" s="80"/>
      <c r="F315" s="80"/>
      <c r="G315" s="80"/>
      <c r="H315" s="81"/>
    </row>
    <row r="316" spans="2:8" x14ac:dyDescent="0.2">
      <c r="B316" s="78"/>
      <c r="C316" s="79"/>
      <c r="D316" s="80"/>
      <c r="E316" s="80"/>
      <c r="F316" s="80"/>
      <c r="G316" s="80"/>
      <c r="H316" s="81"/>
    </row>
    <row r="317" spans="2:8" x14ac:dyDescent="0.2">
      <c r="B317" s="78"/>
      <c r="C317" s="79"/>
      <c r="D317" s="80"/>
      <c r="E317" s="80"/>
      <c r="F317" s="80"/>
      <c r="G317" s="80"/>
      <c r="H317" s="81"/>
    </row>
    <row r="318" spans="2:8" x14ac:dyDescent="0.2">
      <c r="B318" s="78"/>
      <c r="C318" s="79"/>
      <c r="D318" s="80"/>
      <c r="E318" s="80"/>
      <c r="F318" s="80"/>
      <c r="G318" s="80"/>
      <c r="H318" s="81"/>
    </row>
    <row r="319" spans="2:8" x14ac:dyDescent="0.2">
      <c r="B319" s="78"/>
      <c r="C319" s="79"/>
      <c r="D319" s="80"/>
      <c r="E319" s="80"/>
      <c r="F319" s="80"/>
      <c r="G319" s="80"/>
      <c r="H319" s="81"/>
    </row>
    <row r="320" spans="2:8" x14ac:dyDescent="0.2">
      <c r="B320" s="78"/>
      <c r="C320" s="79"/>
      <c r="D320" s="80"/>
      <c r="E320" s="80"/>
      <c r="F320" s="80"/>
      <c r="G320" s="80"/>
      <c r="H320" s="81"/>
    </row>
    <row r="321" spans="2:8" x14ac:dyDescent="0.2">
      <c r="B321" s="78"/>
      <c r="C321" s="79"/>
      <c r="D321" s="80"/>
      <c r="E321" s="80"/>
      <c r="F321" s="80"/>
      <c r="G321" s="80"/>
      <c r="H321" s="81"/>
    </row>
    <row r="322" spans="2:8" x14ac:dyDescent="0.2">
      <c r="B322" s="78"/>
      <c r="C322" s="79"/>
      <c r="D322" s="80"/>
      <c r="E322" s="80"/>
      <c r="F322" s="80"/>
      <c r="G322" s="80"/>
      <c r="H322" s="81"/>
    </row>
    <row r="323" spans="2:8" x14ac:dyDescent="0.2">
      <c r="B323" s="78"/>
      <c r="C323" s="79"/>
      <c r="D323" s="80"/>
      <c r="E323" s="80"/>
      <c r="F323" s="80"/>
      <c r="G323" s="80"/>
      <c r="H323" s="81"/>
    </row>
    <row r="324" spans="2:8" x14ac:dyDescent="0.2">
      <c r="B324" s="78"/>
      <c r="C324" s="79"/>
      <c r="D324" s="80"/>
      <c r="E324" s="80"/>
      <c r="F324" s="80"/>
      <c r="G324" s="80"/>
      <c r="H324" s="81"/>
    </row>
    <row r="325" spans="2:8" x14ac:dyDescent="0.2">
      <c r="B325" s="78"/>
      <c r="C325" s="79"/>
      <c r="D325" s="80"/>
      <c r="E325" s="80"/>
      <c r="F325" s="80"/>
      <c r="G325" s="80"/>
      <c r="H325" s="81"/>
    </row>
    <row r="326" spans="2:8" x14ac:dyDescent="0.2">
      <c r="B326" s="78"/>
      <c r="C326" s="79"/>
      <c r="D326" s="80"/>
      <c r="E326" s="80"/>
      <c r="F326" s="80"/>
      <c r="G326" s="80"/>
      <c r="H326" s="81"/>
    </row>
    <row r="327" spans="2:8" x14ac:dyDescent="0.2">
      <c r="B327" s="78"/>
      <c r="C327" s="79"/>
      <c r="D327" s="80"/>
      <c r="E327" s="80"/>
      <c r="F327" s="80"/>
      <c r="G327" s="80"/>
      <c r="H327" s="81"/>
    </row>
    <row r="328" spans="2:8" x14ac:dyDescent="0.2">
      <c r="B328" s="78"/>
      <c r="C328" s="79"/>
      <c r="D328" s="80"/>
      <c r="E328" s="80"/>
      <c r="F328" s="80"/>
      <c r="G328" s="80"/>
      <c r="H328" s="81"/>
    </row>
    <row r="329" spans="2:8" x14ac:dyDescent="0.2">
      <c r="B329" s="78"/>
      <c r="C329" s="79"/>
      <c r="D329" s="80"/>
      <c r="E329" s="80"/>
      <c r="F329" s="80"/>
      <c r="G329" s="80"/>
      <c r="H329" s="81"/>
    </row>
    <row r="330" spans="2:8" x14ac:dyDescent="0.2">
      <c r="B330" s="78"/>
      <c r="C330" s="79"/>
      <c r="D330" s="80"/>
      <c r="E330" s="80"/>
      <c r="F330" s="80"/>
      <c r="G330" s="80"/>
      <c r="H330" s="81"/>
    </row>
    <row r="331" spans="2:8" x14ac:dyDescent="0.2">
      <c r="B331" s="78"/>
      <c r="C331" s="79"/>
      <c r="D331" s="80"/>
      <c r="E331" s="80"/>
      <c r="F331" s="80"/>
      <c r="G331" s="80"/>
      <c r="H331" s="81"/>
    </row>
    <row r="332" spans="2:8" x14ac:dyDescent="0.2">
      <c r="B332" s="78"/>
      <c r="C332" s="79"/>
      <c r="D332" s="80"/>
      <c r="E332" s="80"/>
      <c r="F332" s="80"/>
      <c r="G332" s="80"/>
      <c r="H332" s="81"/>
    </row>
    <row r="333" spans="2:8" x14ac:dyDescent="0.2">
      <c r="B333" s="78"/>
      <c r="C333" s="79"/>
      <c r="D333" s="80"/>
      <c r="E333" s="80"/>
      <c r="F333" s="80"/>
      <c r="G333" s="80"/>
      <c r="H333" s="81"/>
    </row>
    <row r="334" spans="2:8" x14ac:dyDescent="0.2">
      <c r="B334" s="78"/>
      <c r="C334" s="79"/>
      <c r="D334" s="80"/>
      <c r="E334" s="80"/>
      <c r="F334" s="80"/>
      <c r="G334" s="80"/>
      <c r="H334" s="81"/>
    </row>
    <row r="335" spans="2:8" x14ac:dyDescent="0.2">
      <c r="B335" s="78"/>
      <c r="C335" s="79"/>
      <c r="D335" s="80"/>
      <c r="E335" s="80"/>
      <c r="F335" s="80"/>
      <c r="G335" s="80"/>
      <c r="H335" s="81"/>
    </row>
    <row r="336" spans="2:8" x14ac:dyDescent="0.2">
      <c r="B336" s="78"/>
      <c r="C336" s="79"/>
      <c r="D336" s="80"/>
      <c r="E336" s="80"/>
      <c r="F336" s="80"/>
      <c r="G336" s="80"/>
      <c r="H336" s="81"/>
    </row>
    <row r="337" spans="2:8" x14ac:dyDescent="0.2">
      <c r="B337" s="78"/>
      <c r="C337" s="79"/>
      <c r="D337" s="80"/>
      <c r="E337" s="80"/>
      <c r="F337" s="80"/>
      <c r="G337" s="80"/>
      <c r="H337" s="81"/>
    </row>
    <row r="338" spans="2:8" x14ac:dyDescent="0.2">
      <c r="B338" s="78"/>
      <c r="C338" s="79"/>
      <c r="D338" s="80"/>
      <c r="E338" s="80"/>
      <c r="F338" s="80"/>
      <c r="G338" s="80"/>
      <c r="H338" s="81"/>
    </row>
    <row r="339" spans="2:8" x14ac:dyDescent="0.2">
      <c r="B339" s="78"/>
      <c r="C339" s="79"/>
      <c r="D339" s="80"/>
      <c r="E339" s="80"/>
      <c r="F339" s="80"/>
      <c r="G339" s="80"/>
      <c r="H339" s="81"/>
    </row>
    <row r="340" spans="2:8" x14ac:dyDescent="0.2">
      <c r="B340" s="78"/>
      <c r="C340" s="79"/>
      <c r="D340" s="80"/>
      <c r="E340" s="80"/>
      <c r="F340" s="80"/>
      <c r="G340" s="80"/>
      <c r="H340" s="81"/>
    </row>
    <row r="341" spans="2:8" x14ac:dyDescent="0.2">
      <c r="B341" s="78"/>
      <c r="C341" s="79"/>
      <c r="D341" s="80"/>
      <c r="E341" s="80"/>
      <c r="F341" s="80"/>
      <c r="G341" s="80"/>
      <c r="H341" s="81"/>
    </row>
    <row r="342" spans="2:8" x14ac:dyDescent="0.2">
      <c r="B342" s="78"/>
      <c r="C342" s="79"/>
      <c r="D342" s="80"/>
      <c r="E342" s="80"/>
      <c r="F342" s="80"/>
      <c r="G342" s="80"/>
      <c r="H342" s="81"/>
    </row>
    <row r="343" spans="2:8" x14ac:dyDescent="0.2">
      <c r="B343" s="78"/>
      <c r="C343" s="79"/>
      <c r="D343" s="80"/>
      <c r="E343" s="80"/>
      <c r="F343" s="80"/>
      <c r="G343" s="80"/>
      <c r="H343" s="81"/>
    </row>
    <row r="344" spans="2:8" x14ac:dyDescent="0.2">
      <c r="B344" s="78"/>
      <c r="C344" s="79"/>
      <c r="D344" s="80"/>
      <c r="E344" s="80"/>
      <c r="F344" s="80"/>
      <c r="G344" s="80"/>
      <c r="H344" s="81"/>
    </row>
    <row r="345" spans="2:8" x14ac:dyDescent="0.2">
      <c r="B345" s="78"/>
      <c r="C345" s="79"/>
      <c r="D345" s="80"/>
      <c r="E345" s="80"/>
      <c r="F345" s="80"/>
      <c r="G345" s="80"/>
      <c r="H345" s="81"/>
    </row>
    <row r="346" spans="2:8" x14ac:dyDescent="0.2">
      <c r="B346" s="78"/>
      <c r="C346" s="79"/>
      <c r="D346" s="80"/>
      <c r="E346" s="80"/>
      <c r="F346" s="80"/>
      <c r="G346" s="80"/>
      <c r="H346" s="81"/>
    </row>
    <row r="347" spans="2:8" x14ac:dyDescent="0.2">
      <c r="B347" s="78"/>
      <c r="C347" s="79"/>
      <c r="D347" s="80"/>
      <c r="E347" s="80"/>
      <c r="F347" s="80"/>
      <c r="G347" s="80"/>
      <c r="H347" s="81"/>
    </row>
    <row r="348" spans="2:8" x14ac:dyDescent="0.2">
      <c r="B348" s="78"/>
      <c r="C348" s="79"/>
      <c r="D348" s="80"/>
      <c r="E348" s="80"/>
      <c r="F348" s="80"/>
      <c r="G348" s="80"/>
      <c r="H348" s="81"/>
    </row>
    <row r="349" spans="2:8" x14ac:dyDescent="0.2">
      <c r="B349" s="78"/>
      <c r="C349" s="79"/>
      <c r="D349" s="80"/>
      <c r="E349" s="80"/>
      <c r="F349" s="80"/>
      <c r="G349" s="80"/>
      <c r="H349" s="81"/>
    </row>
    <row r="350" spans="2:8" x14ac:dyDescent="0.2">
      <c r="B350" s="78"/>
      <c r="C350" s="79"/>
      <c r="D350" s="80"/>
      <c r="E350" s="80"/>
      <c r="F350" s="80"/>
      <c r="G350" s="80"/>
      <c r="H350" s="81"/>
    </row>
    <row r="351" spans="2:8" x14ac:dyDescent="0.2">
      <c r="B351" s="78"/>
      <c r="C351" s="79"/>
      <c r="D351" s="80"/>
      <c r="E351" s="80"/>
      <c r="F351" s="80"/>
      <c r="G351" s="80"/>
      <c r="H351" s="81"/>
    </row>
    <row r="352" spans="2:8" x14ac:dyDescent="0.2">
      <c r="B352" s="78"/>
      <c r="C352" s="79"/>
      <c r="D352" s="80"/>
      <c r="E352" s="80"/>
      <c r="F352" s="80"/>
      <c r="G352" s="80"/>
      <c r="H352" s="81"/>
    </row>
    <row r="353" spans="2:8" x14ac:dyDescent="0.2">
      <c r="B353" s="78"/>
      <c r="C353" s="79"/>
      <c r="D353" s="80"/>
      <c r="E353" s="80"/>
      <c r="F353" s="80"/>
      <c r="G353" s="80"/>
      <c r="H353" s="81"/>
    </row>
    <row r="354" spans="2:8" x14ac:dyDescent="0.2">
      <c r="B354" s="78"/>
      <c r="C354" s="79"/>
      <c r="D354" s="80"/>
      <c r="E354" s="80"/>
      <c r="F354" s="80"/>
      <c r="G354" s="80"/>
      <c r="H354" s="81"/>
    </row>
    <row r="355" spans="2:8" x14ac:dyDescent="0.2">
      <c r="B355" s="78"/>
      <c r="C355" s="79"/>
      <c r="D355" s="80"/>
      <c r="E355" s="80"/>
      <c r="F355" s="80"/>
      <c r="G355" s="80"/>
      <c r="H355" s="81"/>
    </row>
    <row r="356" spans="2:8" x14ac:dyDescent="0.2">
      <c r="B356" s="78"/>
      <c r="C356" s="79"/>
      <c r="D356" s="80"/>
      <c r="E356" s="80"/>
      <c r="F356" s="80"/>
      <c r="G356" s="80"/>
      <c r="H356" s="81"/>
    </row>
    <row r="357" spans="2:8" x14ac:dyDescent="0.2">
      <c r="B357" s="78"/>
      <c r="C357" s="79"/>
      <c r="D357" s="80"/>
      <c r="E357" s="80"/>
      <c r="F357" s="80"/>
      <c r="G357" s="80"/>
      <c r="H357" s="81"/>
    </row>
    <row r="358" spans="2:8" x14ac:dyDescent="0.2">
      <c r="B358" s="78"/>
      <c r="C358" s="79"/>
      <c r="D358" s="80"/>
      <c r="E358" s="80"/>
      <c r="F358" s="80"/>
      <c r="G358" s="80"/>
      <c r="H358" s="81"/>
    </row>
    <row r="359" spans="2:8" x14ac:dyDescent="0.2">
      <c r="B359" s="78"/>
      <c r="C359" s="79"/>
      <c r="D359" s="80"/>
      <c r="E359" s="80"/>
      <c r="F359" s="80"/>
      <c r="G359" s="80"/>
      <c r="H359" s="81"/>
    </row>
    <row r="360" spans="2:8" x14ac:dyDescent="0.2">
      <c r="B360" s="78"/>
      <c r="C360" s="79"/>
      <c r="D360" s="80"/>
      <c r="E360" s="80"/>
      <c r="F360" s="80"/>
      <c r="G360" s="80"/>
      <c r="H360" s="81"/>
    </row>
    <row r="361" spans="2:8" x14ac:dyDescent="0.2">
      <c r="B361" s="78"/>
      <c r="C361" s="79"/>
      <c r="D361" s="80"/>
      <c r="E361" s="80"/>
      <c r="F361" s="80"/>
      <c r="G361" s="80"/>
      <c r="H361" s="81"/>
    </row>
    <row r="362" spans="2:8" x14ac:dyDescent="0.2">
      <c r="B362" s="78"/>
      <c r="C362" s="79"/>
      <c r="D362" s="80"/>
      <c r="E362" s="80"/>
      <c r="F362" s="80"/>
      <c r="G362" s="80"/>
      <c r="H362" s="81"/>
    </row>
    <row r="363" spans="2:8" x14ac:dyDescent="0.2">
      <c r="B363" s="78"/>
      <c r="C363" s="79"/>
      <c r="D363" s="80"/>
      <c r="E363" s="80"/>
      <c r="F363" s="80"/>
      <c r="G363" s="80"/>
      <c r="H363" s="81"/>
    </row>
    <row r="364" spans="2:8" x14ac:dyDescent="0.2">
      <c r="B364" s="78"/>
      <c r="C364" s="79"/>
      <c r="D364" s="80"/>
      <c r="E364" s="80"/>
      <c r="F364" s="80"/>
      <c r="G364" s="80"/>
      <c r="H364" s="81"/>
    </row>
    <row r="365" spans="2:8" x14ac:dyDescent="0.2">
      <c r="B365" s="78"/>
      <c r="C365" s="79"/>
      <c r="D365" s="80"/>
      <c r="E365" s="80"/>
      <c r="F365" s="80"/>
      <c r="G365" s="80"/>
      <c r="H365" s="81"/>
    </row>
    <row r="366" spans="2:8" x14ac:dyDescent="0.2">
      <c r="B366" s="78"/>
      <c r="C366" s="79"/>
      <c r="D366" s="80"/>
      <c r="E366" s="80"/>
      <c r="F366" s="80"/>
      <c r="G366" s="80"/>
      <c r="H366" s="81"/>
    </row>
    <row r="367" spans="2:8" x14ac:dyDescent="0.2">
      <c r="B367" s="78"/>
      <c r="C367" s="79"/>
      <c r="D367" s="80"/>
      <c r="E367" s="80"/>
      <c r="F367" s="80"/>
      <c r="G367" s="80"/>
      <c r="H367" s="81"/>
    </row>
    <row r="368" spans="2:8" x14ac:dyDescent="0.2">
      <c r="B368" s="78"/>
      <c r="C368" s="79"/>
      <c r="D368" s="80"/>
      <c r="E368" s="80"/>
      <c r="F368" s="80"/>
      <c r="G368" s="80"/>
      <c r="H368" s="81"/>
    </row>
    <row r="369" spans="2:8" x14ac:dyDescent="0.2">
      <c r="B369" s="78"/>
      <c r="C369" s="79"/>
      <c r="D369" s="80"/>
      <c r="E369" s="80"/>
      <c r="F369" s="80"/>
      <c r="G369" s="80"/>
      <c r="H369" s="81"/>
    </row>
    <row r="370" spans="2:8" x14ac:dyDescent="0.2">
      <c r="B370" s="78"/>
      <c r="C370" s="79"/>
      <c r="D370" s="80"/>
      <c r="E370" s="80"/>
      <c r="F370" s="80"/>
      <c r="G370" s="80"/>
      <c r="H370" s="81"/>
    </row>
    <row r="371" spans="2:8" x14ac:dyDescent="0.2">
      <c r="B371" s="78"/>
      <c r="C371" s="79"/>
      <c r="D371" s="80"/>
      <c r="E371" s="80"/>
      <c r="F371" s="80"/>
      <c r="G371" s="80"/>
      <c r="H371" s="81"/>
    </row>
    <row r="372" spans="2:8" x14ac:dyDescent="0.2">
      <c r="B372" s="78"/>
      <c r="C372" s="79"/>
      <c r="D372" s="80"/>
      <c r="E372" s="80"/>
      <c r="F372" s="80"/>
      <c r="G372" s="80"/>
      <c r="H372" s="81"/>
    </row>
    <row r="373" spans="2:8" x14ac:dyDescent="0.2">
      <c r="B373" s="78"/>
      <c r="C373" s="79"/>
      <c r="D373" s="80"/>
      <c r="E373" s="80"/>
      <c r="F373" s="80"/>
      <c r="G373" s="80"/>
      <c r="H373" s="81"/>
    </row>
    <row r="374" spans="2:8" x14ac:dyDescent="0.2">
      <c r="B374" s="78"/>
      <c r="C374" s="79"/>
      <c r="D374" s="80"/>
      <c r="E374" s="80"/>
      <c r="F374" s="80"/>
      <c r="G374" s="80"/>
      <c r="H374" s="81"/>
    </row>
    <row r="375" spans="2:8" x14ac:dyDescent="0.2">
      <c r="B375" s="78"/>
      <c r="C375" s="79"/>
      <c r="D375" s="80"/>
      <c r="E375" s="80"/>
      <c r="F375" s="80"/>
      <c r="G375" s="80"/>
      <c r="H375" s="81"/>
    </row>
    <row r="376" spans="2:8" x14ac:dyDescent="0.2">
      <c r="B376" s="78"/>
      <c r="C376" s="79"/>
      <c r="D376" s="80"/>
      <c r="E376" s="80"/>
      <c r="F376" s="80"/>
      <c r="G376" s="80"/>
      <c r="H376" s="81"/>
    </row>
    <row r="377" spans="2:8" x14ac:dyDescent="0.2">
      <c r="B377" s="78"/>
      <c r="C377" s="79"/>
      <c r="D377" s="80"/>
      <c r="E377" s="80"/>
      <c r="F377" s="80"/>
      <c r="G377" s="80"/>
      <c r="H377" s="81"/>
    </row>
    <row r="378" spans="2:8" x14ac:dyDescent="0.2">
      <c r="B378" s="78"/>
      <c r="C378" s="79"/>
      <c r="D378" s="80"/>
      <c r="E378" s="80"/>
      <c r="F378" s="80"/>
      <c r="G378" s="80"/>
      <c r="H378" s="81"/>
    </row>
    <row r="379" spans="2:8" x14ac:dyDescent="0.2">
      <c r="B379" s="78"/>
      <c r="C379" s="79"/>
      <c r="D379" s="80"/>
      <c r="E379" s="80"/>
      <c r="F379" s="80"/>
      <c r="G379" s="80"/>
      <c r="H379" s="81"/>
    </row>
    <row r="380" spans="2:8" x14ac:dyDescent="0.2">
      <c r="B380" s="78"/>
      <c r="C380" s="79"/>
      <c r="D380" s="80"/>
      <c r="E380" s="80"/>
      <c r="F380" s="80"/>
      <c r="G380" s="80"/>
      <c r="H380" s="81"/>
    </row>
    <row r="381" spans="2:8" x14ac:dyDescent="0.2">
      <c r="B381" s="78"/>
      <c r="C381" s="79"/>
      <c r="D381" s="80"/>
      <c r="E381" s="80"/>
      <c r="F381" s="80"/>
      <c r="G381" s="80"/>
      <c r="H381" s="81"/>
    </row>
    <row r="382" spans="2:8" x14ac:dyDescent="0.2">
      <c r="B382" s="78"/>
      <c r="C382" s="79"/>
      <c r="D382" s="80"/>
      <c r="E382" s="80"/>
      <c r="F382" s="80"/>
      <c r="G382" s="80"/>
      <c r="H382" s="81"/>
    </row>
    <row r="383" spans="2:8" x14ac:dyDescent="0.2">
      <c r="B383" s="78"/>
      <c r="C383" s="79"/>
      <c r="D383" s="80"/>
      <c r="E383" s="80"/>
      <c r="F383" s="80"/>
      <c r="G383" s="80"/>
      <c r="H383" s="81"/>
    </row>
    <row r="384" spans="2:8" x14ac:dyDescent="0.2">
      <c r="B384" s="78"/>
      <c r="C384" s="79"/>
      <c r="D384" s="80"/>
      <c r="E384" s="80"/>
      <c r="F384" s="80"/>
      <c r="G384" s="80"/>
      <c r="H384" s="81"/>
    </row>
    <row r="385" spans="2:8" x14ac:dyDescent="0.2">
      <c r="B385" s="78"/>
      <c r="C385" s="79"/>
      <c r="D385" s="80"/>
      <c r="E385" s="80"/>
      <c r="F385" s="80"/>
      <c r="G385" s="80"/>
      <c r="H385" s="81"/>
    </row>
    <row r="386" spans="2:8" x14ac:dyDescent="0.2">
      <c r="B386" s="78"/>
      <c r="C386" s="79"/>
      <c r="D386" s="80"/>
      <c r="E386" s="80"/>
      <c r="F386" s="80"/>
      <c r="G386" s="80"/>
      <c r="H386" s="81"/>
    </row>
    <row r="387" spans="2:8" x14ac:dyDescent="0.2">
      <c r="B387" s="78"/>
      <c r="C387" s="79"/>
      <c r="D387" s="80"/>
      <c r="E387" s="80"/>
      <c r="F387" s="80"/>
      <c r="G387" s="80"/>
      <c r="H387" s="81"/>
    </row>
    <row r="388" spans="2:8" x14ac:dyDescent="0.2">
      <c r="B388" s="78"/>
      <c r="C388" s="79"/>
      <c r="D388" s="80"/>
      <c r="E388" s="80"/>
      <c r="F388" s="80"/>
      <c r="G388" s="80"/>
      <c r="H388" s="81"/>
    </row>
    <row r="389" spans="2:8" x14ac:dyDescent="0.2">
      <c r="B389" s="78"/>
      <c r="C389" s="79"/>
      <c r="D389" s="80"/>
      <c r="E389" s="80"/>
      <c r="F389" s="80"/>
      <c r="G389" s="80"/>
      <c r="H389" s="81"/>
    </row>
    <row r="390" spans="2:8" x14ac:dyDescent="0.2">
      <c r="B390" s="78"/>
      <c r="C390" s="79"/>
      <c r="D390" s="80"/>
      <c r="E390" s="80"/>
      <c r="F390" s="80"/>
      <c r="G390" s="80"/>
      <c r="H390" s="81"/>
    </row>
    <row r="391" spans="2:8" x14ac:dyDescent="0.2">
      <c r="B391" s="78"/>
      <c r="C391" s="79"/>
      <c r="D391" s="80"/>
      <c r="E391" s="80"/>
      <c r="F391" s="80"/>
      <c r="G391" s="80"/>
      <c r="H391" s="81"/>
    </row>
    <row r="392" spans="2:8" x14ac:dyDescent="0.2">
      <c r="B392" s="78"/>
      <c r="C392" s="79"/>
      <c r="D392" s="80"/>
      <c r="E392" s="80"/>
      <c r="F392" s="80"/>
      <c r="G392" s="80"/>
      <c r="H392" s="81"/>
    </row>
    <row r="393" spans="2:8" x14ac:dyDescent="0.2">
      <c r="B393" s="78"/>
      <c r="C393" s="79"/>
      <c r="D393" s="80"/>
      <c r="E393" s="80"/>
      <c r="F393" s="80"/>
      <c r="G393" s="80"/>
      <c r="H393" s="81"/>
    </row>
    <row r="394" spans="2:8" x14ac:dyDescent="0.2">
      <c r="B394" s="78"/>
      <c r="C394" s="79"/>
      <c r="D394" s="80"/>
      <c r="E394" s="80"/>
      <c r="F394" s="80"/>
      <c r="G394" s="80"/>
      <c r="H394" s="81"/>
    </row>
    <row r="395" spans="2:8" x14ac:dyDescent="0.2">
      <c r="B395" s="78"/>
      <c r="C395" s="79"/>
      <c r="D395" s="80"/>
      <c r="E395" s="80"/>
      <c r="F395" s="80"/>
      <c r="G395" s="80"/>
      <c r="H395" s="81"/>
    </row>
    <row r="396" spans="2:8" x14ac:dyDescent="0.2">
      <c r="B396" s="78"/>
      <c r="C396" s="79"/>
      <c r="D396" s="80"/>
      <c r="E396" s="80"/>
      <c r="F396" s="80"/>
      <c r="G396" s="80"/>
      <c r="H396" s="81"/>
    </row>
    <row r="397" spans="2:8" x14ac:dyDescent="0.2">
      <c r="B397" s="78"/>
      <c r="C397" s="79"/>
      <c r="D397" s="80"/>
      <c r="E397" s="80"/>
      <c r="F397" s="80"/>
      <c r="G397" s="80"/>
      <c r="H397" s="81"/>
    </row>
    <row r="398" spans="2:8" x14ac:dyDescent="0.2">
      <c r="B398" s="78"/>
      <c r="C398" s="79"/>
      <c r="D398" s="80"/>
      <c r="E398" s="80"/>
      <c r="F398" s="80"/>
      <c r="G398" s="80"/>
      <c r="H398" s="81"/>
    </row>
    <row r="399" spans="2:8" x14ac:dyDescent="0.2">
      <c r="B399" s="78"/>
      <c r="C399" s="79"/>
      <c r="D399" s="80"/>
      <c r="E399" s="80"/>
      <c r="F399" s="80"/>
      <c r="G399" s="80"/>
      <c r="H399" s="81"/>
    </row>
    <row r="400" spans="2:8" x14ac:dyDescent="0.2">
      <c r="B400" s="78"/>
      <c r="C400" s="79"/>
      <c r="D400" s="80"/>
      <c r="E400" s="80"/>
      <c r="F400" s="80"/>
      <c r="G400" s="80"/>
      <c r="H400" s="81"/>
    </row>
    <row r="401" spans="2:8" x14ac:dyDescent="0.2">
      <c r="B401" s="78"/>
      <c r="C401" s="79"/>
      <c r="D401" s="80"/>
      <c r="E401" s="80"/>
      <c r="F401" s="80"/>
      <c r="G401" s="80"/>
      <c r="H401" s="81"/>
    </row>
    <row r="402" spans="2:8" x14ac:dyDescent="0.2">
      <c r="B402" s="78"/>
      <c r="C402" s="79"/>
      <c r="D402" s="80"/>
      <c r="E402" s="80"/>
      <c r="F402" s="80"/>
      <c r="G402" s="80"/>
      <c r="H402" s="81"/>
    </row>
    <row r="403" spans="2:8" x14ac:dyDescent="0.2">
      <c r="B403" s="78"/>
      <c r="C403" s="79"/>
      <c r="D403" s="80"/>
      <c r="E403" s="80"/>
      <c r="F403" s="80"/>
      <c r="G403" s="80"/>
      <c r="H403" s="81"/>
    </row>
    <row r="404" spans="2:8" x14ac:dyDescent="0.2">
      <c r="B404" s="78"/>
      <c r="C404" s="79"/>
      <c r="D404" s="80"/>
      <c r="E404" s="80"/>
      <c r="F404" s="80"/>
      <c r="G404" s="80"/>
      <c r="H404" s="81"/>
    </row>
    <row r="405" spans="2:8" x14ac:dyDescent="0.2">
      <c r="B405" s="78"/>
      <c r="C405" s="79"/>
      <c r="D405" s="80"/>
      <c r="E405" s="80"/>
      <c r="F405" s="80"/>
      <c r="G405" s="80"/>
      <c r="H405" s="81"/>
    </row>
    <row r="406" spans="2:8" x14ac:dyDescent="0.2">
      <c r="B406" s="78"/>
      <c r="C406" s="79"/>
      <c r="D406" s="80"/>
      <c r="E406" s="80"/>
      <c r="F406" s="80"/>
      <c r="G406" s="80"/>
      <c r="H406" s="81"/>
    </row>
    <row r="407" spans="2:8" x14ac:dyDescent="0.2">
      <c r="B407" s="78"/>
      <c r="C407" s="79"/>
      <c r="D407" s="80"/>
      <c r="E407" s="80"/>
      <c r="F407" s="80"/>
      <c r="G407" s="80"/>
      <c r="H407" s="81"/>
    </row>
    <row r="408" spans="2:8" x14ac:dyDescent="0.2">
      <c r="B408" s="78"/>
      <c r="C408" s="79"/>
      <c r="D408" s="80"/>
      <c r="E408" s="80"/>
      <c r="F408" s="80"/>
      <c r="G408" s="80"/>
      <c r="H408" s="81"/>
    </row>
    <row r="409" spans="2:8" x14ac:dyDescent="0.2">
      <c r="B409" s="78"/>
      <c r="C409" s="79"/>
      <c r="D409" s="80"/>
      <c r="E409" s="80"/>
      <c r="F409" s="80"/>
      <c r="G409" s="80"/>
      <c r="H409" s="81"/>
    </row>
    <row r="410" spans="2:8" x14ac:dyDescent="0.2">
      <c r="B410" s="78"/>
      <c r="C410" s="79"/>
      <c r="D410" s="80"/>
      <c r="E410" s="80"/>
      <c r="F410" s="80"/>
      <c r="G410" s="80"/>
      <c r="H410" s="81"/>
    </row>
    <row r="411" spans="2:8" x14ac:dyDescent="0.2">
      <c r="B411" s="78"/>
      <c r="C411" s="79"/>
      <c r="D411" s="80"/>
      <c r="E411" s="80"/>
      <c r="F411" s="80"/>
      <c r="G411" s="80"/>
      <c r="H411" s="81"/>
    </row>
    <row r="412" spans="2:8" x14ac:dyDescent="0.2">
      <c r="B412" s="78"/>
      <c r="C412" s="79"/>
      <c r="D412" s="80"/>
      <c r="E412" s="80"/>
      <c r="F412" s="80"/>
      <c r="G412" s="80"/>
      <c r="H412" s="81"/>
    </row>
    <row r="413" spans="2:8" x14ac:dyDescent="0.2">
      <c r="B413" s="78"/>
      <c r="C413" s="79"/>
      <c r="D413" s="80"/>
      <c r="E413" s="80"/>
      <c r="F413" s="80"/>
      <c r="G413" s="80"/>
      <c r="H413" s="81"/>
    </row>
    <row r="414" spans="2:8" x14ac:dyDescent="0.2">
      <c r="B414" s="78"/>
      <c r="C414" s="79"/>
      <c r="D414" s="80"/>
      <c r="E414" s="80"/>
      <c r="F414" s="80"/>
      <c r="G414" s="80"/>
      <c r="H414" s="81"/>
    </row>
    <row r="415" spans="2:8" x14ac:dyDescent="0.2">
      <c r="B415" s="78"/>
      <c r="C415" s="79"/>
      <c r="D415" s="80"/>
      <c r="E415" s="80"/>
      <c r="F415" s="80"/>
      <c r="G415" s="80"/>
      <c r="H415" s="81"/>
    </row>
    <row r="416" spans="2:8" x14ac:dyDescent="0.2">
      <c r="B416" s="78"/>
      <c r="C416" s="79"/>
      <c r="D416" s="80"/>
      <c r="E416" s="80"/>
      <c r="F416" s="80"/>
      <c r="G416" s="80"/>
      <c r="H416" s="81"/>
    </row>
    <row r="417" spans="2:8" x14ac:dyDescent="0.2">
      <c r="B417" s="78"/>
      <c r="C417" s="79"/>
      <c r="D417" s="80"/>
      <c r="E417" s="80"/>
      <c r="F417" s="80"/>
      <c r="G417" s="80"/>
      <c r="H417" s="81"/>
    </row>
    <row r="418" spans="2:8" x14ac:dyDescent="0.2">
      <c r="B418" s="78"/>
      <c r="C418" s="79"/>
      <c r="D418" s="80"/>
      <c r="E418" s="80"/>
      <c r="F418" s="80"/>
      <c r="G418" s="80"/>
      <c r="H418" s="81"/>
    </row>
    <row r="419" spans="2:8" x14ac:dyDescent="0.2">
      <c r="B419" s="78"/>
      <c r="C419" s="79"/>
      <c r="D419" s="80"/>
      <c r="E419" s="80"/>
      <c r="F419" s="80"/>
      <c r="G419" s="80"/>
      <c r="H419" s="81"/>
    </row>
    <row r="420" spans="2:8" x14ac:dyDescent="0.2">
      <c r="B420" s="78"/>
      <c r="C420" s="79"/>
      <c r="D420" s="80"/>
      <c r="E420" s="80"/>
      <c r="F420" s="80"/>
      <c r="G420" s="80"/>
      <c r="H420" s="81"/>
    </row>
    <row r="421" spans="2:8" x14ac:dyDescent="0.2">
      <c r="B421" s="78"/>
      <c r="C421" s="79"/>
      <c r="D421" s="80"/>
      <c r="E421" s="80"/>
      <c r="F421" s="80"/>
      <c r="G421" s="80"/>
      <c r="H421" s="81"/>
    </row>
    <row r="422" spans="2:8" x14ac:dyDescent="0.2">
      <c r="B422" s="78"/>
      <c r="C422" s="79"/>
      <c r="D422" s="80"/>
      <c r="E422" s="80"/>
      <c r="F422" s="80"/>
      <c r="G422" s="80"/>
      <c r="H422" s="81"/>
    </row>
    <row r="423" spans="2:8" x14ac:dyDescent="0.2">
      <c r="B423" s="78"/>
      <c r="C423" s="79"/>
      <c r="D423" s="80"/>
      <c r="E423" s="80"/>
      <c r="F423" s="80"/>
      <c r="G423" s="80"/>
      <c r="H423" s="81"/>
    </row>
    <row r="424" spans="2:8" x14ac:dyDescent="0.2">
      <c r="B424" s="78"/>
      <c r="C424" s="79"/>
      <c r="D424" s="80"/>
      <c r="E424" s="80"/>
      <c r="F424" s="80"/>
      <c r="G424" s="80"/>
      <c r="H424" s="81"/>
    </row>
    <row r="425" spans="2:8" x14ac:dyDescent="0.2">
      <c r="B425" s="78"/>
      <c r="C425" s="79"/>
      <c r="D425" s="80"/>
      <c r="E425" s="80"/>
      <c r="F425" s="80"/>
      <c r="G425" s="80"/>
      <c r="H425" s="81"/>
    </row>
    <row r="426" spans="2:8" x14ac:dyDescent="0.2">
      <c r="B426" s="78"/>
      <c r="C426" s="79"/>
      <c r="D426" s="80"/>
      <c r="E426" s="80"/>
      <c r="F426" s="80"/>
      <c r="G426" s="80"/>
      <c r="H426" s="81"/>
    </row>
    <row r="427" spans="2:8" x14ac:dyDescent="0.2">
      <c r="B427" s="78"/>
      <c r="C427" s="79"/>
      <c r="D427" s="80"/>
      <c r="E427" s="80"/>
      <c r="F427" s="80"/>
      <c r="G427" s="80"/>
      <c r="H427" s="81"/>
    </row>
    <row r="428" spans="2:8" x14ac:dyDescent="0.2">
      <c r="B428" s="78"/>
      <c r="C428" s="79"/>
      <c r="D428" s="80"/>
      <c r="E428" s="80"/>
      <c r="F428" s="80"/>
      <c r="G428" s="80"/>
      <c r="H428" s="81"/>
    </row>
    <row r="429" spans="2:8" x14ac:dyDescent="0.2">
      <c r="B429" s="78"/>
      <c r="C429" s="79"/>
      <c r="D429" s="80"/>
      <c r="E429" s="80"/>
      <c r="F429" s="80"/>
      <c r="G429" s="80"/>
      <c r="H429" s="81"/>
    </row>
    <row r="430" spans="2:8" x14ac:dyDescent="0.2">
      <c r="B430" s="78"/>
      <c r="C430" s="79"/>
      <c r="D430" s="80"/>
      <c r="E430" s="80"/>
      <c r="F430" s="80"/>
      <c r="G430" s="80"/>
      <c r="H430" s="81"/>
    </row>
    <row r="431" spans="2:8" x14ac:dyDescent="0.2">
      <c r="B431" s="78"/>
      <c r="C431" s="79"/>
      <c r="D431" s="80"/>
      <c r="E431" s="80"/>
      <c r="F431" s="80"/>
      <c r="G431" s="80"/>
      <c r="H431" s="81"/>
    </row>
    <row r="432" spans="2:8" x14ac:dyDescent="0.2">
      <c r="B432" s="78"/>
      <c r="C432" s="79"/>
      <c r="D432" s="80"/>
      <c r="E432" s="80"/>
      <c r="F432" s="80"/>
      <c r="G432" s="80"/>
      <c r="H432" s="81"/>
    </row>
    <row r="433" spans="2:8" x14ac:dyDescent="0.2">
      <c r="B433" s="78"/>
      <c r="C433" s="79"/>
      <c r="D433" s="80"/>
      <c r="E433" s="80"/>
      <c r="F433" s="80"/>
      <c r="G433" s="80"/>
      <c r="H433" s="81"/>
    </row>
    <row r="434" spans="2:8" x14ac:dyDescent="0.2">
      <c r="B434" s="78"/>
      <c r="C434" s="79"/>
      <c r="D434" s="80"/>
      <c r="E434" s="80"/>
      <c r="F434" s="80"/>
      <c r="G434" s="80"/>
      <c r="H434" s="81"/>
    </row>
    <row r="435" spans="2:8" x14ac:dyDescent="0.2">
      <c r="B435" s="78"/>
      <c r="C435" s="79"/>
      <c r="D435" s="80"/>
      <c r="E435" s="80"/>
      <c r="F435" s="80"/>
      <c r="G435" s="80"/>
      <c r="H435" s="81"/>
    </row>
    <row r="436" spans="2:8" x14ac:dyDescent="0.2">
      <c r="B436" s="78"/>
      <c r="C436" s="79"/>
      <c r="D436" s="80"/>
      <c r="E436" s="80"/>
      <c r="F436" s="80"/>
      <c r="G436" s="80"/>
      <c r="H436" s="81"/>
    </row>
    <row r="437" spans="2:8" x14ac:dyDescent="0.2">
      <c r="B437" s="78"/>
      <c r="C437" s="79"/>
      <c r="D437" s="80"/>
      <c r="E437" s="80"/>
      <c r="F437" s="80"/>
      <c r="G437" s="80"/>
      <c r="H437" s="81"/>
    </row>
    <row r="438" spans="2:8" x14ac:dyDescent="0.2">
      <c r="B438" s="78"/>
      <c r="C438" s="79"/>
      <c r="D438" s="80"/>
      <c r="E438" s="80"/>
      <c r="F438" s="80"/>
      <c r="G438" s="80"/>
      <c r="H438" s="81"/>
    </row>
    <row r="439" spans="2:8" x14ac:dyDescent="0.2">
      <c r="B439" s="78"/>
      <c r="C439" s="79"/>
      <c r="D439" s="80"/>
      <c r="E439" s="80"/>
      <c r="F439" s="80"/>
      <c r="G439" s="80"/>
      <c r="H439" s="81"/>
    </row>
    <row r="440" spans="2:8" x14ac:dyDescent="0.2">
      <c r="B440" s="78"/>
      <c r="C440" s="79"/>
      <c r="D440" s="80"/>
      <c r="E440" s="80"/>
      <c r="F440" s="80"/>
      <c r="G440" s="80"/>
      <c r="H440" s="81"/>
    </row>
    <row r="441" spans="2:8" x14ac:dyDescent="0.2">
      <c r="B441" s="78"/>
      <c r="C441" s="79"/>
      <c r="D441" s="80"/>
      <c r="E441" s="80"/>
      <c r="F441" s="80"/>
      <c r="G441" s="80"/>
      <c r="H441" s="81"/>
    </row>
    <row r="442" spans="2:8" x14ac:dyDescent="0.2">
      <c r="B442" s="78"/>
      <c r="C442" s="79"/>
      <c r="D442" s="80"/>
      <c r="E442" s="80"/>
      <c r="F442" s="80"/>
      <c r="G442" s="80"/>
      <c r="H442" s="81"/>
    </row>
    <row r="443" spans="2:8" x14ac:dyDescent="0.2">
      <c r="B443" s="78"/>
      <c r="C443" s="79"/>
      <c r="D443" s="80"/>
      <c r="E443" s="80"/>
      <c r="F443" s="80"/>
      <c r="G443" s="80"/>
      <c r="H443" s="81"/>
    </row>
    <row r="444" spans="2:8" x14ac:dyDescent="0.2">
      <c r="B444" s="78"/>
      <c r="C444" s="79"/>
      <c r="D444" s="80"/>
      <c r="E444" s="80"/>
      <c r="F444" s="80"/>
      <c r="G444" s="80"/>
      <c r="H444" s="81"/>
    </row>
    <row r="445" spans="2:8" x14ac:dyDescent="0.2">
      <c r="B445" s="78"/>
      <c r="C445" s="79"/>
      <c r="D445" s="80"/>
      <c r="E445" s="80"/>
      <c r="F445" s="80"/>
      <c r="G445" s="80"/>
      <c r="H445" s="81"/>
    </row>
    <row r="446" spans="2:8" x14ac:dyDescent="0.2">
      <c r="B446" s="78"/>
      <c r="C446" s="79"/>
      <c r="D446" s="80"/>
      <c r="E446" s="80"/>
      <c r="F446" s="80"/>
      <c r="G446" s="80"/>
      <c r="H446" s="81"/>
    </row>
    <row r="447" spans="2:8" x14ac:dyDescent="0.2">
      <c r="B447" s="78"/>
      <c r="C447" s="79"/>
      <c r="D447" s="80"/>
      <c r="E447" s="80"/>
      <c r="F447" s="80"/>
      <c r="G447" s="80"/>
      <c r="H447" s="81"/>
    </row>
    <row r="448" spans="2:8" x14ac:dyDescent="0.2">
      <c r="B448" s="78"/>
      <c r="C448" s="79"/>
      <c r="D448" s="80"/>
      <c r="E448" s="80"/>
      <c r="F448" s="80"/>
      <c r="G448" s="80"/>
      <c r="H448" s="81"/>
    </row>
    <row r="449" spans="2:8" x14ac:dyDescent="0.2">
      <c r="B449" s="78"/>
      <c r="C449" s="79"/>
      <c r="D449" s="80"/>
      <c r="E449" s="80"/>
      <c r="F449" s="80"/>
      <c r="G449" s="80"/>
      <c r="H449" s="81"/>
    </row>
    <row r="450" spans="2:8" x14ac:dyDescent="0.2">
      <c r="B450" s="78"/>
      <c r="C450" s="79"/>
      <c r="D450" s="80"/>
      <c r="E450" s="80"/>
      <c r="F450" s="80"/>
      <c r="G450" s="80"/>
      <c r="H450" s="81"/>
    </row>
    <row r="451" spans="2:8" x14ac:dyDescent="0.2">
      <c r="B451" s="78"/>
      <c r="C451" s="79"/>
      <c r="D451" s="80"/>
      <c r="E451" s="80"/>
      <c r="F451" s="80"/>
      <c r="G451" s="80"/>
      <c r="H451" s="81"/>
    </row>
    <row r="452" spans="2:8" x14ac:dyDescent="0.2">
      <c r="B452" s="78"/>
      <c r="C452" s="79"/>
      <c r="D452" s="80"/>
      <c r="E452" s="80"/>
      <c r="F452" s="80"/>
      <c r="G452" s="80"/>
      <c r="H452" s="81"/>
    </row>
    <row r="453" spans="2:8" x14ac:dyDescent="0.2">
      <c r="B453" s="78"/>
      <c r="C453" s="79"/>
      <c r="D453" s="80"/>
      <c r="E453" s="80"/>
      <c r="F453" s="80"/>
      <c r="G453" s="80"/>
      <c r="H453" s="81"/>
    </row>
    <row r="454" spans="2:8" x14ac:dyDescent="0.2">
      <c r="B454" s="78"/>
      <c r="C454" s="79"/>
      <c r="D454" s="80"/>
      <c r="E454" s="80"/>
      <c r="F454" s="80"/>
      <c r="G454" s="80"/>
      <c r="H454" s="81"/>
    </row>
    <row r="455" spans="2:8" x14ac:dyDescent="0.2">
      <c r="B455" s="78"/>
      <c r="C455" s="79"/>
      <c r="D455" s="80"/>
      <c r="E455" s="80"/>
      <c r="F455" s="80"/>
      <c r="G455" s="80"/>
      <c r="H455" s="81"/>
    </row>
    <row r="456" spans="2:8" x14ac:dyDescent="0.2">
      <c r="B456" s="78"/>
      <c r="C456" s="79"/>
      <c r="D456" s="80"/>
      <c r="E456" s="80"/>
      <c r="F456" s="80"/>
      <c r="G456" s="80"/>
      <c r="H456" s="81"/>
    </row>
    <row r="457" spans="2:8" x14ac:dyDescent="0.2">
      <c r="B457" s="78"/>
      <c r="C457" s="79"/>
      <c r="D457" s="80"/>
      <c r="E457" s="80"/>
      <c r="F457" s="80"/>
      <c r="G457" s="80"/>
      <c r="H457" s="81"/>
    </row>
    <row r="458" spans="2:8" x14ac:dyDescent="0.2">
      <c r="B458" s="78"/>
      <c r="C458" s="79"/>
      <c r="D458" s="80"/>
      <c r="E458" s="80"/>
      <c r="F458" s="80"/>
      <c r="G458" s="80"/>
      <c r="H458" s="81"/>
    </row>
    <row r="459" spans="2:8" x14ac:dyDescent="0.2">
      <c r="B459" s="78"/>
      <c r="C459" s="79"/>
      <c r="D459" s="80"/>
      <c r="E459" s="80"/>
      <c r="F459" s="80"/>
      <c r="G459" s="80"/>
      <c r="H459" s="81"/>
    </row>
    <row r="460" spans="2:8" x14ac:dyDescent="0.2">
      <c r="B460" s="78"/>
      <c r="C460" s="79"/>
      <c r="D460" s="80"/>
      <c r="E460" s="80"/>
      <c r="F460" s="80"/>
      <c r="G460" s="80"/>
      <c r="H460" s="81"/>
    </row>
    <row r="461" spans="2:8" x14ac:dyDescent="0.2">
      <c r="B461" s="78"/>
      <c r="C461" s="79"/>
      <c r="D461" s="80"/>
      <c r="E461" s="80"/>
      <c r="F461" s="80"/>
      <c r="G461" s="80"/>
      <c r="H461" s="81"/>
    </row>
    <row r="462" spans="2:8" x14ac:dyDescent="0.2">
      <c r="B462" s="78"/>
      <c r="C462" s="79"/>
      <c r="D462" s="80"/>
      <c r="E462" s="80"/>
      <c r="F462" s="80"/>
      <c r="G462" s="80"/>
      <c r="H462" s="81"/>
    </row>
    <row r="463" spans="2:8" x14ac:dyDescent="0.2">
      <c r="B463" s="78"/>
      <c r="C463" s="79"/>
      <c r="D463" s="80"/>
      <c r="E463" s="80"/>
      <c r="F463" s="80"/>
      <c r="G463" s="80"/>
      <c r="H463" s="81"/>
    </row>
    <row r="464" spans="2:8" x14ac:dyDescent="0.2">
      <c r="B464" s="78"/>
      <c r="C464" s="79"/>
      <c r="D464" s="80"/>
      <c r="E464" s="80"/>
      <c r="F464" s="80"/>
      <c r="G464" s="80"/>
      <c r="H464" s="81"/>
    </row>
    <row r="465" spans="2:8" x14ac:dyDescent="0.2">
      <c r="B465" s="78"/>
      <c r="C465" s="79"/>
      <c r="D465" s="80"/>
      <c r="E465" s="80"/>
      <c r="F465" s="80"/>
      <c r="G465" s="80"/>
      <c r="H465" s="81"/>
    </row>
    <row r="466" spans="2:8" x14ac:dyDescent="0.2">
      <c r="B466" s="78"/>
      <c r="C466" s="79"/>
      <c r="D466" s="80"/>
      <c r="E466" s="80"/>
      <c r="F466" s="80"/>
      <c r="G466" s="80"/>
      <c r="H466" s="81"/>
    </row>
    <row r="467" spans="2:8" x14ac:dyDescent="0.2">
      <c r="B467" s="78"/>
      <c r="C467" s="79"/>
      <c r="D467" s="80"/>
      <c r="E467" s="80"/>
      <c r="F467" s="80"/>
      <c r="G467" s="80"/>
      <c r="H467" s="81"/>
    </row>
    <row r="468" spans="2:8" x14ac:dyDescent="0.2">
      <c r="B468" s="78"/>
      <c r="C468" s="79"/>
      <c r="D468" s="80"/>
      <c r="E468" s="80"/>
      <c r="F468" s="80"/>
      <c r="G468" s="80"/>
      <c r="H468" s="81"/>
    </row>
    <row r="469" spans="2:8" x14ac:dyDescent="0.2">
      <c r="B469" s="78"/>
      <c r="C469" s="79"/>
      <c r="D469" s="80"/>
      <c r="E469" s="80"/>
      <c r="F469" s="80"/>
      <c r="G469" s="80"/>
      <c r="H469" s="81"/>
    </row>
    <row r="470" spans="2:8" x14ac:dyDescent="0.2">
      <c r="B470" s="78"/>
      <c r="C470" s="79"/>
      <c r="D470" s="80"/>
      <c r="E470" s="80"/>
      <c r="F470" s="80"/>
      <c r="G470" s="80"/>
      <c r="H470" s="81"/>
    </row>
    <row r="471" spans="2:8" x14ac:dyDescent="0.2">
      <c r="B471" s="78"/>
      <c r="C471" s="79"/>
      <c r="D471" s="80"/>
      <c r="E471" s="80"/>
      <c r="F471" s="80"/>
      <c r="G471" s="80"/>
      <c r="H471" s="81"/>
    </row>
    <row r="472" spans="2:8" x14ac:dyDescent="0.2">
      <c r="B472" s="78"/>
      <c r="C472" s="79"/>
      <c r="D472" s="80"/>
      <c r="E472" s="80"/>
      <c r="F472" s="80"/>
      <c r="G472" s="80"/>
      <c r="H472" s="81"/>
    </row>
    <row r="473" spans="2:8" x14ac:dyDescent="0.2">
      <c r="B473" s="78"/>
      <c r="C473" s="79"/>
      <c r="D473" s="80"/>
      <c r="E473" s="80"/>
      <c r="F473" s="80"/>
      <c r="G473" s="80"/>
      <c r="H473" s="81"/>
    </row>
    <row r="474" spans="2:8" x14ac:dyDescent="0.2">
      <c r="B474" s="78"/>
      <c r="C474" s="79"/>
      <c r="D474" s="80"/>
      <c r="E474" s="80"/>
      <c r="F474" s="80"/>
      <c r="G474" s="80"/>
      <c r="H474" s="81"/>
    </row>
    <row r="475" spans="2:8" x14ac:dyDescent="0.2">
      <c r="B475" s="78"/>
      <c r="C475" s="79"/>
      <c r="D475" s="80"/>
      <c r="E475" s="80"/>
      <c r="F475" s="80"/>
      <c r="G475" s="80"/>
      <c r="H475" s="81"/>
    </row>
    <row r="476" spans="2:8" x14ac:dyDescent="0.2">
      <c r="B476" s="78"/>
      <c r="C476" s="79"/>
      <c r="D476" s="80"/>
      <c r="E476" s="80"/>
      <c r="F476" s="80"/>
      <c r="G476" s="80"/>
      <c r="H476" s="81"/>
    </row>
    <row r="477" spans="2:8" x14ac:dyDescent="0.2">
      <c r="B477" s="78"/>
      <c r="C477" s="79"/>
      <c r="D477" s="80"/>
      <c r="E477" s="80"/>
      <c r="F477" s="80"/>
      <c r="G477" s="80"/>
      <c r="H477" s="81"/>
    </row>
    <row r="478" spans="2:8" x14ac:dyDescent="0.2">
      <c r="B478" s="78"/>
      <c r="C478" s="79"/>
      <c r="D478" s="80"/>
      <c r="E478" s="80"/>
      <c r="F478" s="80"/>
      <c r="G478" s="80"/>
      <c r="H478" s="81"/>
    </row>
    <row r="479" spans="2:8" x14ac:dyDescent="0.2">
      <c r="B479" s="78"/>
      <c r="C479" s="79"/>
      <c r="D479" s="80"/>
      <c r="E479" s="80"/>
      <c r="F479" s="80"/>
      <c r="G479" s="80"/>
      <c r="H479" s="81"/>
    </row>
    <row r="480" spans="2:8" x14ac:dyDescent="0.2">
      <c r="B480" s="78"/>
      <c r="C480" s="79"/>
      <c r="D480" s="80"/>
      <c r="E480" s="80"/>
      <c r="F480" s="80"/>
      <c r="G480" s="80"/>
      <c r="H480" s="81"/>
    </row>
    <row r="481" spans="2:8" x14ac:dyDescent="0.2">
      <c r="B481" s="78"/>
      <c r="C481" s="79"/>
      <c r="D481" s="80"/>
      <c r="E481" s="80"/>
      <c r="F481" s="80"/>
      <c r="G481" s="80"/>
      <c r="H481" s="81"/>
    </row>
    <row r="482" spans="2:8" x14ac:dyDescent="0.2">
      <c r="B482" s="78"/>
      <c r="C482" s="79"/>
      <c r="D482" s="80"/>
      <c r="E482" s="80"/>
      <c r="F482" s="80"/>
      <c r="G482" s="80"/>
      <c r="H482" s="81"/>
    </row>
    <row r="483" spans="2:8" x14ac:dyDescent="0.2">
      <c r="B483" s="78"/>
      <c r="C483" s="79"/>
      <c r="D483" s="80"/>
      <c r="E483" s="80"/>
      <c r="F483" s="80"/>
      <c r="G483" s="80"/>
      <c r="H483" s="81"/>
    </row>
    <row r="484" spans="2:8" x14ac:dyDescent="0.2">
      <c r="B484" s="78"/>
      <c r="C484" s="79"/>
      <c r="D484" s="80"/>
      <c r="E484" s="80"/>
      <c r="F484" s="80"/>
      <c r="G484" s="80"/>
      <c r="H484" s="81"/>
    </row>
    <row r="485" spans="2:8" x14ac:dyDescent="0.2">
      <c r="B485" s="78"/>
      <c r="C485" s="79"/>
      <c r="D485" s="80"/>
      <c r="E485" s="80"/>
      <c r="F485" s="80"/>
      <c r="G485" s="80"/>
      <c r="H485" s="81"/>
    </row>
    <row r="486" spans="2:8" x14ac:dyDescent="0.2">
      <c r="B486" s="78"/>
      <c r="C486" s="79"/>
      <c r="D486" s="80"/>
      <c r="E486" s="80"/>
      <c r="F486" s="80"/>
      <c r="G486" s="80"/>
      <c r="H486" s="81"/>
    </row>
    <row r="487" spans="2:8" x14ac:dyDescent="0.2">
      <c r="B487" s="78"/>
      <c r="C487" s="79"/>
      <c r="D487" s="80"/>
      <c r="E487" s="80"/>
      <c r="F487" s="80"/>
      <c r="G487" s="80"/>
      <c r="H487" s="81"/>
    </row>
    <row r="488" spans="2:8" x14ac:dyDescent="0.2">
      <c r="B488" s="78"/>
      <c r="C488" s="79"/>
      <c r="D488" s="80"/>
      <c r="E488" s="80"/>
      <c r="F488" s="80"/>
      <c r="G488" s="80"/>
      <c r="H488" s="81"/>
    </row>
    <row r="489" spans="2:8" x14ac:dyDescent="0.2">
      <c r="B489" s="78"/>
      <c r="C489" s="79"/>
      <c r="D489" s="80"/>
      <c r="E489" s="80"/>
      <c r="F489" s="80"/>
      <c r="G489" s="80"/>
      <c r="H489" s="81"/>
    </row>
    <row r="490" spans="2:8" x14ac:dyDescent="0.2">
      <c r="B490" s="78"/>
      <c r="C490" s="79"/>
      <c r="D490" s="80"/>
      <c r="E490" s="80"/>
      <c r="F490" s="80"/>
      <c r="G490" s="80"/>
      <c r="H490" s="81"/>
    </row>
    <row r="491" spans="2:8" x14ac:dyDescent="0.2">
      <c r="B491" s="78"/>
      <c r="C491" s="79"/>
      <c r="D491" s="80"/>
      <c r="E491" s="80"/>
      <c r="F491" s="80"/>
      <c r="G491" s="80"/>
      <c r="H491" s="81"/>
    </row>
    <row r="492" spans="2:8" x14ac:dyDescent="0.2">
      <c r="B492" s="78"/>
      <c r="C492" s="79"/>
      <c r="D492" s="80"/>
      <c r="E492" s="80"/>
      <c r="F492" s="80"/>
      <c r="G492" s="80"/>
      <c r="H492" s="81"/>
    </row>
    <row r="493" spans="2:8" x14ac:dyDescent="0.2">
      <c r="B493" s="78"/>
      <c r="C493" s="79"/>
      <c r="D493" s="80"/>
      <c r="E493" s="80"/>
      <c r="F493" s="80"/>
      <c r="G493" s="80"/>
      <c r="H493" s="81"/>
    </row>
    <row r="494" spans="2:8" x14ac:dyDescent="0.2">
      <c r="B494" s="78"/>
      <c r="C494" s="79"/>
      <c r="D494" s="80"/>
      <c r="E494" s="80"/>
      <c r="F494" s="80"/>
      <c r="G494" s="80"/>
      <c r="H494" s="81"/>
    </row>
    <row r="495" spans="2:8" x14ac:dyDescent="0.2">
      <c r="B495" s="78"/>
      <c r="C495" s="79"/>
      <c r="D495" s="80"/>
      <c r="E495" s="80"/>
      <c r="F495" s="80"/>
      <c r="G495" s="80"/>
      <c r="H495" s="81"/>
    </row>
    <row r="496" spans="2:8" x14ac:dyDescent="0.2">
      <c r="B496" s="78"/>
      <c r="C496" s="79"/>
      <c r="D496" s="80"/>
      <c r="E496" s="80"/>
      <c r="F496" s="80"/>
      <c r="G496" s="80"/>
      <c r="H496" s="81"/>
    </row>
    <row r="497" spans="2:8" x14ac:dyDescent="0.2">
      <c r="B497" s="78"/>
      <c r="C497" s="79"/>
      <c r="D497" s="80"/>
      <c r="E497" s="80"/>
      <c r="F497" s="80"/>
      <c r="G497" s="80"/>
      <c r="H497" s="81"/>
    </row>
    <row r="498" spans="2:8" x14ac:dyDescent="0.2">
      <c r="B498" s="78"/>
      <c r="C498" s="79"/>
      <c r="D498" s="80"/>
      <c r="E498" s="80"/>
      <c r="F498" s="80"/>
      <c r="G498" s="80"/>
      <c r="H498" s="81"/>
    </row>
    <row r="499" spans="2:8" x14ac:dyDescent="0.2">
      <c r="B499" s="78"/>
      <c r="C499" s="79"/>
      <c r="D499" s="80"/>
      <c r="E499" s="80"/>
      <c r="F499" s="80"/>
      <c r="G499" s="80"/>
      <c r="H499" s="81"/>
    </row>
    <row r="500" spans="2:8" x14ac:dyDescent="0.2">
      <c r="B500" s="78"/>
      <c r="C500" s="79"/>
      <c r="D500" s="80"/>
      <c r="E500" s="80"/>
      <c r="F500" s="80"/>
      <c r="G500" s="80"/>
      <c r="H500" s="81"/>
    </row>
    <row r="501" spans="2:8" x14ac:dyDescent="0.2">
      <c r="B501" s="78"/>
      <c r="C501" s="79"/>
      <c r="D501" s="80"/>
      <c r="E501" s="80"/>
      <c r="F501" s="80"/>
      <c r="G501" s="80"/>
      <c r="H501" s="81"/>
    </row>
    <row r="502" spans="2:8" x14ac:dyDescent="0.2">
      <c r="B502" s="78"/>
      <c r="C502" s="79"/>
      <c r="D502" s="80"/>
      <c r="E502" s="80"/>
      <c r="F502" s="80"/>
      <c r="G502" s="80"/>
      <c r="H502" s="81"/>
    </row>
    <row r="503" spans="2:8" x14ac:dyDescent="0.2">
      <c r="B503" s="78"/>
      <c r="C503" s="79"/>
      <c r="D503" s="80"/>
      <c r="E503" s="80"/>
      <c r="F503" s="80"/>
      <c r="G503" s="80"/>
      <c r="H503" s="81"/>
    </row>
    <row r="504" spans="2:8" x14ac:dyDescent="0.2">
      <c r="B504" s="78"/>
      <c r="C504" s="79"/>
      <c r="D504" s="80"/>
      <c r="E504" s="80"/>
      <c r="F504" s="80"/>
      <c r="G504" s="80"/>
      <c r="H504" s="81"/>
    </row>
    <row r="505" spans="2:8" x14ac:dyDescent="0.2">
      <c r="B505" s="78"/>
      <c r="C505" s="79"/>
      <c r="D505" s="80"/>
      <c r="E505" s="80"/>
      <c r="F505" s="80"/>
      <c r="G505" s="80"/>
      <c r="H505" s="81"/>
    </row>
    <row r="506" spans="2:8" x14ac:dyDescent="0.2">
      <c r="B506" s="78"/>
      <c r="C506" s="79"/>
      <c r="D506" s="80"/>
      <c r="E506" s="80"/>
      <c r="F506" s="80"/>
      <c r="G506" s="80"/>
      <c r="H506" s="81"/>
    </row>
    <row r="507" spans="2:8" x14ac:dyDescent="0.2">
      <c r="B507" s="78"/>
      <c r="C507" s="79"/>
      <c r="D507" s="80"/>
      <c r="E507" s="80"/>
      <c r="F507" s="80"/>
      <c r="G507" s="80"/>
      <c r="H507" s="81"/>
    </row>
    <row r="508" spans="2:8" x14ac:dyDescent="0.2">
      <c r="B508" s="78"/>
      <c r="C508" s="79"/>
      <c r="D508" s="80"/>
      <c r="E508" s="80"/>
      <c r="F508" s="80"/>
      <c r="G508" s="80"/>
      <c r="H508" s="81"/>
    </row>
    <row r="509" spans="2:8" x14ac:dyDescent="0.2">
      <c r="B509" s="78"/>
      <c r="C509" s="79"/>
      <c r="D509" s="80"/>
      <c r="E509" s="80"/>
      <c r="F509" s="80"/>
      <c r="G509" s="80"/>
      <c r="H509" s="81"/>
    </row>
    <row r="510" spans="2:8" x14ac:dyDescent="0.2">
      <c r="B510" s="78"/>
      <c r="C510" s="79"/>
      <c r="D510" s="80"/>
      <c r="E510" s="80"/>
      <c r="F510" s="80"/>
      <c r="G510" s="80"/>
      <c r="H510" s="81"/>
    </row>
    <row r="511" spans="2:8" x14ac:dyDescent="0.2">
      <c r="B511" s="78"/>
      <c r="C511" s="79"/>
      <c r="D511" s="80"/>
      <c r="E511" s="80"/>
      <c r="F511" s="80"/>
      <c r="G511" s="80"/>
      <c r="H511" s="81"/>
    </row>
    <row r="512" spans="2:8" x14ac:dyDescent="0.2">
      <c r="B512" s="78"/>
      <c r="C512" s="79"/>
      <c r="D512" s="80"/>
      <c r="E512" s="80"/>
      <c r="F512" s="80"/>
      <c r="G512" s="80"/>
      <c r="H512" s="81"/>
    </row>
    <row r="513" spans="2:8" x14ac:dyDescent="0.2">
      <c r="B513" s="78"/>
      <c r="C513" s="79"/>
      <c r="D513" s="80"/>
      <c r="E513" s="80"/>
      <c r="F513" s="80"/>
      <c r="G513" s="80"/>
      <c r="H513" s="81"/>
    </row>
    <row r="514" spans="2:8" x14ac:dyDescent="0.2">
      <c r="B514" s="78"/>
      <c r="C514" s="79"/>
      <c r="D514" s="80"/>
      <c r="E514" s="80"/>
      <c r="F514" s="80"/>
      <c r="G514" s="80"/>
      <c r="H514" s="81"/>
    </row>
    <row r="515" spans="2:8" x14ac:dyDescent="0.2">
      <c r="B515" s="78"/>
      <c r="C515" s="79"/>
      <c r="D515" s="80"/>
      <c r="E515" s="80"/>
      <c r="F515" s="80"/>
      <c r="G515" s="80"/>
      <c r="H515" s="81"/>
    </row>
    <row r="516" spans="2:8" x14ac:dyDescent="0.2">
      <c r="B516" s="78"/>
      <c r="C516" s="79"/>
      <c r="D516" s="80"/>
      <c r="E516" s="80"/>
      <c r="F516" s="80"/>
      <c r="G516" s="80"/>
      <c r="H516" s="81"/>
    </row>
    <row r="517" spans="2:8" x14ac:dyDescent="0.2">
      <c r="B517" s="78"/>
      <c r="C517" s="79"/>
      <c r="D517" s="80"/>
      <c r="E517" s="80"/>
      <c r="F517" s="80"/>
      <c r="G517" s="80"/>
      <c r="H517" s="81"/>
    </row>
    <row r="518" spans="2:8" x14ac:dyDescent="0.2">
      <c r="B518" s="78"/>
      <c r="C518" s="79"/>
      <c r="D518" s="80"/>
      <c r="E518" s="80"/>
      <c r="F518" s="80"/>
      <c r="G518" s="80"/>
      <c r="H518" s="81"/>
    </row>
    <row r="519" spans="2:8" x14ac:dyDescent="0.2">
      <c r="B519" s="78"/>
      <c r="C519" s="79"/>
      <c r="D519" s="80"/>
      <c r="E519" s="80"/>
      <c r="F519" s="80"/>
      <c r="G519" s="80"/>
      <c r="H519" s="81"/>
    </row>
    <row r="520" spans="2:8" x14ac:dyDescent="0.2">
      <c r="B520" s="78"/>
      <c r="C520" s="79"/>
      <c r="D520" s="80"/>
      <c r="E520" s="80"/>
      <c r="F520" s="80"/>
      <c r="G520" s="80"/>
      <c r="H520" s="81"/>
    </row>
    <row r="521" spans="2:8" x14ac:dyDescent="0.2">
      <c r="B521" s="78"/>
      <c r="C521" s="79"/>
      <c r="D521" s="80"/>
      <c r="E521" s="80"/>
      <c r="F521" s="80"/>
      <c r="G521" s="80"/>
      <c r="H521" s="81"/>
    </row>
    <row r="522" spans="2:8" x14ac:dyDescent="0.2">
      <c r="B522" s="78"/>
      <c r="C522" s="79"/>
      <c r="D522" s="80"/>
      <c r="E522" s="80"/>
      <c r="F522" s="80"/>
      <c r="G522" s="80"/>
      <c r="H522" s="81"/>
    </row>
    <row r="523" spans="2:8" x14ac:dyDescent="0.2">
      <c r="B523" s="78"/>
      <c r="C523" s="79"/>
      <c r="D523" s="80"/>
      <c r="E523" s="80"/>
      <c r="F523" s="80"/>
      <c r="G523" s="80"/>
      <c r="H523" s="81"/>
    </row>
    <row r="524" spans="2:8" x14ac:dyDescent="0.2">
      <c r="B524" s="78"/>
      <c r="C524" s="79"/>
      <c r="D524" s="80"/>
      <c r="E524" s="80"/>
      <c r="F524" s="80"/>
      <c r="G524" s="80"/>
      <c r="H524" s="81"/>
    </row>
    <row r="525" spans="2:8" x14ac:dyDescent="0.2">
      <c r="B525" s="78"/>
      <c r="C525" s="79"/>
      <c r="D525" s="80"/>
      <c r="E525" s="80"/>
      <c r="F525" s="80"/>
      <c r="G525" s="80"/>
      <c r="H525" s="81"/>
    </row>
    <row r="526" spans="2:8" x14ac:dyDescent="0.2">
      <c r="B526" s="78"/>
      <c r="C526" s="79"/>
      <c r="D526" s="80"/>
      <c r="E526" s="80"/>
      <c r="F526" s="80"/>
      <c r="G526" s="80"/>
      <c r="H526" s="81"/>
    </row>
    <row r="527" spans="2:8" x14ac:dyDescent="0.2">
      <c r="B527" s="78"/>
      <c r="C527" s="79"/>
      <c r="D527" s="80"/>
      <c r="E527" s="80"/>
      <c r="F527" s="80"/>
      <c r="G527" s="80"/>
      <c r="H527" s="81"/>
    </row>
    <row r="528" spans="2:8" x14ac:dyDescent="0.2">
      <c r="B528" s="78"/>
      <c r="C528" s="79"/>
      <c r="D528" s="80"/>
      <c r="E528" s="80"/>
      <c r="F528" s="80"/>
      <c r="G528" s="80"/>
      <c r="H528" s="81"/>
    </row>
    <row r="529" spans="2:8" x14ac:dyDescent="0.2">
      <c r="B529" s="78"/>
      <c r="C529" s="79"/>
      <c r="D529" s="80"/>
      <c r="E529" s="80"/>
      <c r="F529" s="80"/>
      <c r="G529" s="80"/>
      <c r="H529" s="81"/>
    </row>
    <row r="530" spans="2:8" x14ac:dyDescent="0.2">
      <c r="B530" s="78"/>
      <c r="C530" s="79"/>
      <c r="D530" s="80"/>
      <c r="E530" s="80"/>
      <c r="F530" s="80"/>
      <c r="G530" s="80"/>
      <c r="H530" s="81"/>
    </row>
    <row r="531" spans="2:8" x14ac:dyDescent="0.2">
      <c r="B531" s="78"/>
      <c r="C531" s="79"/>
      <c r="D531" s="80"/>
      <c r="E531" s="80"/>
      <c r="F531" s="80"/>
      <c r="G531" s="80"/>
      <c r="H531" s="81"/>
    </row>
    <row r="532" spans="2:8" x14ac:dyDescent="0.2">
      <c r="B532" s="78"/>
      <c r="C532" s="79"/>
      <c r="D532" s="80"/>
      <c r="E532" s="80"/>
      <c r="F532" s="80"/>
      <c r="G532" s="80"/>
      <c r="H532" s="81"/>
    </row>
    <row r="533" spans="2:8" x14ac:dyDescent="0.2">
      <c r="B533" s="78"/>
      <c r="C533" s="79"/>
      <c r="D533" s="80"/>
      <c r="E533" s="80"/>
      <c r="F533" s="80"/>
      <c r="G533" s="80"/>
      <c r="H533" s="81"/>
    </row>
    <row r="534" spans="2:8" x14ac:dyDescent="0.2">
      <c r="B534" s="78"/>
      <c r="C534" s="79"/>
      <c r="D534" s="80"/>
      <c r="E534" s="80"/>
      <c r="F534" s="80"/>
      <c r="G534" s="80"/>
      <c r="H534" s="81"/>
    </row>
    <row r="535" spans="2:8" x14ac:dyDescent="0.2">
      <c r="B535" s="78"/>
      <c r="C535" s="79"/>
      <c r="D535" s="80"/>
      <c r="E535" s="80"/>
      <c r="F535" s="80"/>
      <c r="G535" s="80"/>
      <c r="H535" s="81"/>
    </row>
    <row r="536" spans="2:8" x14ac:dyDescent="0.2">
      <c r="B536" s="78"/>
      <c r="C536" s="79"/>
      <c r="D536" s="80"/>
      <c r="E536" s="80"/>
      <c r="F536" s="80"/>
      <c r="G536" s="80"/>
      <c r="H536" s="81"/>
    </row>
    <row r="537" spans="2:8" x14ac:dyDescent="0.2">
      <c r="B537" s="78"/>
      <c r="C537" s="79"/>
      <c r="D537" s="80"/>
      <c r="E537" s="80"/>
      <c r="F537" s="80"/>
      <c r="G537" s="80"/>
      <c r="H537" s="81"/>
    </row>
    <row r="538" spans="2:8" x14ac:dyDescent="0.2">
      <c r="B538" s="78"/>
      <c r="C538" s="79"/>
      <c r="D538" s="80"/>
      <c r="E538" s="80"/>
      <c r="F538" s="80"/>
      <c r="G538" s="80"/>
      <c r="H538" s="81"/>
    </row>
    <row r="539" spans="2:8" x14ac:dyDescent="0.2">
      <c r="B539" s="78"/>
      <c r="C539" s="79"/>
      <c r="D539" s="80"/>
      <c r="E539" s="80"/>
      <c r="F539" s="80"/>
      <c r="G539" s="80"/>
      <c r="H539" s="81"/>
    </row>
    <row r="540" spans="2:8" x14ac:dyDescent="0.2">
      <c r="B540" s="78"/>
      <c r="C540" s="79"/>
      <c r="D540" s="80"/>
      <c r="E540" s="80"/>
      <c r="F540" s="80"/>
      <c r="G540" s="80"/>
      <c r="H540" s="81"/>
    </row>
    <row r="541" spans="2:8" x14ac:dyDescent="0.2">
      <c r="B541" s="78"/>
      <c r="C541" s="79"/>
      <c r="D541" s="80"/>
      <c r="E541" s="80"/>
      <c r="F541" s="80"/>
      <c r="G541" s="80"/>
      <c r="H541" s="81"/>
    </row>
    <row r="542" spans="2:8" x14ac:dyDescent="0.2">
      <c r="B542" s="78"/>
      <c r="C542" s="79"/>
      <c r="D542" s="80"/>
      <c r="E542" s="80"/>
      <c r="F542" s="80"/>
      <c r="G542" s="80"/>
      <c r="H542" s="81"/>
    </row>
    <row r="543" spans="2:8" x14ac:dyDescent="0.2">
      <c r="B543" s="78"/>
      <c r="C543" s="79"/>
      <c r="D543" s="80"/>
      <c r="E543" s="80"/>
      <c r="F543" s="80"/>
      <c r="G543" s="80"/>
      <c r="H543" s="81"/>
    </row>
    <row r="544" spans="2:8" x14ac:dyDescent="0.2">
      <c r="B544" s="78"/>
      <c r="C544" s="79"/>
      <c r="D544" s="80"/>
      <c r="E544" s="80"/>
      <c r="F544" s="80"/>
      <c r="G544" s="80"/>
      <c r="H544" s="81"/>
    </row>
    <row r="545" spans="2:8" x14ac:dyDescent="0.2">
      <c r="B545" s="78"/>
      <c r="C545" s="79"/>
      <c r="D545" s="80"/>
      <c r="E545" s="80"/>
      <c r="F545" s="80"/>
      <c r="G545" s="80"/>
      <c r="H545" s="81"/>
    </row>
    <row r="546" spans="2:8" x14ac:dyDescent="0.2">
      <c r="B546" s="78"/>
      <c r="C546" s="79"/>
      <c r="D546" s="80"/>
      <c r="E546" s="80"/>
      <c r="F546" s="80"/>
      <c r="G546" s="80"/>
      <c r="H546" s="81"/>
    </row>
    <row r="547" spans="2:8" x14ac:dyDescent="0.2">
      <c r="B547" s="78"/>
      <c r="C547" s="79"/>
      <c r="D547" s="80"/>
      <c r="E547" s="80"/>
      <c r="F547" s="80"/>
      <c r="G547" s="80"/>
      <c r="H547" s="81"/>
    </row>
    <row r="548" spans="2:8" x14ac:dyDescent="0.2">
      <c r="B548" s="78"/>
      <c r="C548" s="79"/>
      <c r="D548" s="80"/>
      <c r="E548" s="80"/>
      <c r="F548" s="80"/>
      <c r="G548" s="80"/>
      <c r="H548" s="81"/>
    </row>
    <row r="549" spans="2:8" x14ac:dyDescent="0.2">
      <c r="B549" s="78"/>
      <c r="C549" s="79"/>
      <c r="D549" s="80"/>
      <c r="E549" s="80"/>
      <c r="F549" s="80"/>
      <c r="G549" s="80"/>
      <c r="H549" s="81"/>
    </row>
    <row r="550" spans="2:8" x14ac:dyDescent="0.2">
      <c r="B550" s="78"/>
      <c r="C550" s="79"/>
      <c r="D550" s="80"/>
      <c r="E550" s="80"/>
      <c r="F550" s="80"/>
      <c r="G550" s="80"/>
      <c r="H550" s="81"/>
    </row>
    <row r="551" spans="2:8" x14ac:dyDescent="0.2">
      <c r="B551" s="78"/>
      <c r="C551" s="79"/>
      <c r="D551" s="80"/>
      <c r="E551" s="80"/>
      <c r="F551" s="80"/>
      <c r="G551" s="80"/>
      <c r="H551" s="81"/>
    </row>
    <row r="552" spans="2:8" x14ac:dyDescent="0.2">
      <c r="B552" s="78"/>
      <c r="C552" s="79"/>
      <c r="D552" s="80"/>
      <c r="E552" s="80"/>
      <c r="F552" s="80"/>
      <c r="G552" s="80"/>
      <c r="H552" s="81"/>
    </row>
    <row r="553" spans="2:8" x14ac:dyDescent="0.2">
      <c r="B553" s="78"/>
      <c r="C553" s="79"/>
      <c r="D553" s="80"/>
      <c r="E553" s="80"/>
      <c r="F553" s="80"/>
      <c r="G553" s="80"/>
      <c r="H553" s="81"/>
    </row>
    <row r="554" spans="2:8" x14ac:dyDescent="0.2">
      <c r="B554" s="78"/>
      <c r="C554" s="79"/>
      <c r="D554" s="80"/>
      <c r="E554" s="80"/>
      <c r="F554" s="80"/>
      <c r="G554" s="80"/>
      <c r="H554" s="81"/>
    </row>
    <row r="555" spans="2:8" x14ac:dyDescent="0.2">
      <c r="B555" s="78"/>
      <c r="C555" s="79"/>
      <c r="D555" s="80"/>
      <c r="E555" s="80"/>
      <c r="F555" s="80"/>
      <c r="G555" s="80"/>
      <c r="H555" s="81"/>
    </row>
    <row r="556" spans="2:8" x14ac:dyDescent="0.2">
      <c r="B556" s="78"/>
      <c r="C556" s="79"/>
      <c r="D556" s="80"/>
      <c r="E556" s="80"/>
      <c r="F556" s="80"/>
      <c r="G556" s="80"/>
      <c r="H556" s="81"/>
    </row>
    <row r="557" spans="2:8" x14ac:dyDescent="0.2">
      <c r="B557" s="78"/>
      <c r="C557" s="79"/>
      <c r="D557" s="80"/>
      <c r="E557" s="80"/>
      <c r="F557" s="80"/>
      <c r="G557" s="80"/>
      <c r="H557" s="81"/>
    </row>
    <row r="558" spans="2:8" x14ac:dyDescent="0.2">
      <c r="B558" s="78"/>
      <c r="C558" s="79"/>
      <c r="D558" s="80"/>
      <c r="E558" s="80"/>
      <c r="F558" s="80"/>
      <c r="G558" s="80"/>
      <c r="H558" s="81"/>
    </row>
    <row r="559" spans="2:8" x14ac:dyDescent="0.2">
      <c r="B559" s="78"/>
      <c r="C559" s="79"/>
      <c r="D559" s="80"/>
      <c r="E559" s="80"/>
      <c r="F559" s="80"/>
      <c r="G559" s="80"/>
      <c r="H559" s="81"/>
    </row>
    <row r="560" spans="2:8" x14ac:dyDescent="0.2">
      <c r="B560" s="78"/>
      <c r="C560" s="79"/>
      <c r="D560" s="80"/>
      <c r="E560" s="80"/>
      <c r="F560" s="80"/>
      <c r="G560" s="80"/>
      <c r="H560" s="81"/>
    </row>
    <row r="561" spans="2:8" x14ac:dyDescent="0.2">
      <c r="B561" s="78"/>
      <c r="C561" s="79"/>
      <c r="D561" s="80"/>
      <c r="E561" s="80"/>
      <c r="F561" s="80"/>
      <c r="G561" s="80"/>
      <c r="H561" s="81"/>
    </row>
    <row r="562" spans="2:8" x14ac:dyDescent="0.2">
      <c r="B562" s="78"/>
      <c r="C562" s="79"/>
      <c r="D562" s="80"/>
      <c r="E562" s="80"/>
      <c r="F562" s="80"/>
      <c r="G562" s="80"/>
      <c r="H562" s="81"/>
    </row>
    <row r="563" spans="2:8" x14ac:dyDescent="0.2">
      <c r="B563" s="78"/>
      <c r="C563" s="79"/>
      <c r="D563" s="80"/>
      <c r="E563" s="80"/>
      <c r="F563" s="80"/>
      <c r="G563" s="80"/>
      <c r="H563" s="81"/>
    </row>
    <row r="564" spans="2:8" x14ac:dyDescent="0.2">
      <c r="B564" s="78"/>
      <c r="C564" s="79"/>
      <c r="D564" s="80"/>
      <c r="E564" s="80"/>
      <c r="F564" s="80"/>
      <c r="G564" s="80"/>
      <c r="H564" s="81"/>
    </row>
    <row r="565" spans="2:8" x14ac:dyDescent="0.2">
      <c r="B565" s="78"/>
      <c r="C565" s="79"/>
      <c r="D565" s="80"/>
      <c r="E565" s="80"/>
      <c r="F565" s="80"/>
      <c r="G565" s="80"/>
      <c r="H565" s="81"/>
    </row>
    <row r="566" spans="2:8" x14ac:dyDescent="0.2">
      <c r="B566" s="78"/>
      <c r="C566" s="79"/>
      <c r="D566" s="80"/>
      <c r="E566" s="80"/>
      <c r="F566" s="80"/>
      <c r="G566" s="80"/>
      <c r="H566" s="81"/>
    </row>
    <row r="567" spans="2:8" x14ac:dyDescent="0.2">
      <c r="B567" s="78"/>
      <c r="C567" s="79"/>
      <c r="D567" s="80"/>
      <c r="E567" s="80"/>
      <c r="F567" s="80"/>
      <c r="G567" s="80"/>
      <c r="H567" s="81"/>
    </row>
    <row r="568" spans="2:8" x14ac:dyDescent="0.2">
      <c r="B568" s="78"/>
      <c r="C568" s="79"/>
      <c r="D568" s="80"/>
      <c r="E568" s="80"/>
      <c r="F568" s="80"/>
      <c r="G568" s="80"/>
      <c r="H568" s="81"/>
    </row>
    <row r="569" spans="2:8" x14ac:dyDescent="0.2">
      <c r="B569" s="78"/>
      <c r="C569" s="79"/>
      <c r="D569" s="80"/>
      <c r="E569" s="80"/>
      <c r="F569" s="80"/>
      <c r="G569" s="80"/>
      <c r="H569" s="81"/>
    </row>
    <row r="570" spans="2:8" x14ac:dyDescent="0.2">
      <c r="B570" s="78"/>
      <c r="C570" s="79"/>
      <c r="D570" s="80"/>
      <c r="E570" s="80"/>
      <c r="F570" s="80"/>
      <c r="G570" s="80"/>
      <c r="H570" s="81"/>
    </row>
    <row r="571" spans="2:8" x14ac:dyDescent="0.2">
      <c r="B571" s="78"/>
      <c r="C571" s="79"/>
      <c r="D571" s="80"/>
      <c r="E571" s="80"/>
      <c r="F571" s="80"/>
      <c r="G571" s="80"/>
      <c r="H571" s="81"/>
    </row>
    <row r="572" spans="2:8" x14ac:dyDescent="0.2">
      <c r="B572" s="78"/>
      <c r="C572" s="79"/>
      <c r="D572" s="80"/>
      <c r="E572" s="80"/>
      <c r="F572" s="80"/>
      <c r="G572" s="80"/>
      <c r="H572" s="81"/>
    </row>
    <row r="573" spans="2:8" x14ac:dyDescent="0.2">
      <c r="B573" s="78"/>
      <c r="C573" s="79"/>
      <c r="D573" s="80"/>
      <c r="E573" s="80"/>
      <c r="F573" s="80"/>
      <c r="G573" s="80"/>
      <c r="H573" s="81"/>
    </row>
    <row r="574" spans="2:8" x14ac:dyDescent="0.2">
      <c r="B574" s="78"/>
      <c r="C574" s="79"/>
      <c r="D574" s="80"/>
      <c r="E574" s="80"/>
      <c r="F574" s="80"/>
      <c r="G574" s="80"/>
      <c r="H574" s="81"/>
    </row>
    <row r="575" spans="2:8" x14ac:dyDescent="0.2">
      <c r="B575" s="78"/>
      <c r="C575" s="79"/>
      <c r="D575" s="80"/>
      <c r="E575" s="80"/>
      <c r="F575" s="80"/>
      <c r="G575" s="80"/>
      <c r="H575" s="81"/>
    </row>
    <row r="576" spans="2:8" x14ac:dyDescent="0.2">
      <c r="B576" s="78"/>
      <c r="C576" s="79"/>
      <c r="D576" s="80"/>
      <c r="E576" s="80"/>
      <c r="F576" s="80"/>
      <c r="G576" s="80"/>
      <c r="H576" s="81"/>
    </row>
    <row r="577" spans="2:8" x14ac:dyDescent="0.2">
      <c r="B577" s="78"/>
      <c r="C577" s="79"/>
      <c r="D577" s="80"/>
      <c r="E577" s="80"/>
      <c r="F577" s="80"/>
      <c r="G577" s="80"/>
      <c r="H577" s="81"/>
    </row>
    <row r="578" spans="2:8" x14ac:dyDescent="0.2">
      <c r="B578" s="78"/>
      <c r="C578" s="79"/>
      <c r="D578" s="80"/>
      <c r="E578" s="80"/>
      <c r="F578" s="80"/>
      <c r="G578" s="80"/>
      <c r="H578" s="81"/>
    </row>
    <row r="579" spans="2:8" x14ac:dyDescent="0.2">
      <c r="B579" s="78"/>
      <c r="C579" s="79"/>
      <c r="D579" s="80"/>
      <c r="E579" s="80"/>
      <c r="F579" s="80"/>
      <c r="G579" s="80"/>
      <c r="H579" s="81"/>
    </row>
    <row r="580" spans="2:8" x14ac:dyDescent="0.2">
      <c r="B580" s="78"/>
      <c r="C580" s="79"/>
      <c r="D580" s="80"/>
      <c r="E580" s="80"/>
      <c r="F580" s="80"/>
      <c r="G580" s="80"/>
      <c r="H580" s="81"/>
    </row>
    <row r="581" spans="2:8" x14ac:dyDescent="0.2">
      <c r="B581" s="78"/>
      <c r="C581" s="79"/>
      <c r="D581" s="80"/>
      <c r="E581" s="80"/>
      <c r="F581" s="80"/>
      <c r="G581" s="80"/>
      <c r="H581" s="81"/>
    </row>
    <row r="582" spans="2:8" x14ac:dyDescent="0.2">
      <c r="B582" s="78"/>
      <c r="C582" s="79"/>
      <c r="D582" s="80"/>
      <c r="E582" s="80"/>
      <c r="F582" s="80"/>
      <c r="G582" s="80"/>
      <c r="H582" s="81"/>
    </row>
    <row r="583" spans="2:8" x14ac:dyDescent="0.2">
      <c r="B583" s="78"/>
      <c r="C583" s="79"/>
      <c r="D583" s="80"/>
      <c r="E583" s="80"/>
      <c r="F583" s="80"/>
      <c r="G583" s="80"/>
      <c r="H583" s="81"/>
    </row>
    <row r="584" spans="2:8" x14ac:dyDescent="0.2">
      <c r="B584" s="78"/>
      <c r="C584" s="79"/>
      <c r="D584" s="80"/>
      <c r="E584" s="80"/>
      <c r="F584" s="80"/>
      <c r="G584" s="80"/>
      <c r="H584" s="81"/>
    </row>
    <row r="585" spans="2:8" x14ac:dyDescent="0.2">
      <c r="B585" s="78"/>
      <c r="C585" s="79"/>
      <c r="D585" s="80"/>
      <c r="E585" s="80"/>
      <c r="F585" s="80"/>
      <c r="G585" s="80"/>
      <c r="H585" s="81"/>
    </row>
    <row r="586" spans="2:8" x14ac:dyDescent="0.2">
      <c r="B586" s="78"/>
      <c r="C586" s="79"/>
      <c r="D586" s="80"/>
      <c r="E586" s="80"/>
      <c r="F586" s="80"/>
      <c r="G586" s="80"/>
      <c r="H586" s="81"/>
    </row>
    <row r="587" spans="2:8" x14ac:dyDescent="0.2">
      <c r="B587" s="78"/>
      <c r="C587" s="79"/>
      <c r="D587" s="80"/>
      <c r="E587" s="80"/>
      <c r="F587" s="80"/>
      <c r="G587" s="80"/>
      <c r="H587" s="81"/>
    </row>
    <row r="588" spans="2:8" x14ac:dyDescent="0.2">
      <c r="B588" s="78"/>
      <c r="C588" s="79"/>
      <c r="D588" s="80"/>
      <c r="E588" s="80"/>
      <c r="F588" s="80"/>
      <c r="G588" s="80"/>
      <c r="H588" s="81"/>
    </row>
    <row r="589" spans="2:8" x14ac:dyDescent="0.2">
      <c r="B589" s="78"/>
      <c r="C589" s="79"/>
      <c r="D589" s="80"/>
      <c r="E589" s="80"/>
      <c r="F589" s="80"/>
      <c r="G589" s="80"/>
      <c r="H589" s="81"/>
    </row>
    <row r="590" spans="2:8" x14ac:dyDescent="0.2">
      <c r="B590" s="78"/>
      <c r="C590" s="79"/>
      <c r="D590" s="80"/>
      <c r="E590" s="80"/>
      <c r="F590" s="80"/>
      <c r="G590" s="80"/>
      <c r="H590" s="81"/>
    </row>
    <row r="591" spans="2:8" x14ac:dyDescent="0.2">
      <c r="B591" s="78"/>
      <c r="C591" s="79"/>
      <c r="D591" s="80"/>
      <c r="E591" s="80"/>
      <c r="F591" s="80"/>
      <c r="G591" s="80"/>
      <c r="H591" s="81"/>
    </row>
    <row r="592" spans="2:8" x14ac:dyDescent="0.2">
      <c r="B592" s="78"/>
      <c r="C592" s="79"/>
      <c r="D592" s="80"/>
      <c r="E592" s="80"/>
      <c r="F592" s="80"/>
      <c r="G592" s="80"/>
      <c r="H592" s="81"/>
    </row>
    <row r="593" spans="2:8" x14ac:dyDescent="0.2">
      <c r="B593" s="78"/>
      <c r="C593" s="79"/>
      <c r="D593" s="80"/>
      <c r="E593" s="80"/>
      <c r="F593" s="80"/>
      <c r="G593" s="80"/>
      <c r="H593" s="81"/>
    </row>
    <row r="594" spans="2:8" x14ac:dyDescent="0.2">
      <c r="B594" s="78"/>
      <c r="C594" s="79"/>
      <c r="D594" s="80"/>
      <c r="E594" s="80"/>
      <c r="F594" s="80"/>
      <c r="G594" s="80"/>
      <c r="H594" s="81"/>
    </row>
    <row r="595" spans="2:8" x14ac:dyDescent="0.2">
      <c r="B595" s="78"/>
      <c r="C595" s="79"/>
      <c r="D595" s="80"/>
      <c r="E595" s="80"/>
      <c r="F595" s="80"/>
      <c r="G595" s="80"/>
      <c r="H595" s="81"/>
    </row>
    <row r="596" spans="2:8" x14ac:dyDescent="0.2">
      <c r="B596" s="78"/>
      <c r="C596" s="79"/>
      <c r="D596" s="80"/>
      <c r="E596" s="80"/>
      <c r="F596" s="80"/>
      <c r="G596" s="80"/>
      <c r="H596" s="81"/>
    </row>
    <row r="597" spans="2:8" x14ac:dyDescent="0.2">
      <c r="B597" s="78"/>
      <c r="C597" s="79"/>
      <c r="D597" s="80"/>
      <c r="E597" s="80"/>
      <c r="F597" s="80"/>
      <c r="G597" s="80"/>
      <c r="H597" s="81"/>
    </row>
    <row r="598" spans="2:8" x14ac:dyDescent="0.2">
      <c r="B598" s="78"/>
      <c r="C598" s="79"/>
      <c r="D598" s="80"/>
      <c r="E598" s="80"/>
      <c r="F598" s="80"/>
      <c r="G598" s="80"/>
      <c r="H598" s="81"/>
    </row>
    <row r="599" spans="2:8" x14ac:dyDescent="0.2">
      <c r="B599" s="78"/>
      <c r="C599" s="79"/>
      <c r="D599" s="80"/>
      <c r="E599" s="80"/>
      <c r="F599" s="80"/>
      <c r="G599" s="80"/>
      <c r="H599" s="81"/>
    </row>
    <row r="600" spans="2:8" x14ac:dyDescent="0.2">
      <c r="B600" s="78"/>
      <c r="C600" s="79"/>
      <c r="D600" s="80"/>
      <c r="E600" s="80"/>
      <c r="F600" s="80"/>
      <c r="G600" s="80"/>
      <c r="H600" s="81"/>
    </row>
    <row r="601" spans="2:8" x14ac:dyDescent="0.2">
      <c r="B601" s="78"/>
      <c r="C601" s="79"/>
      <c r="D601" s="80"/>
      <c r="E601" s="80"/>
      <c r="F601" s="80"/>
      <c r="G601" s="80"/>
      <c r="H601" s="81"/>
    </row>
    <row r="602" spans="2:8" x14ac:dyDescent="0.2">
      <c r="B602" s="78"/>
      <c r="C602" s="79"/>
      <c r="D602" s="80"/>
      <c r="E602" s="80"/>
      <c r="F602" s="80"/>
      <c r="G602" s="80"/>
      <c r="H602" s="81"/>
    </row>
    <row r="603" spans="2:8" x14ac:dyDescent="0.2">
      <c r="B603" s="78"/>
      <c r="C603" s="79"/>
      <c r="D603" s="80"/>
      <c r="E603" s="80"/>
      <c r="F603" s="80"/>
      <c r="G603" s="80"/>
      <c r="H603" s="81"/>
    </row>
    <row r="604" spans="2:8" x14ac:dyDescent="0.2">
      <c r="B604" s="78"/>
      <c r="C604" s="79"/>
      <c r="D604" s="80"/>
      <c r="E604" s="80"/>
      <c r="F604" s="80"/>
      <c r="G604" s="80"/>
      <c r="H604" s="81"/>
    </row>
    <row r="605" spans="2:8" x14ac:dyDescent="0.2">
      <c r="B605" s="78"/>
      <c r="C605" s="79"/>
      <c r="D605" s="80"/>
      <c r="E605" s="80"/>
      <c r="F605" s="80"/>
      <c r="G605" s="80"/>
      <c r="H605" s="81"/>
    </row>
    <row r="606" spans="2:8" x14ac:dyDescent="0.2">
      <c r="B606" s="78"/>
      <c r="C606" s="79"/>
      <c r="D606" s="80"/>
      <c r="E606" s="80"/>
      <c r="F606" s="80"/>
      <c r="G606" s="80"/>
      <c r="H606" s="81"/>
    </row>
    <row r="607" spans="2:8" x14ac:dyDescent="0.2">
      <c r="B607" s="78"/>
      <c r="C607" s="79"/>
      <c r="D607" s="80"/>
      <c r="E607" s="80"/>
      <c r="F607" s="80"/>
      <c r="G607" s="80"/>
      <c r="H607" s="81"/>
    </row>
    <row r="608" spans="2:8" x14ac:dyDescent="0.2">
      <c r="B608" s="78"/>
      <c r="C608" s="79"/>
      <c r="D608" s="80"/>
      <c r="E608" s="80"/>
      <c r="F608" s="80"/>
      <c r="G608" s="80"/>
      <c r="H608" s="81"/>
    </row>
    <row r="609" spans="2:8" x14ac:dyDescent="0.2">
      <c r="B609" s="78"/>
      <c r="C609" s="79"/>
      <c r="D609" s="80"/>
      <c r="E609" s="80"/>
      <c r="F609" s="80"/>
      <c r="G609" s="80"/>
      <c r="H609" s="81"/>
    </row>
    <row r="610" spans="2:8" x14ac:dyDescent="0.2">
      <c r="B610" s="78"/>
      <c r="C610" s="79"/>
      <c r="D610" s="80"/>
      <c r="E610" s="80"/>
      <c r="F610" s="80"/>
      <c r="G610" s="80"/>
      <c r="H610" s="81"/>
    </row>
    <row r="611" spans="2:8" x14ac:dyDescent="0.2">
      <c r="B611" s="78"/>
      <c r="C611" s="79"/>
      <c r="D611" s="80"/>
      <c r="E611" s="80"/>
      <c r="F611" s="80"/>
      <c r="G611" s="80"/>
      <c r="H611" s="81"/>
    </row>
    <row r="612" spans="2:8" x14ac:dyDescent="0.2">
      <c r="B612" s="78"/>
      <c r="C612" s="79"/>
      <c r="D612" s="80"/>
      <c r="E612" s="80"/>
      <c r="F612" s="80"/>
      <c r="G612" s="80"/>
      <c r="H612" s="81"/>
    </row>
    <row r="613" spans="2:8" x14ac:dyDescent="0.2">
      <c r="B613" s="78"/>
      <c r="C613" s="79"/>
      <c r="D613" s="80"/>
      <c r="E613" s="80"/>
      <c r="F613" s="80"/>
      <c r="G613" s="80"/>
      <c r="H613" s="81"/>
    </row>
    <row r="614" spans="2:8" x14ac:dyDescent="0.2">
      <c r="B614" s="78"/>
      <c r="C614" s="79"/>
      <c r="D614" s="80"/>
      <c r="E614" s="80"/>
      <c r="F614" s="80"/>
      <c r="G614" s="80"/>
      <c r="H614" s="81"/>
    </row>
    <row r="615" spans="2:8" x14ac:dyDescent="0.2">
      <c r="B615" s="78"/>
      <c r="C615" s="79"/>
      <c r="D615" s="80"/>
      <c r="E615" s="80"/>
      <c r="F615" s="80"/>
      <c r="G615" s="80"/>
      <c r="H615" s="81"/>
    </row>
    <row r="616" spans="2:8" x14ac:dyDescent="0.2">
      <c r="B616" s="78"/>
      <c r="C616" s="79"/>
      <c r="D616" s="80"/>
      <c r="E616" s="80"/>
      <c r="F616" s="80"/>
      <c r="G616" s="80"/>
      <c r="H616" s="81"/>
    </row>
    <row r="617" spans="2:8" x14ac:dyDescent="0.2">
      <c r="B617" s="78"/>
      <c r="C617" s="79"/>
      <c r="D617" s="80"/>
      <c r="E617" s="80"/>
      <c r="F617" s="80"/>
      <c r="G617" s="80"/>
      <c r="H617" s="81"/>
    </row>
    <row r="618" spans="2:8" x14ac:dyDescent="0.2">
      <c r="B618" s="78"/>
      <c r="C618" s="79"/>
      <c r="D618" s="80"/>
      <c r="E618" s="80"/>
      <c r="F618" s="80"/>
      <c r="G618" s="80"/>
      <c r="H618" s="81"/>
    </row>
    <row r="619" spans="2:8" x14ac:dyDescent="0.2">
      <c r="B619" s="78"/>
      <c r="C619" s="79"/>
      <c r="D619" s="80"/>
      <c r="E619" s="80"/>
      <c r="F619" s="80"/>
      <c r="G619" s="80"/>
      <c r="H619" s="81"/>
    </row>
    <row r="620" spans="2:8" x14ac:dyDescent="0.2">
      <c r="B620" s="78"/>
      <c r="C620" s="79"/>
      <c r="D620" s="80"/>
      <c r="E620" s="80"/>
      <c r="F620" s="80"/>
      <c r="G620" s="80"/>
      <c r="H620" s="81"/>
    </row>
    <row r="621" spans="2:8" x14ac:dyDescent="0.2">
      <c r="B621" s="78"/>
      <c r="C621" s="79"/>
      <c r="D621" s="80"/>
      <c r="E621" s="80"/>
      <c r="F621" s="80"/>
      <c r="G621" s="80"/>
      <c r="H621" s="81"/>
    </row>
    <row r="622" spans="2:8" x14ac:dyDescent="0.2">
      <c r="B622" s="78"/>
      <c r="C622" s="79"/>
      <c r="D622" s="80"/>
      <c r="E622" s="80"/>
      <c r="F622" s="80"/>
      <c r="G622" s="80"/>
      <c r="H622" s="81"/>
    </row>
    <row r="623" spans="2:8" x14ac:dyDescent="0.2">
      <c r="B623" s="78"/>
      <c r="C623" s="79"/>
      <c r="D623" s="80"/>
      <c r="E623" s="80"/>
      <c r="F623" s="80"/>
      <c r="G623" s="80"/>
      <c r="H623" s="81"/>
    </row>
    <row r="624" spans="2:8" x14ac:dyDescent="0.2">
      <c r="B624" s="78"/>
      <c r="C624" s="79"/>
      <c r="D624" s="80"/>
      <c r="E624" s="80"/>
      <c r="F624" s="80"/>
      <c r="G624" s="80"/>
      <c r="H624" s="81"/>
    </row>
    <row r="625" spans="2:8" x14ac:dyDescent="0.2">
      <c r="B625" s="78"/>
      <c r="C625" s="79"/>
      <c r="D625" s="80"/>
      <c r="E625" s="80"/>
      <c r="F625" s="80"/>
      <c r="G625" s="80"/>
      <c r="H625" s="81"/>
    </row>
    <row r="626" spans="2:8" x14ac:dyDescent="0.2">
      <c r="B626" s="78"/>
      <c r="C626" s="79"/>
      <c r="D626" s="80"/>
      <c r="E626" s="80"/>
      <c r="F626" s="80"/>
      <c r="G626" s="80"/>
      <c r="H626" s="81"/>
    </row>
    <row r="627" spans="2:8" x14ac:dyDescent="0.2">
      <c r="B627" s="78"/>
      <c r="C627" s="79"/>
      <c r="D627" s="80"/>
      <c r="E627" s="80"/>
      <c r="F627" s="80"/>
      <c r="G627" s="80"/>
      <c r="H627" s="81"/>
    </row>
    <row r="628" spans="2:8" x14ac:dyDescent="0.2">
      <c r="B628" s="78"/>
      <c r="C628" s="79"/>
      <c r="D628" s="80"/>
      <c r="E628" s="80"/>
      <c r="F628" s="80"/>
      <c r="G628" s="80"/>
      <c r="H628" s="81"/>
    </row>
    <row r="629" spans="2:8" x14ac:dyDescent="0.2">
      <c r="B629" s="78"/>
      <c r="C629" s="79"/>
      <c r="D629" s="80"/>
      <c r="E629" s="80"/>
      <c r="F629" s="80"/>
      <c r="G629" s="80"/>
      <c r="H629" s="81"/>
    </row>
    <row r="630" spans="2:8" x14ac:dyDescent="0.2">
      <c r="B630" s="78"/>
      <c r="C630" s="79"/>
      <c r="D630" s="80"/>
      <c r="E630" s="80"/>
      <c r="F630" s="80"/>
      <c r="G630" s="80"/>
      <c r="H630" s="81"/>
    </row>
    <row r="631" spans="2:8" x14ac:dyDescent="0.2">
      <c r="B631" s="78"/>
      <c r="C631" s="79"/>
      <c r="D631" s="80"/>
      <c r="E631" s="80"/>
      <c r="F631" s="80"/>
      <c r="G631" s="80"/>
      <c r="H631" s="81"/>
    </row>
    <row r="632" spans="2:8" x14ac:dyDescent="0.2">
      <c r="B632" s="78"/>
      <c r="C632" s="79"/>
      <c r="D632" s="80"/>
      <c r="E632" s="80"/>
      <c r="F632" s="80"/>
      <c r="G632" s="80"/>
      <c r="H632" s="81"/>
    </row>
    <row r="633" spans="2:8" x14ac:dyDescent="0.2">
      <c r="B633" s="78"/>
      <c r="C633" s="79"/>
      <c r="D633" s="80"/>
      <c r="E633" s="80"/>
      <c r="F633" s="80"/>
      <c r="G633" s="80"/>
      <c r="H633" s="81"/>
    </row>
    <row r="634" spans="2:8" x14ac:dyDescent="0.2">
      <c r="B634" s="78"/>
      <c r="C634" s="79"/>
      <c r="D634" s="80"/>
      <c r="E634" s="80"/>
      <c r="F634" s="80"/>
      <c r="G634" s="80"/>
      <c r="H634" s="81"/>
    </row>
    <row r="635" spans="2:8" x14ac:dyDescent="0.2">
      <c r="B635" s="78"/>
      <c r="C635" s="79"/>
      <c r="D635" s="80"/>
      <c r="E635" s="80"/>
      <c r="F635" s="80"/>
      <c r="G635" s="80"/>
      <c r="H635" s="81"/>
    </row>
    <row r="636" spans="2:8" x14ac:dyDescent="0.2">
      <c r="B636" s="78"/>
      <c r="C636" s="79"/>
      <c r="D636" s="80"/>
      <c r="E636" s="80"/>
      <c r="F636" s="80"/>
      <c r="G636" s="80"/>
      <c r="H636" s="81"/>
    </row>
    <row r="637" spans="2:8" x14ac:dyDescent="0.2">
      <c r="B637" s="78"/>
      <c r="C637" s="79"/>
      <c r="D637" s="80"/>
      <c r="E637" s="80"/>
      <c r="F637" s="80"/>
      <c r="G637" s="80"/>
      <c r="H637" s="81"/>
    </row>
    <row r="638" spans="2:8" x14ac:dyDescent="0.2">
      <c r="B638" s="78"/>
      <c r="C638" s="79"/>
      <c r="D638" s="80"/>
      <c r="E638" s="80"/>
      <c r="F638" s="80"/>
      <c r="G638" s="80"/>
      <c r="H638" s="81"/>
    </row>
    <row r="639" spans="2:8" x14ac:dyDescent="0.2">
      <c r="B639" s="78"/>
      <c r="C639" s="79"/>
      <c r="D639" s="80"/>
      <c r="E639" s="80"/>
      <c r="F639" s="80"/>
      <c r="G639" s="80"/>
      <c r="H639" s="81"/>
    </row>
    <row r="640" spans="2:8" x14ac:dyDescent="0.2">
      <c r="B640" s="78"/>
      <c r="C640" s="79"/>
      <c r="D640" s="80"/>
      <c r="E640" s="80"/>
      <c r="F640" s="80"/>
      <c r="G640" s="80"/>
      <c r="H640" s="81"/>
    </row>
    <row r="641" spans="2:8" x14ac:dyDescent="0.2">
      <c r="B641" s="78"/>
      <c r="C641" s="79"/>
      <c r="D641" s="80"/>
      <c r="E641" s="80"/>
      <c r="F641" s="80"/>
      <c r="G641" s="80"/>
      <c r="H641" s="81"/>
    </row>
    <row r="642" spans="2:8" x14ac:dyDescent="0.2">
      <c r="B642" s="78"/>
      <c r="C642" s="79"/>
      <c r="D642" s="80"/>
      <c r="E642" s="80"/>
      <c r="F642" s="80"/>
      <c r="G642" s="80"/>
      <c r="H642" s="81"/>
    </row>
    <row r="643" spans="2:8" x14ac:dyDescent="0.2">
      <c r="B643" s="78"/>
      <c r="C643" s="79"/>
      <c r="D643" s="80"/>
      <c r="E643" s="80"/>
      <c r="F643" s="80"/>
      <c r="G643" s="80"/>
      <c r="H643" s="81"/>
    </row>
    <row r="644" spans="2:8" x14ac:dyDescent="0.2">
      <c r="B644" s="78"/>
      <c r="C644" s="79"/>
      <c r="D644" s="80"/>
      <c r="E644" s="80"/>
      <c r="F644" s="80"/>
      <c r="G644" s="80"/>
      <c r="H644" s="81"/>
    </row>
    <row r="645" spans="2:8" x14ac:dyDescent="0.2">
      <c r="B645" s="78"/>
      <c r="C645" s="79"/>
      <c r="D645" s="80"/>
      <c r="E645" s="80"/>
      <c r="F645" s="80"/>
      <c r="G645" s="80"/>
      <c r="H645" s="81"/>
    </row>
    <row r="646" spans="2:8" x14ac:dyDescent="0.2">
      <c r="B646" s="78"/>
      <c r="C646" s="79"/>
      <c r="D646" s="80"/>
      <c r="E646" s="80"/>
      <c r="F646" s="80"/>
      <c r="G646" s="80"/>
      <c r="H646" s="81"/>
    </row>
    <row r="647" spans="2:8" x14ac:dyDescent="0.2">
      <c r="B647" s="78"/>
      <c r="C647" s="79"/>
      <c r="D647" s="80"/>
      <c r="E647" s="80"/>
      <c r="F647" s="80"/>
      <c r="G647" s="80"/>
      <c r="H647" s="81"/>
    </row>
    <row r="648" spans="2:8" x14ac:dyDescent="0.2">
      <c r="B648" s="78"/>
      <c r="C648" s="79"/>
      <c r="D648" s="80"/>
      <c r="E648" s="80"/>
      <c r="F648" s="80"/>
      <c r="G648" s="80"/>
      <c r="H648" s="81"/>
    </row>
    <row r="649" spans="2:8" x14ac:dyDescent="0.2">
      <c r="B649" s="78"/>
      <c r="C649" s="79"/>
      <c r="D649" s="80"/>
      <c r="E649" s="80"/>
      <c r="F649" s="80"/>
      <c r="G649" s="80"/>
      <c r="H649" s="81"/>
    </row>
    <row r="650" spans="2:8" x14ac:dyDescent="0.2">
      <c r="B650" s="78"/>
      <c r="C650" s="79"/>
      <c r="D650" s="80"/>
      <c r="E650" s="80"/>
      <c r="F650" s="80"/>
      <c r="G650" s="80"/>
      <c r="H650" s="81"/>
    </row>
    <row r="651" spans="2:8" x14ac:dyDescent="0.2">
      <c r="B651" s="78"/>
      <c r="C651" s="79"/>
      <c r="D651" s="80"/>
      <c r="E651" s="80"/>
      <c r="F651" s="80"/>
      <c r="G651" s="80"/>
      <c r="H651" s="81"/>
    </row>
    <row r="652" spans="2:8" x14ac:dyDescent="0.2">
      <c r="B652" s="78"/>
      <c r="C652" s="79"/>
      <c r="D652" s="80"/>
      <c r="E652" s="80"/>
      <c r="F652" s="80"/>
      <c r="G652" s="80"/>
      <c r="H652" s="81"/>
    </row>
    <row r="653" spans="2:8" x14ac:dyDescent="0.2">
      <c r="B653" s="78"/>
      <c r="C653" s="79"/>
      <c r="D653" s="80"/>
      <c r="E653" s="80"/>
      <c r="F653" s="80"/>
      <c r="G653" s="80"/>
      <c r="H653" s="81"/>
    </row>
    <row r="654" spans="2:8" x14ac:dyDescent="0.2">
      <c r="B654" s="78"/>
      <c r="C654" s="79"/>
      <c r="D654" s="80"/>
      <c r="E654" s="80"/>
      <c r="F654" s="80"/>
      <c r="G654" s="80"/>
      <c r="H654" s="81"/>
    </row>
    <row r="655" spans="2:8" x14ac:dyDescent="0.2">
      <c r="B655" s="78"/>
      <c r="C655" s="79"/>
      <c r="D655" s="80"/>
      <c r="E655" s="80"/>
      <c r="F655" s="80"/>
      <c r="G655" s="80"/>
      <c r="H655" s="81"/>
    </row>
    <row r="656" spans="2:8" x14ac:dyDescent="0.2">
      <c r="B656" s="78"/>
      <c r="C656" s="79"/>
      <c r="D656" s="80"/>
      <c r="E656" s="80"/>
      <c r="F656" s="80"/>
      <c r="G656" s="80"/>
      <c r="H656" s="81"/>
    </row>
    <row r="657" spans="2:8" x14ac:dyDescent="0.2">
      <c r="B657" s="78"/>
      <c r="C657" s="79"/>
      <c r="D657" s="80"/>
      <c r="E657" s="80"/>
      <c r="F657" s="80"/>
      <c r="G657" s="80"/>
      <c r="H657" s="81"/>
    </row>
    <row r="658" spans="2:8" x14ac:dyDescent="0.2">
      <c r="B658" s="78"/>
      <c r="C658" s="79"/>
      <c r="D658" s="80"/>
      <c r="E658" s="80"/>
      <c r="F658" s="80"/>
      <c r="G658" s="80"/>
      <c r="H658" s="81"/>
    </row>
    <row r="659" spans="2:8" x14ac:dyDescent="0.2">
      <c r="B659" s="78"/>
      <c r="C659" s="79"/>
      <c r="D659" s="80"/>
      <c r="E659" s="80"/>
      <c r="F659" s="80"/>
      <c r="G659" s="80"/>
      <c r="H659" s="81"/>
    </row>
    <row r="660" spans="2:8" x14ac:dyDescent="0.2">
      <c r="B660" s="78"/>
      <c r="C660" s="79"/>
      <c r="D660" s="80"/>
      <c r="E660" s="80"/>
      <c r="F660" s="80"/>
      <c r="G660" s="80"/>
      <c r="H660" s="81"/>
    </row>
    <row r="661" spans="2:8" x14ac:dyDescent="0.2">
      <c r="B661" s="78"/>
      <c r="C661" s="79"/>
      <c r="D661" s="80"/>
      <c r="E661" s="80"/>
      <c r="F661" s="80"/>
      <c r="G661" s="80"/>
      <c r="H661" s="81"/>
    </row>
    <row r="662" spans="2:8" x14ac:dyDescent="0.2">
      <c r="B662" s="78"/>
      <c r="C662" s="79"/>
      <c r="D662" s="80"/>
      <c r="E662" s="80"/>
      <c r="F662" s="80"/>
      <c r="G662" s="80"/>
      <c r="H662" s="81"/>
    </row>
    <row r="663" spans="2:8" x14ac:dyDescent="0.2">
      <c r="B663" s="78"/>
      <c r="C663" s="79"/>
      <c r="D663" s="80"/>
      <c r="E663" s="80"/>
      <c r="F663" s="80"/>
      <c r="G663" s="80"/>
      <c r="H663" s="81"/>
    </row>
    <row r="664" spans="2:8" x14ac:dyDescent="0.2">
      <c r="B664" s="78"/>
      <c r="C664" s="79"/>
      <c r="D664" s="80"/>
      <c r="E664" s="80"/>
      <c r="F664" s="80"/>
      <c r="G664" s="80"/>
      <c r="H664" s="81"/>
    </row>
    <row r="665" spans="2:8" x14ac:dyDescent="0.2">
      <c r="B665" s="78"/>
      <c r="C665" s="79"/>
      <c r="D665" s="80"/>
      <c r="E665" s="80"/>
      <c r="F665" s="80"/>
      <c r="G665" s="80"/>
      <c r="H665" s="81"/>
    </row>
    <row r="666" spans="2:8" x14ac:dyDescent="0.2">
      <c r="B666" s="78"/>
      <c r="C666" s="79"/>
      <c r="D666" s="80"/>
      <c r="E666" s="80"/>
      <c r="F666" s="80"/>
      <c r="G666" s="80"/>
      <c r="H666" s="81"/>
    </row>
    <row r="667" spans="2:8" x14ac:dyDescent="0.2">
      <c r="B667" s="78"/>
      <c r="C667" s="79"/>
      <c r="D667" s="80"/>
      <c r="E667" s="80"/>
      <c r="F667" s="80"/>
      <c r="G667" s="80"/>
      <c r="H667" s="81"/>
    </row>
    <row r="668" spans="2:8" x14ac:dyDescent="0.2">
      <c r="B668" s="78"/>
      <c r="C668" s="79"/>
      <c r="D668" s="80"/>
      <c r="E668" s="80"/>
      <c r="F668" s="80"/>
      <c r="G668" s="80"/>
      <c r="H668" s="81"/>
    </row>
    <row r="669" spans="2:8" x14ac:dyDescent="0.2">
      <c r="B669" s="78"/>
      <c r="C669" s="79"/>
      <c r="D669" s="80"/>
      <c r="E669" s="80"/>
      <c r="F669" s="80"/>
      <c r="G669" s="80"/>
      <c r="H669" s="81"/>
    </row>
    <row r="670" spans="2:8" x14ac:dyDescent="0.2">
      <c r="B670" s="78"/>
      <c r="C670" s="79"/>
      <c r="D670" s="80"/>
      <c r="E670" s="80"/>
      <c r="F670" s="80"/>
      <c r="G670" s="80"/>
      <c r="H670" s="81"/>
    </row>
    <row r="671" spans="2:8" x14ac:dyDescent="0.2">
      <c r="B671" s="78"/>
      <c r="C671" s="79"/>
      <c r="D671" s="80"/>
      <c r="E671" s="80"/>
      <c r="F671" s="80"/>
      <c r="G671" s="80"/>
      <c r="H671" s="81"/>
    </row>
    <row r="672" spans="2:8" x14ac:dyDescent="0.2">
      <c r="B672" s="78"/>
      <c r="C672" s="79"/>
      <c r="D672" s="80"/>
      <c r="E672" s="80"/>
      <c r="F672" s="80"/>
      <c r="G672" s="80"/>
      <c r="H672" s="81"/>
    </row>
    <row r="673" spans="2:8" x14ac:dyDescent="0.2">
      <c r="B673" s="78"/>
      <c r="C673" s="79"/>
      <c r="D673" s="80"/>
      <c r="E673" s="80"/>
      <c r="F673" s="80"/>
      <c r="G673" s="80"/>
      <c r="H673" s="81"/>
    </row>
    <row r="674" spans="2:8" x14ac:dyDescent="0.2">
      <c r="B674" s="78"/>
      <c r="C674" s="79"/>
      <c r="D674" s="80"/>
      <c r="E674" s="80"/>
      <c r="F674" s="80"/>
      <c r="G674" s="80"/>
      <c r="H674" s="81"/>
    </row>
    <row r="675" spans="2:8" x14ac:dyDescent="0.2">
      <c r="B675" s="78"/>
      <c r="C675" s="79"/>
      <c r="D675" s="80"/>
      <c r="E675" s="80"/>
      <c r="F675" s="80"/>
      <c r="G675" s="80"/>
      <c r="H675" s="81"/>
    </row>
    <row r="676" spans="2:8" x14ac:dyDescent="0.2">
      <c r="B676" s="78"/>
      <c r="C676" s="79"/>
      <c r="D676" s="80"/>
      <c r="E676" s="80"/>
      <c r="F676" s="80"/>
      <c r="G676" s="80"/>
      <c r="H676" s="81"/>
    </row>
    <row r="677" spans="2:8" x14ac:dyDescent="0.2">
      <c r="B677" s="78"/>
      <c r="C677" s="79"/>
      <c r="D677" s="80"/>
      <c r="E677" s="80"/>
      <c r="F677" s="80"/>
      <c r="G677" s="80"/>
      <c r="H677" s="81"/>
    </row>
    <row r="678" spans="2:8" x14ac:dyDescent="0.2">
      <c r="B678" s="78"/>
      <c r="C678" s="79"/>
      <c r="D678" s="80"/>
      <c r="E678" s="80"/>
      <c r="F678" s="80"/>
      <c r="G678" s="80"/>
      <c r="H678" s="81"/>
    </row>
    <row r="679" spans="2:8" x14ac:dyDescent="0.2">
      <c r="B679" s="78"/>
      <c r="C679" s="79"/>
      <c r="D679" s="80"/>
      <c r="E679" s="80"/>
      <c r="F679" s="80"/>
      <c r="G679" s="80"/>
      <c r="H679" s="81"/>
    </row>
    <row r="680" spans="2:8" x14ac:dyDescent="0.2">
      <c r="B680" s="78"/>
      <c r="C680" s="79"/>
      <c r="D680" s="80"/>
      <c r="E680" s="80"/>
      <c r="F680" s="80"/>
      <c r="G680" s="80"/>
      <c r="H680" s="81"/>
    </row>
    <row r="681" spans="2:8" x14ac:dyDescent="0.2">
      <c r="B681" s="78"/>
      <c r="C681" s="79"/>
      <c r="D681" s="80"/>
      <c r="E681" s="80"/>
      <c r="F681" s="80"/>
      <c r="G681" s="80"/>
      <c r="H681" s="81"/>
    </row>
    <row r="682" spans="2:8" x14ac:dyDescent="0.2">
      <c r="B682" s="78"/>
      <c r="C682" s="79"/>
      <c r="D682" s="80"/>
      <c r="E682" s="80"/>
      <c r="F682" s="80"/>
      <c r="G682" s="80"/>
      <c r="H682" s="81"/>
    </row>
    <row r="683" spans="2:8" x14ac:dyDescent="0.2">
      <c r="B683" s="78"/>
      <c r="C683" s="79"/>
      <c r="D683" s="80"/>
      <c r="E683" s="80"/>
      <c r="F683" s="80"/>
      <c r="G683" s="80"/>
      <c r="H683" s="81"/>
    </row>
    <row r="684" spans="2:8" x14ac:dyDescent="0.2">
      <c r="B684" s="78"/>
      <c r="C684" s="79"/>
      <c r="D684" s="80"/>
      <c r="E684" s="80"/>
      <c r="F684" s="80"/>
      <c r="G684" s="80"/>
      <c r="H684" s="81"/>
    </row>
    <row r="685" spans="2:8" x14ac:dyDescent="0.2">
      <c r="B685" s="78"/>
      <c r="C685" s="79"/>
      <c r="D685" s="80"/>
      <c r="E685" s="80"/>
      <c r="F685" s="80"/>
      <c r="G685" s="80"/>
      <c r="H685" s="81"/>
    </row>
    <row r="686" spans="2:8" x14ac:dyDescent="0.2">
      <c r="B686" s="78"/>
      <c r="C686" s="79"/>
      <c r="D686" s="80"/>
      <c r="E686" s="80"/>
      <c r="F686" s="80"/>
      <c r="G686" s="80"/>
      <c r="H686" s="81"/>
    </row>
    <row r="687" spans="2:8" x14ac:dyDescent="0.2">
      <c r="B687" s="78"/>
      <c r="C687" s="79"/>
      <c r="D687" s="80"/>
      <c r="E687" s="80"/>
      <c r="F687" s="80"/>
      <c r="G687" s="80"/>
      <c r="H687" s="81"/>
    </row>
    <row r="688" spans="2:8" x14ac:dyDescent="0.2">
      <c r="B688" s="78"/>
      <c r="C688" s="79"/>
      <c r="D688" s="80"/>
      <c r="E688" s="80"/>
      <c r="F688" s="80"/>
      <c r="G688" s="80"/>
      <c r="H688" s="81"/>
    </row>
    <row r="689" spans="2:8" x14ac:dyDescent="0.2">
      <c r="B689" s="78"/>
      <c r="C689" s="79"/>
      <c r="D689" s="80"/>
      <c r="E689" s="80"/>
      <c r="F689" s="80"/>
      <c r="G689" s="80"/>
      <c r="H689" s="81"/>
    </row>
    <row r="690" spans="2:8" x14ac:dyDescent="0.2">
      <c r="B690" s="78"/>
      <c r="C690" s="79"/>
      <c r="D690" s="80"/>
      <c r="E690" s="80"/>
      <c r="F690" s="80"/>
      <c r="G690" s="80"/>
      <c r="H690" s="81"/>
    </row>
    <row r="691" spans="2:8" x14ac:dyDescent="0.2">
      <c r="B691" s="78"/>
      <c r="C691" s="79"/>
      <c r="D691" s="80"/>
      <c r="E691" s="80"/>
      <c r="F691" s="80"/>
      <c r="G691" s="80"/>
      <c r="H691" s="81"/>
    </row>
    <row r="692" spans="2:8" x14ac:dyDescent="0.2">
      <c r="B692" s="78"/>
      <c r="C692" s="79"/>
      <c r="D692" s="80"/>
      <c r="E692" s="80"/>
      <c r="F692" s="80"/>
      <c r="G692" s="80"/>
      <c r="H692" s="81"/>
    </row>
    <row r="693" spans="2:8" x14ac:dyDescent="0.2">
      <c r="B693" s="78"/>
      <c r="C693" s="79"/>
      <c r="D693" s="80"/>
      <c r="E693" s="80"/>
      <c r="F693" s="80"/>
      <c r="G693" s="80"/>
      <c r="H693" s="81"/>
    </row>
    <row r="694" spans="2:8" x14ac:dyDescent="0.2">
      <c r="B694" s="78"/>
      <c r="C694" s="79"/>
      <c r="D694" s="80"/>
      <c r="E694" s="80"/>
      <c r="F694" s="80"/>
      <c r="G694" s="80"/>
      <c r="H694" s="81"/>
    </row>
    <row r="695" spans="2:8" x14ac:dyDescent="0.2">
      <c r="B695" s="78"/>
      <c r="C695" s="79"/>
      <c r="D695" s="80"/>
      <c r="E695" s="80"/>
      <c r="F695" s="80"/>
      <c r="G695" s="80"/>
      <c r="H695" s="81"/>
    </row>
    <row r="696" spans="2:8" x14ac:dyDescent="0.2">
      <c r="B696" s="78"/>
      <c r="C696" s="79"/>
      <c r="D696" s="80"/>
      <c r="E696" s="80"/>
      <c r="F696" s="80"/>
      <c r="G696" s="80"/>
      <c r="H696" s="81"/>
    </row>
    <row r="697" spans="2:8" x14ac:dyDescent="0.2">
      <c r="B697" s="78"/>
      <c r="C697" s="79"/>
      <c r="D697" s="80"/>
      <c r="E697" s="80"/>
      <c r="F697" s="80"/>
      <c r="G697" s="80"/>
      <c r="H697" s="81"/>
    </row>
    <row r="698" spans="2:8" x14ac:dyDescent="0.2">
      <c r="B698" s="78"/>
      <c r="C698" s="79"/>
      <c r="D698" s="80"/>
      <c r="E698" s="80"/>
      <c r="F698" s="80"/>
      <c r="G698" s="80"/>
      <c r="H698" s="81"/>
    </row>
    <row r="699" spans="2:8" x14ac:dyDescent="0.2">
      <c r="B699" s="78"/>
      <c r="C699" s="79"/>
      <c r="D699" s="80"/>
      <c r="E699" s="80"/>
      <c r="F699" s="80"/>
      <c r="G699" s="80"/>
      <c r="H699" s="81"/>
    </row>
    <row r="700" spans="2:8" x14ac:dyDescent="0.2">
      <c r="B700" s="78"/>
      <c r="C700" s="79"/>
      <c r="D700" s="80"/>
      <c r="E700" s="80"/>
      <c r="F700" s="80"/>
      <c r="G700" s="80"/>
      <c r="H700" s="81"/>
    </row>
    <row r="701" spans="2:8" x14ac:dyDescent="0.2">
      <c r="B701" s="78"/>
      <c r="C701" s="79"/>
      <c r="D701" s="80"/>
      <c r="E701" s="80"/>
      <c r="F701" s="80"/>
      <c r="G701" s="80"/>
      <c r="H701" s="81"/>
    </row>
    <row r="702" spans="2:8" x14ac:dyDescent="0.2">
      <c r="B702" s="78"/>
      <c r="C702" s="79"/>
      <c r="D702" s="80"/>
      <c r="E702" s="80"/>
      <c r="F702" s="80"/>
      <c r="G702" s="80"/>
      <c r="H702" s="81"/>
    </row>
    <row r="703" spans="2:8" x14ac:dyDescent="0.2">
      <c r="B703" s="78"/>
      <c r="C703" s="79"/>
      <c r="D703" s="80"/>
      <c r="E703" s="80"/>
      <c r="F703" s="80"/>
      <c r="G703" s="80"/>
      <c r="H703" s="81"/>
    </row>
    <row r="704" spans="2:8" x14ac:dyDescent="0.2">
      <c r="B704" s="78"/>
      <c r="C704" s="79"/>
      <c r="D704" s="80"/>
      <c r="E704" s="80"/>
      <c r="F704" s="80"/>
      <c r="G704" s="80"/>
      <c r="H704" s="81"/>
    </row>
    <row r="705" spans="2:8" x14ac:dyDescent="0.2">
      <c r="B705" s="78"/>
      <c r="C705" s="79"/>
      <c r="D705" s="80"/>
      <c r="E705" s="80"/>
      <c r="F705" s="80"/>
      <c r="G705" s="80"/>
      <c r="H705" s="81"/>
    </row>
    <row r="706" spans="2:8" x14ac:dyDescent="0.2">
      <c r="B706" s="78"/>
      <c r="C706" s="79"/>
      <c r="D706" s="80"/>
      <c r="E706" s="80"/>
      <c r="F706" s="80"/>
      <c r="G706" s="80"/>
      <c r="H706" s="81"/>
    </row>
    <row r="707" spans="2:8" x14ac:dyDescent="0.2">
      <c r="B707" s="78"/>
      <c r="C707" s="79"/>
      <c r="D707" s="80"/>
      <c r="E707" s="80"/>
      <c r="F707" s="80"/>
      <c r="G707" s="80"/>
      <c r="H707" s="81"/>
    </row>
    <row r="708" spans="2:8" x14ac:dyDescent="0.2">
      <c r="B708" s="78"/>
      <c r="C708" s="79"/>
      <c r="D708" s="80"/>
      <c r="E708" s="80"/>
      <c r="F708" s="80"/>
      <c r="G708" s="80"/>
      <c r="H708" s="81"/>
    </row>
    <row r="709" spans="2:8" x14ac:dyDescent="0.2">
      <c r="B709" s="78"/>
      <c r="C709" s="79"/>
      <c r="D709" s="80"/>
      <c r="E709" s="80"/>
      <c r="F709" s="80"/>
      <c r="G709" s="80"/>
      <c r="H709" s="81"/>
    </row>
    <row r="710" spans="2:8" x14ac:dyDescent="0.2">
      <c r="B710" s="78"/>
      <c r="C710" s="79"/>
      <c r="D710" s="80"/>
      <c r="E710" s="80"/>
      <c r="F710" s="80"/>
      <c r="G710" s="80"/>
      <c r="H710" s="81"/>
    </row>
    <row r="711" spans="2:8" x14ac:dyDescent="0.2">
      <c r="B711" s="78"/>
      <c r="C711" s="79"/>
      <c r="D711" s="80"/>
      <c r="E711" s="80"/>
      <c r="F711" s="80"/>
      <c r="G711" s="80"/>
      <c r="H711" s="81"/>
    </row>
    <row r="712" spans="2:8" x14ac:dyDescent="0.2">
      <c r="B712" s="78"/>
      <c r="C712" s="79"/>
      <c r="D712" s="80"/>
      <c r="E712" s="80"/>
      <c r="F712" s="80"/>
      <c r="G712" s="80"/>
      <c r="H712" s="81"/>
    </row>
    <row r="713" spans="2:8" x14ac:dyDescent="0.2">
      <c r="B713" s="78"/>
      <c r="C713" s="79"/>
      <c r="D713" s="80"/>
      <c r="E713" s="80"/>
      <c r="F713" s="80"/>
      <c r="G713" s="80"/>
      <c r="H713" s="81"/>
    </row>
    <row r="714" spans="2:8" x14ac:dyDescent="0.2">
      <c r="B714" s="78"/>
      <c r="C714" s="79"/>
      <c r="D714" s="80"/>
      <c r="E714" s="80"/>
      <c r="F714" s="80"/>
      <c r="G714" s="80"/>
      <c r="H714" s="81"/>
    </row>
    <row r="715" spans="2:8" x14ac:dyDescent="0.2">
      <c r="B715" s="78"/>
      <c r="C715" s="79"/>
      <c r="D715" s="80"/>
      <c r="E715" s="80"/>
      <c r="F715" s="80"/>
      <c r="G715" s="80"/>
      <c r="H715" s="81"/>
    </row>
    <row r="716" spans="2:8" x14ac:dyDescent="0.2">
      <c r="B716" s="78"/>
      <c r="C716" s="79"/>
      <c r="D716" s="80"/>
      <c r="E716" s="80"/>
      <c r="F716" s="80"/>
      <c r="G716" s="80"/>
      <c r="H716" s="81"/>
    </row>
    <row r="717" spans="2:8" x14ac:dyDescent="0.2">
      <c r="B717" s="78"/>
      <c r="C717" s="79"/>
      <c r="D717" s="80"/>
      <c r="E717" s="80"/>
      <c r="F717" s="80"/>
      <c r="G717" s="80"/>
      <c r="H717" s="81"/>
    </row>
    <row r="718" spans="2:8" x14ac:dyDescent="0.2">
      <c r="B718" s="78"/>
      <c r="C718" s="79"/>
      <c r="D718" s="80"/>
      <c r="E718" s="80"/>
      <c r="F718" s="80"/>
      <c r="G718" s="80"/>
      <c r="H718" s="81"/>
    </row>
    <row r="719" spans="2:8" x14ac:dyDescent="0.2">
      <c r="B719" s="78"/>
      <c r="C719" s="79"/>
      <c r="D719" s="80"/>
      <c r="E719" s="80"/>
      <c r="F719" s="80"/>
      <c r="G719" s="80"/>
      <c r="H719" s="81"/>
    </row>
    <row r="720" spans="2:8" x14ac:dyDescent="0.2">
      <c r="B720" s="78"/>
      <c r="C720" s="79"/>
      <c r="D720" s="80"/>
      <c r="E720" s="80"/>
      <c r="F720" s="80"/>
      <c r="G720" s="80"/>
      <c r="H720" s="81"/>
    </row>
    <row r="721" spans="2:8" x14ac:dyDescent="0.2">
      <c r="B721" s="78"/>
      <c r="C721" s="79"/>
      <c r="D721" s="80"/>
      <c r="E721" s="80"/>
      <c r="F721" s="80"/>
      <c r="G721" s="80"/>
      <c r="H721" s="81"/>
    </row>
    <row r="722" spans="2:8" x14ac:dyDescent="0.2">
      <c r="B722" s="78"/>
      <c r="C722" s="79"/>
      <c r="D722" s="80"/>
      <c r="E722" s="80"/>
      <c r="F722" s="80"/>
      <c r="G722" s="80"/>
      <c r="H722" s="81"/>
    </row>
    <row r="723" spans="2:8" x14ac:dyDescent="0.2">
      <c r="B723" s="78"/>
      <c r="C723" s="79"/>
      <c r="D723" s="80"/>
      <c r="E723" s="80"/>
      <c r="F723" s="80"/>
      <c r="G723" s="80"/>
      <c r="H723" s="81"/>
    </row>
    <row r="724" spans="2:8" x14ac:dyDescent="0.2">
      <c r="B724" s="78"/>
      <c r="C724" s="79"/>
      <c r="D724" s="80"/>
      <c r="E724" s="80"/>
      <c r="F724" s="80"/>
      <c r="G724" s="80"/>
      <c r="H724" s="81"/>
    </row>
    <row r="725" spans="2:8" x14ac:dyDescent="0.2">
      <c r="B725" s="78"/>
      <c r="C725" s="79"/>
      <c r="D725" s="80"/>
      <c r="E725" s="80"/>
      <c r="F725" s="80"/>
      <c r="G725" s="80"/>
      <c r="H725" s="81"/>
    </row>
    <row r="726" spans="2:8" x14ac:dyDescent="0.2">
      <c r="B726" s="78"/>
      <c r="C726" s="79"/>
      <c r="D726" s="80"/>
      <c r="E726" s="80"/>
      <c r="F726" s="80"/>
      <c r="G726" s="80"/>
      <c r="H726" s="81"/>
    </row>
    <row r="727" spans="2:8" x14ac:dyDescent="0.2">
      <c r="B727" s="78"/>
      <c r="C727" s="79"/>
      <c r="D727" s="80"/>
      <c r="E727" s="80"/>
      <c r="F727" s="80"/>
      <c r="G727" s="80"/>
      <c r="H727" s="81"/>
    </row>
    <row r="728" spans="2:8" x14ac:dyDescent="0.2">
      <c r="B728" s="78"/>
      <c r="C728" s="79"/>
      <c r="D728" s="80"/>
      <c r="E728" s="80"/>
      <c r="F728" s="80"/>
      <c r="G728" s="80"/>
      <c r="H728" s="81"/>
    </row>
    <row r="729" spans="2:8" x14ac:dyDescent="0.2">
      <c r="B729" s="78"/>
      <c r="C729" s="79"/>
      <c r="D729" s="80"/>
      <c r="E729" s="80"/>
      <c r="F729" s="80"/>
      <c r="G729" s="80"/>
      <c r="H729" s="81"/>
    </row>
    <row r="730" spans="2:8" x14ac:dyDescent="0.2">
      <c r="B730" s="78"/>
      <c r="C730" s="79"/>
      <c r="D730" s="80"/>
      <c r="E730" s="80"/>
      <c r="F730" s="80"/>
      <c r="G730" s="80"/>
      <c r="H730" s="81"/>
    </row>
    <row r="731" spans="2:8" x14ac:dyDescent="0.2">
      <c r="B731" s="78"/>
      <c r="C731" s="79"/>
      <c r="D731" s="80"/>
      <c r="E731" s="80"/>
      <c r="F731" s="80"/>
      <c r="G731" s="80"/>
      <c r="H731" s="81"/>
    </row>
    <row r="732" spans="2:8" x14ac:dyDescent="0.2">
      <c r="B732" s="78"/>
      <c r="C732" s="79"/>
      <c r="D732" s="80"/>
      <c r="E732" s="80"/>
      <c r="F732" s="80"/>
      <c r="G732" s="80"/>
      <c r="H732" s="81"/>
    </row>
    <row r="733" spans="2:8" x14ac:dyDescent="0.2">
      <c r="B733" s="78"/>
      <c r="C733" s="79"/>
      <c r="D733" s="80"/>
      <c r="E733" s="80"/>
      <c r="F733" s="80"/>
      <c r="G733" s="80"/>
      <c r="H733" s="81"/>
    </row>
    <row r="734" spans="2:8" x14ac:dyDescent="0.2">
      <c r="B734" s="78"/>
      <c r="C734" s="79"/>
      <c r="D734" s="80"/>
      <c r="E734" s="80"/>
      <c r="F734" s="80"/>
      <c r="G734" s="80"/>
      <c r="H734" s="81"/>
    </row>
    <row r="735" spans="2:8" x14ac:dyDescent="0.2">
      <c r="B735" s="78"/>
      <c r="C735" s="79"/>
      <c r="D735" s="80"/>
      <c r="E735" s="80"/>
      <c r="F735" s="80"/>
      <c r="G735" s="80"/>
      <c r="H735" s="81"/>
    </row>
    <row r="736" spans="2:8" x14ac:dyDescent="0.2">
      <c r="B736" s="78"/>
      <c r="C736" s="79"/>
      <c r="D736" s="80"/>
      <c r="E736" s="80"/>
      <c r="F736" s="80"/>
      <c r="G736" s="80"/>
      <c r="H736" s="81"/>
    </row>
    <row r="737" spans="2:8" x14ac:dyDescent="0.2">
      <c r="B737" s="78"/>
      <c r="C737" s="79"/>
      <c r="D737" s="80"/>
      <c r="E737" s="80"/>
      <c r="F737" s="80"/>
      <c r="G737" s="80"/>
      <c r="H737" s="81"/>
    </row>
    <row r="738" spans="2:8" x14ac:dyDescent="0.2">
      <c r="B738" s="78"/>
      <c r="C738" s="79"/>
      <c r="D738" s="80"/>
      <c r="E738" s="80"/>
      <c r="F738" s="80"/>
      <c r="G738" s="80"/>
      <c r="H738" s="81"/>
    </row>
    <row r="739" spans="2:8" x14ac:dyDescent="0.2">
      <c r="B739" s="78"/>
      <c r="C739" s="79"/>
      <c r="D739" s="80"/>
      <c r="E739" s="80"/>
      <c r="F739" s="80"/>
      <c r="G739" s="80"/>
      <c r="H739" s="81"/>
    </row>
    <row r="740" spans="2:8" x14ac:dyDescent="0.2">
      <c r="B740" s="78"/>
      <c r="C740" s="79"/>
      <c r="D740" s="80"/>
      <c r="E740" s="80"/>
      <c r="F740" s="80"/>
      <c r="G740" s="80"/>
      <c r="H740" s="81"/>
    </row>
    <row r="741" spans="2:8" x14ac:dyDescent="0.2">
      <c r="B741" s="78"/>
      <c r="C741" s="79"/>
      <c r="D741" s="80"/>
      <c r="E741" s="80"/>
      <c r="F741" s="80"/>
      <c r="G741" s="80"/>
      <c r="H741" s="81"/>
    </row>
    <row r="742" spans="2:8" x14ac:dyDescent="0.2">
      <c r="B742" s="78"/>
      <c r="C742" s="79"/>
      <c r="D742" s="80"/>
      <c r="E742" s="80"/>
      <c r="F742" s="80"/>
      <c r="G742" s="80"/>
      <c r="H742" s="81"/>
    </row>
    <row r="743" spans="2:8" x14ac:dyDescent="0.2">
      <c r="B743" s="78"/>
      <c r="C743" s="79"/>
      <c r="D743" s="80"/>
      <c r="E743" s="80"/>
      <c r="F743" s="80"/>
      <c r="G743" s="80"/>
      <c r="H743" s="81"/>
    </row>
    <row r="744" spans="2:8" x14ac:dyDescent="0.2">
      <c r="B744" s="78"/>
      <c r="C744" s="79"/>
      <c r="D744" s="80"/>
      <c r="E744" s="80"/>
      <c r="F744" s="80"/>
      <c r="G744" s="80"/>
      <c r="H744" s="81"/>
    </row>
    <row r="745" spans="2:8" x14ac:dyDescent="0.2">
      <c r="B745" s="78"/>
      <c r="C745" s="79"/>
      <c r="D745" s="80"/>
      <c r="E745" s="80"/>
      <c r="F745" s="80"/>
      <c r="G745" s="80"/>
      <c r="H745" s="81"/>
    </row>
    <row r="746" spans="2:8" x14ac:dyDescent="0.2">
      <c r="B746" s="78"/>
      <c r="C746" s="79"/>
      <c r="D746" s="80"/>
      <c r="E746" s="80"/>
      <c r="F746" s="80"/>
      <c r="G746" s="80"/>
      <c r="H746" s="81"/>
    </row>
    <row r="747" spans="2:8" x14ac:dyDescent="0.2">
      <c r="B747" s="78"/>
      <c r="C747" s="79"/>
      <c r="D747" s="80"/>
      <c r="E747" s="80"/>
      <c r="F747" s="80"/>
      <c r="G747" s="80"/>
      <c r="H747" s="81"/>
    </row>
    <row r="748" spans="2:8" x14ac:dyDescent="0.2">
      <c r="B748" s="78"/>
      <c r="C748" s="79"/>
      <c r="D748" s="80"/>
      <c r="E748" s="80"/>
      <c r="F748" s="80"/>
      <c r="G748" s="80"/>
      <c r="H748" s="81"/>
    </row>
    <row r="749" spans="2:8" x14ac:dyDescent="0.2">
      <c r="B749" s="78"/>
      <c r="C749" s="79"/>
      <c r="D749" s="80"/>
      <c r="E749" s="80"/>
      <c r="F749" s="80"/>
      <c r="G749" s="80"/>
      <c r="H749" s="81"/>
    </row>
    <row r="750" spans="2:8" x14ac:dyDescent="0.2">
      <c r="B750" s="78"/>
      <c r="C750" s="79"/>
      <c r="D750" s="80"/>
      <c r="E750" s="80"/>
      <c r="F750" s="80"/>
      <c r="G750" s="80"/>
      <c r="H750" s="81"/>
    </row>
    <row r="751" spans="2:8" x14ac:dyDescent="0.2">
      <c r="B751" s="78"/>
      <c r="C751" s="79"/>
      <c r="D751" s="80"/>
      <c r="E751" s="80"/>
      <c r="F751" s="80"/>
      <c r="G751" s="80"/>
      <c r="H751" s="81"/>
    </row>
    <row r="752" spans="2:8" x14ac:dyDescent="0.2">
      <c r="B752" s="78"/>
      <c r="C752" s="79"/>
      <c r="D752" s="80"/>
      <c r="E752" s="80"/>
      <c r="F752" s="80"/>
      <c r="G752" s="80"/>
      <c r="H752" s="81"/>
    </row>
    <row r="753" spans="2:8" x14ac:dyDescent="0.2">
      <c r="B753" s="78"/>
      <c r="C753" s="79"/>
      <c r="D753" s="80"/>
      <c r="E753" s="80"/>
      <c r="F753" s="80"/>
      <c r="G753" s="80"/>
      <c r="H753" s="81"/>
    </row>
    <row r="754" spans="2:8" x14ac:dyDescent="0.2">
      <c r="B754" s="78"/>
      <c r="C754" s="79"/>
      <c r="D754" s="80"/>
      <c r="E754" s="80"/>
      <c r="F754" s="80"/>
      <c r="G754" s="80"/>
      <c r="H754" s="81"/>
    </row>
    <row r="755" spans="2:8" x14ac:dyDescent="0.2">
      <c r="B755" s="78"/>
      <c r="C755" s="79"/>
      <c r="D755" s="80"/>
      <c r="E755" s="80"/>
      <c r="F755" s="80"/>
      <c r="G755" s="80"/>
      <c r="H755" s="81"/>
    </row>
    <row r="756" spans="2:8" x14ac:dyDescent="0.2">
      <c r="B756" s="78"/>
      <c r="C756" s="79"/>
      <c r="D756" s="80"/>
      <c r="E756" s="80"/>
      <c r="F756" s="80"/>
      <c r="G756" s="80"/>
      <c r="H756" s="81"/>
    </row>
    <row r="757" spans="2:8" x14ac:dyDescent="0.2">
      <c r="B757" s="78"/>
      <c r="C757" s="79"/>
      <c r="D757" s="80"/>
      <c r="E757" s="80"/>
      <c r="F757" s="80"/>
      <c r="G757" s="80"/>
      <c r="H757" s="81"/>
    </row>
    <row r="758" spans="2:8" x14ac:dyDescent="0.2">
      <c r="B758" s="78"/>
      <c r="C758" s="79"/>
      <c r="D758" s="80"/>
      <c r="E758" s="80"/>
      <c r="F758" s="80"/>
      <c r="G758" s="80"/>
      <c r="H758" s="81"/>
    </row>
    <row r="759" spans="2:8" x14ac:dyDescent="0.2">
      <c r="B759" s="78"/>
      <c r="C759" s="79"/>
      <c r="D759" s="80"/>
      <c r="E759" s="80"/>
      <c r="F759" s="80"/>
      <c r="G759" s="80"/>
      <c r="H759" s="81"/>
    </row>
    <row r="760" spans="2:8" x14ac:dyDescent="0.2">
      <c r="B760" s="78"/>
      <c r="C760" s="79"/>
      <c r="D760" s="80"/>
      <c r="E760" s="80"/>
      <c r="F760" s="80"/>
      <c r="G760" s="80"/>
      <c r="H760" s="81"/>
    </row>
    <row r="761" spans="2:8" x14ac:dyDescent="0.2">
      <c r="B761" s="78"/>
      <c r="C761" s="79"/>
      <c r="D761" s="80"/>
      <c r="E761" s="80"/>
      <c r="F761" s="80"/>
      <c r="G761" s="80"/>
      <c r="H761" s="81"/>
    </row>
    <row r="762" spans="2:8" x14ac:dyDescent="0.2">
      <c r="B762" s="78"/>
      <c r="C762" s="79"/>
      <c r="D762" s="80"/>
      <c r="E762" s="80"/>
      <c r="F762" s="80"/>
      <c r="G762" s="80"/>
      <c r="H762" s="81"/>
    </row>
    <row r="763" spans="2:8" x14ac:dyDescent="0.2">
      <c r="B763" s="78"/>
      <c r="C763" s="79"/>
      <c r="D763" s="80"/>
      <c r="E763" s="80"/>
      <c r="F763" s="80"/>
      <c r="G763" s="80"/>
      <c r="H763" s="81"/>
    </row>
    <row r="764" spans="2:8" x14ac:dyDescent="0.2">
      <c r="B764" s="78"/>
      <c r="C764" s="79"/>
      <c r="D764" s="80"/>
      <c r="E764" s="80"/>
      <c r="F764" s="80"/>
      <c r="G764" s="80"/>
      <c r="H764" s="81"/>
    </row>
    <row r="765" spans="2:8" x14ac:dyDescent="0.2">
      <c r="B765" s="78"/>
      <c r="C765" s="79"/>
      <c r="D765" s="80"/>
      <c r="E765" s="80"/>
      <c r="F765" s="80"/>
      <c r="G765" s="80"/>
      <c r="H765" s="81"/>
    </row>
    <row r="766" spans="2:8" x14ac:dyDescent="0.2">
      <c r="B766" s="78"/>
      <c r="C766" s="79"/>
      <c r="D766" s="80"/>
      <c r="E766" s="80"/>
      <c r="F766" s="80"/>
      <c r="G766" s="80"/>
      <c r="H766" s="81"/>
    </row>
    <row r="767" spans="2:8" x14ac:dyDescent="0.2">
      <c r="B767" s="78"/>
      <c r="C767" s="79"/>
      <c r="D767" s="80"/>
      <c r="E767" s="80"/>
      <c r="F767" s="80"/>
      <c r="G767" s="80"/>
      <c r="H767" s="81"/>
    </row>
    <row r="768" spans="2:8" x14ac:dyDescent="0.2">
      <c r="B768" s="78"/>
      <c r="C768" s="79"/>
      <c r="D768" s="80"/>
      <c r="E768" s="80"/>
      <c r="F768" s="80"/>
      <c r="G768" s="80"/>
      <c r="H768" s="81"/>
    </row>
    <row r="769" spans="2:8" x14ac:dyDescent="0.2">
      <c r="B769" s="78"/>
      <c r="C769" s="79"/>
      <c r="D769" s="80"/>
      <c r="E769" s="80"/>
      <c r="F769" s="80"/>
      <c r="G769" s="80"/>
      <c r="H769" s="81"/>
    </row>
    <row r="770" spans="2:8" x14ac:dyDescent="0.2">
      <c r="B770" s="78"/>
      <c r="C770" s="79"/>
      <c r="D770" s="80"/>
      <c r="E770" s="80"/>
      <c r="F770" s="80"/>
      <c r="G770" s="80"/>
      <c r="H770" s="81"/>
    </row>
    <row r="771" spans="2:8" x14ac:dyDescent="0.2">
      <c r="B771" s="78"/>
      <c r="C771" s="79"/>
      <c r="D771" s="80"/>
      <c r="E771" s="80"/>
      <c r="F771" s="80"/>
      <c r="G771" s="80"/>
      <c r="H771" s="81"/>
    </row>
    <row r="772" spans="2:8" x14ac:dyDescent="0.2">
      <c r="B772" s="78"/>
      <c r="C772" s="79"/>
      <c r="D772" s="80"/>
      <c r="E772" s="80"/>
      <c r="F772" s="80"/>
      <c r="G772" s="80"/>
      <c r="H772" s="81"/>
    </row>
    <row r="773" spans="2:8" x14ac:dyDescent="0.2">
      <c r="B773" s="78"/>
      <c r="C773" s="79"/>
      <c r="D773" s="80"/>
      <c r="E773" s="80"/>
      <c r="F773" s="80"/>
      <c r="G773" s="80"/>
      <c r="H773" s="81"/>
    </row>
    <row r="774" spans="2:8" x14ac:dyDescent="0.2">
      <c r="B774" s="78"/>
      <c r="C774" s="79"/>
      <c r="D774" s="80"/>
      <c r="E774" s="80"/>
      <c r="F774" s="80"/>
      <c r="G774" s="80"/>
      <c r="H774" s="81"/>
    </row>
    <row r="775" spans="2:8" x14ac:dyDescent="0.2">
      <c r="B775" s="78"/>
      <c r="C775" s="79"/>
      <c r="D775" s="80"/>
      <c r="E775" s="80"/>
      <c r="F775" s="80"/>
      <c r="G775" s="80"/>
      <c r="H775" s="81"/>
    </row>
    <row r="776" spans="2:8" x14ac:dyDescent="0.2">
      <c r="B776" s="78"/>
      <c r="C776" s="79"/>
      <c r="D776" s="80"/>
      <c r="E776" s="80"/>
      <c r="F776" s="80"/>
      <c r="G776" s="80"/>
      <c r="H776" s="81"/>
    </row>
    <row r="777" spans="2:8" x14ac:dyDescent="0.2">
      <c r="B777" s="78"/>
      <c r="C777" s="79"/>
      <c r="D777" s="80"/>
      <c r="E777" s="80"/>
      <c r="F777" s="80"/>
      <c r="G777" s="80"/>
      <c r="H777" s="81"/>
    </row>
    <row r="778" spans="2:8" x14ac:dyDescent="0.2">
      <c r="B778" s="78"/>
      <c r="C778" s="79"/>
      <c r="D778" s="80"/>
      <c r="E778" s="80"/>
      <c r="F778" s="80"/>
      <c r="G778" s="80"/>
      <c r="H778" s="81"/>
    </row>
    <row r="779" spans="2:8" x14ac:dyDescent="0.2">
      <c r="B779" s="78"/>
      <c r="C779" s="79"/>
      <c r="D779" s="80"/>
      <c r="E779" s="80"/>
      <c r="F779" s="80"/>
      <c r="G779" s="80"/>
      <c r="H779" s="81"/>
    </row>
    <row r="780" spans="2:8" x14ac:dyDescent="0.2">
      <c r="B780" s="78"/>
      <c r="C780" s="79"/>
      <c r="D780" s="80"/>
      <c r="E780" s="80"/>
      <c r="F780" s="80"/>
      <c r="G780" s="80"/>
      <c r="H780" s="81"/>
    </row>
    <row r="781" spans="2:8" x14ac:dyDescent="0.2">
      <c r="B781" s="78"/>
      <c r="C781" s="79"/>
      <c r="D781" s="80"/>
      <c r="E781" s="80"/>
      <c r="F781" s="80"/>
      <c r="G781" s="80"/>
      <c r="H781" s="81"/>
    </row>
    <row r="782" spans="2:8" x14ac:dyDescent="0.2">
      <c r="B782" s="78"/>
      <c r="C782" s="79"/>
      <c r="D782" s="80"/>
      <c r="E782" s="80"/>
      <c r="F782" s="80"/>
      <c r="G782" s="80"/>
      <c r="H782" s="81"/>
    </row>
    <row r="783" spans="2:8" x14ac:dyDescent="0.2">
      <c r="B783" s="78"/>
      <c r="C783" s="79"/>
      <c r="D783" s="80"/>
      <c r="E783" s="80"/>
      <c r="F783" s="80"/>
      <c r="G783" s="80"/>
      <c r="H783" s="81"/>
    </row>
    <row r="784" spans="2:8" x14ac:dyDescent="0.2">
      <c r="B784" s="78"/>
      <c r="C784" s="79"/>
      <c r="D784" s="80"/>
      <c r="E784" s="80"/>
      <c r="F784" s="80"/>
      <c r="G784" s="80"/>
      <c r="H784" s="81"/>
    </row>
    <row r="785" spans="2:8" x14ac:dyDescent="0.2">
      <c r="B785" s="78"/>
      <c r="C785" s="79"/>
      <c r="D785" s="80"/>
      <c r="E785" s="80"/>
      <c r="F785" s="80"/>
      <c r="G785" s="80"/>
      <c r="H785" s="81"/>
    </row>
    <row r="786" spans="2:8" x14ac:dyDescent="0.2">
      <c r="B786" s="78"/>
      <c r="C786" s="79"/>
      <c r="D786" s="80"/>
      <c r="E786" s="80"/>
      <c r="F786" s="80"/>
      <c r="G786" s="80"/>
      <c r="H786" s="81"/>
    </row>
    <row r="787" spans="2:8" x14ac:dyDescent="0.2">
      <c r="B787" s="78"/>
      <c r="C787" s="79"/>
      <c r="D787" s="80"/>
      <c r="E787" s="80"/>
      <c r="F787" s="80"/>
      <c r="G787" s="80"/>
      <c r="H787" s="81"/>
    </row>
    <row r="788" spans="2:8" x14ac:dyDescent="0.2">
      <c r="B788" s="78"/>
      <c r="C788" s="79"/>
      <c r="D788" s="80"/>
      <c r="E788" s="80"/>
      <c r="F788" s="80"/>
      <c r="G788" s="80"/>
      <c r="H788" s="81"/>
    </row>
    <row r="789" spans="2:8" x14ac:dyDescent="0.2">
      <c r="B789" s="78"/>
      <c r="C789" s="79"/>
      <c r="D789" s="80"/>
      <c r="E789" s="80"/>
      <c r="F789" s="80"/>
      <c r="G789" s="80"/>
      <c r="H789" s="81"/>
    </row>
    <row r="790" spans="2:8" x14ac:dyDescent="0.2">
      <c r="B790" s="78"/>
      <c r="C790" s="79"/>
      <c r="D790" s="80"/>
      <c r="E790" s="80"/>
      <c r="F790" s="80"/>
      <c r="G790" s="80"/>
      <c r="H790" s="81"/>
    </row>
    <row r="791" spans="2:8" x14ac:dyDescent="0.2">
      <c r="B791" s="78"/>
      <c r="C791" s="79"/>
      <c r="D791" s="80"/>
      <c r="E791" s="80"/>
      <c r="F791" s="80"/>
      <c r="G791" s="80"/>
      <c r="H791" s="81"/>
    </row>
    <row r="792" spans="2:8" x14ac:dyDescent="0.2">
      <c r="B792" s="78"/>
      <c r="C792" s="79"/>
      <c r="D792" s="80"/>
      <c r="E792" s="80"/>
      <c r="F792" s="80"/>
      <c r="G792" s="80"/>
      <c r="H792" s="81"/>
    </row>
    <row r="793" spans="2:8" x14ac:dyDescent="0.2">
      <c r="B793" s="78"/>
      <c r="C793" s="79"/>
      <c r="D793" s="80"/>
      <c r="E793" s="80"/>
      <c r="F793" s="80"/>
      <c r="G793" s="80"/>
      <c r="H793" s="81"/>
    </row>
    <row r="794" spans="2:8" x14ac:dyDescent="0.2">
      <c r="B794" s="78"/>
      <c r="C794" s="79"/>
      <c r="D794" s="80"/>
      <c r="E794" s="80"/>
      <c r="F794" s="80"/>
      <c r="G794" s="80"/>
      <c r="H794" s="81"/>
    </row>
    <row r="795" spans="2:8" x14ac:dyDescent="0.2">
      <c r="B795" s="78"/>
      <c r="C795" s="79"/>
      <c r="D795" s="80"/>
      <c r="E795" s="80"/>
      <c r="F795" s="80"/>
      <c r="G795" s="80"/>
      <c r="H795" s="81"/>
    </row>
    <row r="796" spans="2:8" x14ac:dyDescent="0.2">
      <c r="B796" s="78"/>
      <c r="C796" s="79"/>
      <c r="D796" s="80"/>
      <c r="E796" s="80"/>
      <c r="F796" s="80"/>
      <c r="G796" s="80"/>
      <c r="H796" s="81"/>
    </row>
    <row r="797" spans="2:8" x14ac:dyDescent="0.2">
      <c r="B797" s="78"/>
      <c r="C797" s="79"/>
      <c r="D797" s="80"/>
      <c r="E797" s="80"/>
      <c r="F797" s="80"/>
      <c r="G797" s="80"/>
      <c r="H797" s="81"/>
    </row>
    <row r="798" spans="2:8" x14ac:dyDescent="0.2">
      <c r="B798" s="78"/>
      <c r="C798" s="79"/>
      <c r="D798" s="80"/>
      <c r="E798" s="80"/>
      <c r="F798" s="80"/>
      <c r="G798" s="80"/>
      <c r="H798" s="81"/>
    </row>
    <row r="799" spans="2:8" x14ac:dyDescent="0.2">
      <c r="B799" s="78"/>
      <c r="C799" s="79"/>
      <c r="D799" s="80"/>
      <c r="E799" s="80"/>
      <c r="F799" s="80"/>
      <c r="G799" s="80"/>
      <c r="H799" s="81"/>
    </row>
    <row r="800" spans="2:8" x14ac:dyDescent="0.2">
      <c r="B800" s="78"/>
      <c r="C800" s="79"/>
      <c r="D800" s="80"/>
      <c r="E800" s="80"/>
      <c r="F800" s="80"/>
      <c r="G800" s="80"/>
      <c r="H800" s="81"/>
    </row>
    <row r="801" spans="2:8" x14ac:dyDescent="0.2">
      <c r="B801" s="78"/>
      <c r="C801" s="79"/>
      <c r="D801" s="80"/>
      <c r="E801" s="80"/>
      <c r="F801" s="80"/>
      <c r="G801" s="80"/>
      <c r="H801" s="81"/>
    </row>
    <row r="802" spans="2:8" x14ac:dyDescent="0.2">
      <c r="B802" s="78"/>
      <c r="C802" s="79"/>
      <c r="D802" s="80"/>
      <c r="E802" s="80"/>
      <c r="F802" s="80"/>
      <c r="G802" s="80"/>
      <c r="H802" s="81"/>
    </row>
    <row r="803" spans="2:8" x14ac:dyDescent="0.2">
      <c r="B803" s="78"/>
      <c r="C803" s="79"/>
      <c r="D803" s="80"/>
      <c r="E803" s="80"/>
      <c r="F803" s="80"/>
      <c r="G803" s="80"/>
      <c r="H803" s="81"/>
    </row>
    <row r="804" spans="2:8" x14ac:dyDescent="0.2">
      <c r="B804" s="78"/>
      <c r="C804" s="79"/>
      <c r="D804" s="80"/>
      <c r="E804" s="80"/>
      <c r="F804" s="80"/>
      <c r="G804" s="80"/>
      <c r="H804" s="81"/>
    </row>
    <row r="805" spans="2:8" x14ac:dyDescent="0.2">
      <c r="B805" s="78"/>
      <c r="C805" s="79"/>
      <c r="D805" s="80"/>
      <c r="E805" s="80"/>
      <c r="F805" s="80"/>
      <c r="G805" s="80"/>
      <c r="H805" s="81"/>
    </row>
    <row r="806" spans="2:8" x14ac:dyDescent="0.2">
      <c r="B806" s="78"/>
      <c r="C806" s="79"/>
      <c r="D806" s="80"/>
      <c r="E806" s="80"/>
      <c r="F806" s="80"/>
      <c r="G806" s="80"/>
      <c r="H806" s="81"/>
    </row>
    <row r="807" spans="2:8" x14ac:dyDescent="0.2">
      <c r="B807" s="78"/>
      <c r="C807" s="79"/>
      <c r="D807" s="80"/>
      <c r="E807" s="80"/>
      <c r="F807" s="80"/>
      <c r="G807" s="80"/>
      <c r="H807" s="81"/>
    </row>
    <row r="808" spans="2:8" x14ac:dyDescent="0.2">
      <c r="B808" s="78"/>
      <c r="C808" s="79"/>
      <c r="D808" s="80"/>
      <c r="E808" s="80"/>
      <c r="F808" s="80"/>
      <c r="G808" s="80"/>
      <c r="H808" s="81"/>
    </row>
    <row r="809" spans="2:8" x14ac:dyDescent="0.2">
      <c r="B809" s="78"/>
      <c r="C809" s="79"/>
      <c r="D809" s="80"/>
      <c r="E809" s="80"/>
      <c r="F809" s="80"/>
      <c r="G809" s="80"/>
      <c r="H809" s="81"/>
    </row>
    <row r="810" spans="2:8" x14ac:dyDescent="0.2">
      <c r="B810" s="78"/>
      <c r="C810" s="79"/>
      <c r="D810" s="80"/>
      <c r="E810" s="80"/>
      <c r="F810" s="80"/>
      <c r="G810" s="80"/>
      <c r="H810" s="81"/>
    </row>
    <row r="811" spans="2:8" x14ac:dyDescent="0.2">
      <c r="B811" s="78"/>
      <c r="C811" s="79"/>
      <c r="D811" s="80"/>
      <c r="E811" s="80"/>
      <c r="F811" s="80"/>
      <c r="G811" s="80"/>
      <c r="H811" s="81"/>
    </row>
    <row r="812" spans="2:8" x14ac:dyDescent="0.2">
      <c r="B812" s="78"/>
      <c r="C812" s="79"/>
      <c r="D812" s="80"/>
      <c r="E812" s="80"/>
      <c r="F812" s="80"/>
      <c r="G812" s="80"/>
      <c r="H812" s="81"/>
    </row>
    <row r="813" spans="2:8" x14ac:dyDescent="0.2">
      <c r="B813" s="78"/>
      <c r="C813" s="79"/>
      <c r="D813" s="80"/>
      <c r="E813" s="80"/>
      <c r="F813" s="80"/>
      <c r="G813" s="80"/>
      <c r="H813" s="81"/>
    </row>
    <row r="814" spans="2:8" x14ac:dyDescent="0.2">
      <c r="B814" s="78"/>
      <c r="C814" s="79"/>
      <c r="D814" s="80"/>
      <c r="E814" s="80"/>
      <c r="F814" s="80"/>
      <c r="G814" s="80"/>
      <c r="H814" s="81"/>
    </row>
    <row r="815" spans="2:8" x14ac:dyDescent="0.2">
      <c r="B815" s="78"/>
      <c r="C815" s="79"/>
      <c r="D815" s="80"/>
      <c r="E815" s="80"/>
      <c r="F815" s="80"/>
      <c r="G815" s="80"/>
      <c r="H815" s="81"/>
    </row>
    <row r="816" spans="2:8" x14ac:dyDescent="0.2">
      <c r="B816" s="78"/>
      <c r="C816" s="79"/>
      <c r="D816" s="80"/>
      <c r="E816" s="80"/>
      <c r="F816" s="80"/>
      <c r="G816" s="80"/>
      <c r="H816" s="81"/>
    </row>
    <row r="817" spans="2:8" x14ac:dyDescent="0.2">
      <c r="B817" s="78"/>
      <c r="C817" s="79"/>
      <c r="D817" s="80"/>
      <c r="E817" s="80"/>
      <c r="F817" s="80"/>
      <c r="G817" s="80"/>
      <c r="H817" s="81"/>
    </row>
    <row r="818" spans="2:8" x14ac:dyDescent="0.2">
      <c r="B818" s="78"/>
      <c r="C818" s="79"/>
      <c r="D818" s="80"/>
      <c r="E818" s="80"/>
      <c r="F818" s="80"/>
      <c r="G818" s="80"/>
      <c r="H818" s="81"/>
    </row>
    <row r="819" spans="2:8" x14ac:dyDescent="0.2">
      <c r="B819" s="78"/>
      <c r="C819" s="79"/>
      <c r="D819" s="80"/>
      <c r="E819" s="80"/>
      <c r="F819" s="80"/>
      <c r="G819" s="80"/>
      <c r="H819" s="81"/>
    </row>
    <row r="820" spans="2:8" x14ac:dyDescent="0.2">
      <c r="B820" s="78"/>
      <c r="C820" s="79"/>
      <c r="D820" s="80"/>
      <c r="E820" s="80"/>
      <c r="F820" s="80"/>
      <c r="G820" s="80"/>
      <c r="H820" s="81"/>
    </row>
    <row r="821" spans="2:8" x14ac:dyDescent="0.2">
      <c r="B821" s="78"/>
      <c r="C821" s="79"/>
      <c r="D821" s="80"/>
      <c r="E821" s="80"/>
      <c r="F821" s="80"/>
      <c r="G821" s="80"/>
      <c r="H821" s="81"/>
    </row>
    <row r="822" spans="2:8" x14ac:dyDescent="0.2">
      <c r="B822" s="78"/>
      <c r="C822" s="79"/>
      <c r="D822" s="80"/>
      <c r="E822" s="80"/>
      <c r="F822" s="80"/>
      <c r="G822" s="80"/>
      <c r="H822" s="81"/>
    </row>
    <row r="823" spans="2:8" x14ac:dyDescent="0.2">
      <c r="B823" s="78"/>
      <c r="C823" s="79"/>
      <c r="D823" s="80"/>
      <c r="E823" s="80"/>
      <c r="F823" s="80"/>
      <c r="G823" s="80"/>
      <c r="H823" s="81"/>
    </row>
    <row r="824" spans="2:8" x14ac:dyDescent="0.2">
      <c r="B824" s="78"/>
      <c r="C824" s="79"/>
      <c r="D824" s="80"/>
      <c r="E824" s="80"/>
      <c r="F824" s="80"/>
      <c r="G824" s="80"/>
      <c r="H824" s="81"/>
    </row>
    <row r="825" spans="2:8" x14ac:dyDescent="0.2">
      <c r="B825" s="78"/>
      <c r="C825" s="79"/>
      <c r="D825" s="80"/>
      <c r="E825" s="80"/>
      <c r="F825" s="80"/>
      <c r="G825" s="80"/>
      <c r="H825" s="81"/>
    </row>
    <row r="826" spans="2:8" x14ac:dyDescent="0.2">
      <c r="B826" s="78"/>
      <c r="C826" s="79"/>
      <c r="D826" s="80"/>
      <c r="E826" s="80"/>
      <c r="F826" s="80"/>
      <c r="G826" s="80"/>
      <c r="H826" s="81"/>
    </row>
    <row r="827" spans="2:8" x14ac:dyDescent="0.2">
      <c r="B827" s="78"/>
      <c r="C827" s="79"/>
      <c r="D827" s="80"/>
      <c r="E827" s="80"/>
      <c r="F827" s="80"/>
      <c r="G827" s="80"/>
      <c r="H827" s="81"/>
    </row>
    <row r="828" spans="2:8" x14ac:dyDescent="0.2">
      <c r="B828" s="78"/>
      <c r="C828" s="79"/>
      <c r="D828" s="80"/>
      <c r="E828" s="80"/>
      <c r="F828" s="80"/>
      <c r="G828" s="80"/>
      <c r="H828" s="81"/>
    </row>
    <row r="829" spans="2:8" x14ac:dyDescent="0.2">
      <c r="B829" s="78"/>
      <c r="C829" s="79"/>
      <c r="D829" s="80"/>
      <c r="E829" s="80"/>
      <c r="F829" s="80"/>
      <c r="G829" s="80"/>
      <c r="H829" s="81"/>
    </row>
    <row r="830" spans="2:8" x14ac:dyDescent="0.2">
      <c r="B830" s="78"/>
      <c r="C830" s="79"/>
      <c r="D830" s="80"/>
      <c r="E830" s="80"/>
      <c r="F830" s="80"/>
      <c r="G830" s="80"/>
      <c r="H830" s="81"/>
    </row>
    <row r="831" spans="2:8" x14ac:dyDescent="0.2">
      <c r="B831" s="78"/>
      <c r="C831" s="79"/>
      <c r="D831" s="80"/>
      <c r="E831" s="80"/>
      <c r="F831" s="80"/>
      <c r="G831" s="80"/>
      <c r="H831" s="81"/>
    </row>
    <row r="832" spans="2:8" x14ac:dyDescent="0.2">
      <c r="B832" s="78"/>
      <c r="C832" s="79"/>
      <c r="D832" s="80"/>
      <c r="E832" s="80"/>
      <c r="F832" s="80"/>
      <c r="G832" s="80"/>
      <c r="H832" s="81"/>
    </row>
    <row r="833" spans="2:8" x14ac:dyDescent="0.2">
      <c r="B833" s="78"/>
      <c r="C833" s="79"/>
      <c r="D833" s="80"/>
      <c r="E833" s="80"/>
      <c r="F833" s="80"/>
      <c r="G833" s="80"/>
      <c r="H833" s="81"/>
    </row>
    <row r="834" spans="2:8" x14ac:dyDescent="0.2">
      <c r="B834" s="78"/>
      <c r="C834" s="79"/>
      <c r="D834" s="80"/>
      <c r="E834" s="80"/>
      <c r="F834" s="80"/>
      <c r="G834" s="80"/>
      <c r="H834" s="81"/>
    </row>
    <row r="835" spans="2:8" x14ac:dyDescent="0.2">
      <c r="B835" s="78"/>
      <c r="C835" s="79"/>
      <c r="D835" s="80"/>
      <c r="E835" s="80"/>
      <c r="F835" s="80"/>
      <c r="G835" s="80"/>
      <c r="H835" s="81"/>
    </row>
    <row r="836" spans="2:8" x14ac:dyDescent="0.2">
      <c r="B836" s="78"/>
      <c r="C836" s="79"/>
      <c r="D836" s="80"/>
      <c r="E836" s="80"/>
      <c r="F836" s="80"/>
      <c r="G836" s="80"/>
      <c r="H836" s="81"/>
    </row>
    <row r="837" spans="2:8" x14ac:dyDescent="0.2">
      <c r="B837" s="78"/>
      <c r="C837" s="79"/>
      <c r="D837" s="80"/>
      <c r="E837" s="80"/>
      <c r="F837" s="80"/>
      <c r="G837" s="80"/>
      <c r="H837" s="81"/>
    </row>
    <row r="838" spans="2:8" x14ac:dyDescent="0.2">
      <c r="B838" s="78"/>
      <c r="C838" s="79"/>
      <c r="D838" s="80"/>
      <c r="E838" s="80"/>
      <c r="F838" s="80"/>
      <c r="G838" s="80"/>
      <c r="H838" s="81"/>
    </row>
    <row r="839" spans="2:8" x14ac:dyDescent="0.2">
      <c r="B839" s="78"/>
      <c r="C839" s="79"/>
      <c r="D839" s="80"/>
      <c r="E839" s="80"/>
      <c r="F839" s="80"/>
      <c r="G839" s="80"/>
      <c r="H839" s="81"/>
    </row>
    <row r="840" spans="2:8" x14ac:dyDescent="0.2">
      <c r="B840" s="78"/>
      <c r="C840" s="79"/>
      <c r="D840" s="80"/>
      <c r="E840" s="80"/>
      <c r="F840" s="80"/>
      <c r="G840" s="80"/>
      <c r="H840" s="81"/>
    </row>
    <row r="841" spans="2:8" x14ac:dyDescent="0.2">
      <c r="B841" s="78"/>
      <c r="C841" s="79"/>
      <c r="D841" s="80"/>
      <c r="E841" s="80"/>
      <c r="F841" s="80"/>
      <c r="G841" s="80"/>
      <c r="H841" s="81"/>
    </row>
    <row r="842" spans="2:8" x14ac:dyDescent="0.2">
      <c r="B842" s="78"/>
      <c r="C842" s="79"/>
      <c r="D842" s="80"/>
      <c r="E842" s="80"/>
      <c r="F842" s="80"/>
      <c r="G842" s="80"/>
      <c r="H842" s="81"/>
    </row>
    <row r="843" spans="2:8" x14ac:dyDescent="0.2">
      <c r="B843" s="78"/>
      <c r="C843" s="79"/>
      <c r="D843" s="80"/>
      <c r="E843" s="80"/>
      <c r="F843" s="80"/>
      <c r="G843" s="80"/>
      <c r="H843" s="81"/>
    </row>
    <row r="844" spans="2:8" x14ac:dyDescent="0.2">
      <c r="B844" s="78"/>
      <c r="C844" s="79"/>
      <c r="D844" s="80"/>
      <c r="E844" s="80"/>
      <c r="F844" s="80"/>
      <c r="G844" s="80"/>
      <c r="H844" s="81"/>
    </row>
    <row r="845" spans="2:8" x14ac:dyDescent="0.2">
      <c r="B845" s="78"/>
      <c r="C845" s="79"/>
      <c r="D845" s="80"/>
      <c r="E845" s="80"/>
      <c r="F845" s="80"/>
      <c r="G845" s="80"/>
      <c r="H845" s="81"/>
    </row>
    <row r="846" spans="2:8" x14ac:dyDescent="0.2">
      <c r="B846" s="78"/>
      <c r="C846" s="79"/>
      <c r="D846" s="80"/>
      <c r="E846" s="80"/>
      <c r="F846" s="80"/>
      <c r="G846" s="80"/>
      <c r="H846" s="81"/>
    </row>
    <row r="847" spans="2:8" x14ac:dyDescent="0.2">
      <c r="B847" s="78"/>
      <c r="C847" s="79"/>
      <c r="D847" s="80"/>
      <c r="E847" s="80"/>
      <c r="F847" s="80"/>
      <c r="G847" s="80"/>
      <c r="H847" s="81"/>
    </row>
    <row r="848" spans="2:8" x14ac:dyDescent="0.2">
      <c r="B848" s="78"/>
      <c r="C848" s="79"/>
      <c r="D848" s="80"/>
      <c r="E848" s="80"/>
      <c r="F848" s="80"/>
      <c r="G848" s="80"/>
      <c r="H848" s="81"/>
    </row>
    <row r="849" spans="2:8" x14ac:dyDescent="0.2">
      <c r="B849" s="78"/>
      <c r="C849" s="79"/>
      <c r="D849" s="80"/>
      <c r="E849" s="80"/>
      <c r="F849" s="80"/>
      <c r="G849" s="80"/>
      <c r="H849" s="81"/>
    </row>
    <row r="850" spans="2:8" x14ac:dyDescent="0.2">
      <c r="B850" s="78"/>
      <c r="C850" s="79"/>
      <c r="D850" s="80"/>
      <c r="E850" s="80"/>
      <c r="F850" s="80"/>
      <c r="G850" s="80"/>
      <c r="H850" s="81"/>
    </row>
    <row r="851" spans="2:8" x14ac:dyDescent="0.2">
      <c r="B851" s="78"/>
      <c r="C851" s="79"/>
      <c r="D851" s="80"/>
      <c r="E851" s="80"/>
      <c r="F851" s="80"/>
      <c r="G851" s="80"/>
      <c r="H851" s="81"/>
    </row>
    <row r="852" spans="2:8" x14ac:dyDescent="0.2">
      <c r="B852" s="78"/>
      <c r="C852" s="79"/>
      <c r="D852" s="80"/>
      <c r="E852" s="80"/>
      <c r="F852" s="80"/>
      <c r="G852" s="80"/>
      <c r="H852" s="81"/>
    </row>
    <row r="853" spans="2:8" x14ac:dyDescent="0.2">
      <c r="B853" s="78"/>
      <c r="C853" s="79"/>
      <c r="D853" s="80"/>
      <c r="E853" s="80"/>
      <c r="F853" s="80"/>
      <c r="G853" s="80"/>
      <c r="H853" s="81"/>
    </row>
    <row r="854" spans="2:8" x14ac:dyDescent="0.2">
      <c r="B854" s="78"/>
      <c r="C854" s="79"/>
      <c r="D854" s="80"/>
      <c r="E854" s="80"/>
      <c r="F854" s="80"/>
      <c r="G854" s="80"/>
      <c r="H854" s="81"/>
    </row>
    <row r="855" spans="2:8" x14ac:dyDescent="0.2">
      <c r="B855" s="78"/>
      <c r="C855" s="79"/>
      <c r="D855" s="80"/>
      <c r="E855" s="80"/>
      <c r="F855" s="80"/>
      <c r="G855" s="80"/>
      <c r="H855" s="81"/>
    </row>
    <row r="856" spans="2:8" x14ac:dyDescent="0.2">
      <c r="B856" s="78"/>
      <c r="C856" s="79"/>
      <c r="D856" s="80"/>
      <c r="E856" s="80"/>
      <c r="F856" s="80"/>
      <c r="G856" s="80"/>
      <c r="H856" s="81"/>
    </row>
    <row r="857" spans="2:8" x14ac:dyDescent="0.2">
      <c r="B857" s="78"/>
      <c r="C857" s="79"/>
      <c r="D857" s="80"/>
      <c r="E857" s="80"/>
      <c r="F857" s="80"/>
      <c r="G857" s="80"/>
      <c r="H857" s="81"/>
    </row>
    <row r="858" spans="2:8" x14ac:dyDescent="0.2">
      <c r="B858" s="78"/>
      <c r="C858" s="79"/>
      <c r="D858" s="80"/>
      <c r="E858" s="80"/>
      <c r="F858" s="80"/>
      <c r="G858" s="80"/>
      <c r="H858" s="81"/>
    </row>
    <row r="859" spans="2:8" x14ac:dyDescent="0.2">
      <c r="B859" s="78"/>
      <c r="C859" s="79"/>
      <c r="D859" s="80"/>
      <c r="E859" s="80"/>
      <c r="F859" s="80"/>
      <c r="G859" s="80"/>
      <c r="H859" s="81"/>
    </row>
    <row r="860" spans="2:8" x14ac:dyDescent="0.2">
      <c r="B860" s="78"/>
      <c r="C860" s="79"/>
      <c r="D860" s="80"/>
      <c r="E860" s="80"/>
      <c r="F860" s="80"/>
      <c r="G860" s="80"/>
      <c r="H860" s="81"/>
    </row>
    <row r="861" spans="2:8" x14ac:dyDescent="0.2">
      <c r="B861" s="78"/>
      <c r="C861" s="79"/>
      <c r="D861" s="80"/>
      <c r="E861" s="80"/>
      <c r="F861" s="80"/>
      <c r="G861" s="80"/>
      <c r="H861" s="81"/>
    </row>
    <row r="862" spans="2:8" x14ac:dyDescent="0.2">
      <c r="B862" s="78"/>
      <c r="C862" s="79"/>
      <c r="D862" s="80"/>
      <c r="E862" s="80"/>
      <c r="F862" s="80"/>
      <c r="G862" s="80"/>
      <c r="H862" s="81"/>
    </row>
    <row r="863" spans="2:8" x14ac:dyDescent="0.2">
      <c r="B863" s="78"/>
      <c r="C863" s="79"/>
      <c r="D863" s="80"/>
      <c r="E863" s="80"/>
      <c r="F863" s="80"/>
      <c r="G863" s="80"/>
      <c r="H863" s="81"/>
    </row>
    <row r="864" spans="2:8" x14ac:dyDescent="0.2">
      <c r="B864" s="78"/>
      <c r="C864" s="79"/>
      <c r="D864" s="80"/>
      <c r="E864" s="80"/>
      <c r="F864" s="80"/>
      <c r="G864" s="80"/>
      <c r="H864" s="81"/>
    </row>
    <row r="865" spans="2:8" x14ac:dyDescent="0.2">
      <c r="B865" s="78"/>
      <c r="C865" s="79"/>
      <c r="D865" s="80"/>
      <c r="E865" s="80"/>
      <c r="F865" s="80"/>
      <c r="G865" s="80"/>
      <c r="H865" s="81"/>
    </row>
    <row r="866" spans="2:8" x14ac:dyDescent="0.2">
      <c r="B866" s="78"/>
      <c r="C866" s="79"/>
      <c r="D866" s="80"/>
      <c r="E866" s="80"/>
      <c r="F866" s="80"/>
      <c r="G866" s="80"/>
      <c r="H866" s="81"/>
    </row>
    <row r="867" spans="2:8" x14ac:dyDescent="0.2">
      <c r="B867" s="78"/>
      <c r="C867" s="79"/>
      <c r="D867" s="80"/>
      <c r="E867" s="80"/>
      <c r="F867" s="80"/>
      <c r="G867" s="80"/>
      <c r="H867" s="81"/>
    </row>
    <row r="868" spans="2:8" x14ac:dyDescent="0.2">
      <c r="B868" s="78"/>
      <c r="C868" s="79"/>
      <c r="D868" s="80"/>
      <c r="E868" s="80"/>
      <c r="F868" s="80"/>
      <c r="G868" s="80"/>
      <c r="H868" s="81"/>
    </row>
    <row r="869" spans="2:8" x14ac:dyDescent="0.2">
      <c r="B869" s="78"/>
      <c r="C869" s="79"/>
      <c r="D869" s="80"/>
      <c r="E869" s="80"/>
      <c r="F869" s="80"/>
      <c r="G869" s="80"/>
      <c r="H869" s="81"/>
    </row>
    <row r="870" spans="2:8" x14ac:dyDescent="0.2">
      <c r="B870" s="78"/>
      <c r="C870" s="79"/>
      <c r="D870" s="80"/>
      <c r="E870" s="80"/>
      <c r="F870" s="80"/>
      <c r="G870" s="80"/>
      <c r="H870" s="81"/>
    </row>
    <row r="871" spans="2:8" x14ac:dyDescent="0.2">
      <c r="B871" s="78"/>
      <c r="C871" s="79"/>
      <c r="D871" s="80"/>
      <c r="E871" s="80"/>
      <c r="F871" s="80"/>
      <c r="G871" s="80"/>
      <c r="H871" s="81"/>
    </row>
    <row r="872" spans="2:8" x14ac:dyDescent="0.2">
      <c r="B872" s="78"/>
      <c r="C872" s="79"/>
      <c r="D872" s="80"/>
      <c r="E872" s="80"/>
      <c r="F872" s="80"/>
      <c r="G872" s="80"/>
      <c r="H872" s="81"/>
    </row>
    <row r="873" spans="2:8" x14ac:dyDescent="0.2">
      <c r="B873" s="78"/>
      <c r="C873" s="79"/>
      <c r="D873" s="80"/>
      <c r="E873" s="80"/>
      <c r="F873" s="80"/>
      <c r="G873" s="80"/>
      <c r="H873" s="81"/>
    </row>
    <row r="874" spans="2:8" x14ac:dyDescent="0.2">
      <c r="B874" s="78"/>
      <c r="C874" s="79"/>
      <c r="D874" s="80"/>
      <c r="E874" s="80"/>
      <c r="F874" s="80"/>
      <c r="G874" s="80"/>
      <c r="H874" s="81"/>
    </row>
    <row r="875" spans="2:8" x14ac:dyDescent="0.2">
      <c r="B875" s="78"/>
      <c r="C875" s="79"/>
      <c r="D875" s="80"/>
      <c r="E875" s="80"/>
      <c r="F875" s="80"/>
      <c r="G875" s="80"/>
      <c r="H875" s="81"/>
    </row>
    <row r="876" spans="2:8" x14ac:dyDescent="0.2">
      <c r="B876" s="78"/>
      <c r="C876" s="79"/>
      <c r="D876" s="80"/>
      <c r="E876" s="80"/>
      <c r="F876" s="80"/>
      <c r="G876" s="80"/>
      <c r="H876" s="81"/>
    </row>
    <row r="877" spans="2:8" x14ac:dyDescent="0.2">
      <c r="B877" s="78"/>
      <c r="C877" s="79"/>
      <c r="D877" s="80"/>
      <c r="E877" s="80"/>
      <c r="F877" s="80"/>
      <c r="G877" s="80"/>
      <c r="H877" s="81"/>
    </row>
    <row r="878" spans="2:8" x14ac:dyDescent="0.2">
      <c r="B878" s="78"/>
      <c r="C878" s="79"/>
      <c r="D878" s="80"/>
      <c r="E878" s="80"/>
      <c r="F878" s="80"/>
      <c r="G878" s="80"/>
      <c r="H878" s="81"/>
    </row>
    <row r="879" spans="2:8" x14ac:dyDescent="0.2">
      <c r="B879" s="78"/>
      <c r="C879" s="79"/>
      <c r="D879" s="80"/>
      <c r="E879" s="80"/>
      <c r="F879" s="80"/>
      <c r="G879" s="80"/>
      <c r="H879" s="81"/>
    </row>
    <row r="880" spans="2:8" x14ac:dyDescent="0.2">
      <c r="B880" s="78"/>
      <c r="C880" s="79"/>
      <c r="D880" s="80"/>
      <c r="E880" s="80"/>
      <c r="F880" s="80"/>
      <c r="G880" s="80"/>
      <c r="H880" s="81"/>
    </row>
    <row r="881" spans="2:8" x14ac:dyDescent="0.2">
      <c r="B881" s="78"/>
      <c r="C881" s="79"/>
      <c r="D881" s="80"/>
      <c r="E881" s="80"/>
      <c r="F881" s="80"/>
      <c r="G881" s="80"/>
      <c r="H881" s="81"/>
    </row>
    <row r="882" spans="2:8" x14ac:dyDescent="0.2">
      <c r="B882" s="78"/>
      <c r="C882" s="79"/>
      <c r="D882" s="80"/>
      <c r="E882" s="80"/>
      <c r="F882" s="80"/>
      <c r="G882" s="80"/>
      <c r="H882" s="81"/>
    </row>
    <row r="883" spans="2:8" x14ac:dyDescent="0.2">
      <c r="B883" s="78"/>
      <c r="C883" s="79"/>
      <c r="D883" s="80"/>
      <c r="E883" s="80"/>
      <c r="F883" s="80"/>
      <c r="G883" s="80"/>
      <c r="H883" s="81"/>
    </row>
    <row r="884" spans="2:8" x14ac:dyDescent="0.2">
      <c r="B884" s="78"/>
      <c r="C884" s="79"/>
      <c r="D884" s="80"/>
      <c r="E884" s="80"/>
      <c r="F884" s="80"/>
      <c r="G884" s="80"/>
      <c r="H884" s="81"/>
    </row>
    <row r="885" spans="2:8" x14ac:dyDescent="0.2">
      <c r="B885" s="78"/>
      <c r="C885" s="79"/>
      <c r="D885" s="80"/>
      <c r="E885" s="80"/>
      <c r="F885" s="80"/>
      <c r="G885" s="80"/>
      <c r="H885" s="81"/>
    </row>
    <row r="886" spans="2:8" x14ac:dyDescent="0.2">
      <c r="B886" s="78"/>
      <c r="C886" s="79"/>
      <c r="D886" s="80"/>
      <c r="E886" s="80"/>
      <c r="F886" s="80"/>
      <c r="G886" s="80"/>
      <c r="H886" s="81"/>
    </row>
    <row r="887" spans="2:8" x14ac:dyDescent="0.2">
      <c r="B887" s="78"/>
      <c r="C887" s="79"/>
      <c r="D887" s="80"/>
      <c r="E887" s="80"/>
      <c r="F887" s="80"/>
      <c r="G887" s="80"/>
      <c r="H887" s="81"/>
    </row>
    <row r="888" spans="2:8" x14ac:dyDescent="0.2">
      <c r="B888" s="78"/>
      <c r="C888" s="79"/>
      <c r="D888" s="80"/>
      <c r="E888" s="80"/>
      <c r="F888" s="80"/>
      <c r="G888" s="80"/>
      <c r="H888" s="81"/>
    </row>
    <row r="889" spans="2:8" x14ac:dyDescent="0.2">
      <c r="B889" s="78"/>
      <c r="C889" s="79"/>
      <c r="D889" s="80"/>
      <c r="E889" s="80"/>
      <c r="F889" s="80"/>
      <c r="G889" s="80"/>
      <c r="H889" s="81"/>
    </row>
    <row r="890" spans="2:8" x14ac:dyDescent="0.2">
      <c r="B890" s="78"/>
      <c r="C890" s="79"/>
      <c r="D890" s="80"/>
      <c r="E890" s="80"/>
      <c r="F890" s="80"/>
      <c r="G890" s="80"/>
      <c r="H890" s="81"/>
    </row>
    <row r="891" spans="2:8" x14ac:dyDescent="0.2">
      <c r="B891" s="78"/>
      <c r="C891" s="79"/>
      <c r="D891" s="80"/>
      <c r="E891" s="80"/>
      <c r="F891" s="80"/>
      <c r="G891" s="80"/>
      <c r="H891" s="81"/>
    </row>
    <row r="892" spans="2:8" x14ac:dyDescent="0.2">
      <c r="B892" s="78"/>
      <c r="C892" s="79"/>
      <c r="D892" s="80"/>
      <c r="E892" s="80"/>
      <c r="F892" s="80"/>
      <c r="G892" s="80"/>
      <c r="H892" s="81"/>
    </row>
    <row r="893" spans="2:8" x14ac:dyDescent="0.2">
      <c r="B893" s="78"/>
      <c r="C893" s="79"/>
      <c r="D893" s="80"/>
      <c r="E893" s="80"/>
      <c r="F893" s="80"/>
      <c r="G893" s="80"/>
      <c r="H893" s="81"/>
    </row>
    <row r="894" spans="2:8" x14ac:dyDescent="0.2">
      <c r="B894" s="78"/>
      <c r="C894" s="79"/>
      <c r="D894" s="80"/>
      <c r="E894" s="80"/>
      <c r="F894" s="80"/>
      <c r="G894" s="80"/>
      <c r="H894" s="81"/>
    </row>
    <row r="895" spans="2:8" x14ac:dyDescent="0.2">
      <c r="B895" s="78"/>
      <c r="C895" s="79"/>
      <c r="D895" s="80"/>
      <c r="E895" s="80"/>
      <c r="F895" s="80"/>
      <c r="G895" s="80"/>
      <c r="H895" s="81"/>
    </row>
    <row r="896" spans="2:8" x14ac:dyDescent="0.2">
      <c r="B896" s="78"/>
      <c r="C896" s="79"/>
      <c r="D896" s="80"/>
      <c r="E896" s="80"/>
      <c r="F896" s="80"/>
      <c r="G896" s="80"/>
      <c r="H896" s="81"/>
    </row>
    <row r="897" spans="2:8" x14ac:dyDescent="0.2">
      <c r="B897" s="78"/>
      <c r="C897" s="79"/>
      <c r="D897" s="80"/>
      <c r="E897" s="80"/>
      <c r="F897" s="80"/>
      <c r="G897" s="80"/>
      <c r="H897" s="81"/>
    </row>
    <row r="898" spans="2:8" x14ac:dyDescent="0.2">
      <c r="B898" s="78"/>
      <c r="C898" s="79"/>
      <c r="D898" s="80"/>
      <c r="E898" s="80"/>
      <c r="F898" s="80"/>
      <c r="G898" s="80"/>
      <c r="H898" s="81"/>
    </row>
    <row r="899" spans="2:8" x14ac:dyDescent="0.2">
      <c r="B899" s="78"/>
      <c r="C899" s="79"/>
      <c r="D899" s="80"/>
      <c r="E899" s="80"/>
      <c r="F899" s="80"/>
      <c r="G899" s="80"/>
      <c r="H899" s="81"/>
    </row>
    <row r="900" spans="2:8" x14ac:dyDescent="0.2">
      <c r="B900" s="78"/>
      <c r="C900" s="79"/>
      <c r="D900" s="80"/>
      <c r="E900" s="80"/>
      <c r="F900" s="80"/>
      <c r="G900" s="80"/>
      <c r="H900" s="81"/>
    </row>
    <row r="901" spans="2:8" x14ac:dyDescent="0.2">
      <c r="B901" s="78"/>
      <c r="C901" s="79"/>
      <c r="D901" s="80"/>
      <c r="E901" s="80"/>
      <c r="F901" s="80"/>
      <c r="G901" s="80"/>
      <c r="H901" s="81"/>
    </row>
    <row r="902" spans="2:8" x14ac:dyDescent="0.2">
      <c r="B902" s="78"/>
      <c r="C902" s="79"/>
      <c r="D902" s="80"/>
      <c r="E902" s="80"/>
      <c r="F902" s="80"/>
      <c r="G902" s="80"/>
      <c r="H902" s="81"/>
    </row>
    <row r="903" spans="2:8" x14ac:dyDescent="0.2">
      <c r="B903" s="78"/>
      <c r="C903" s="79"/>
      <c r="D903" s="80"/>
      <c r="E903" s="80"/>
      <c r="F903" s="80"/>
      <c r="G903" s="80"/>
      <c r="H903" s="81"/>
    </row>
    <row r="904" spans="2:8" x14ac:dyDescent="0.2">
      <c r="B904" s="78"/>
      <c r="C904" s="79"/>
      <c r="D904" s="80"/>
      <c r="E904" s="80"/>
      <c r="F904" s="80"/>
      <c r="G904" s="80"/>
      <c r="H904" s="81"/>
    </row>
    <row r="905" spans="2:8" x14ac:dyDescent="0.2">
      <c r="B905" s="78"/>
      <c r="C905" s="79"/>
      <c r="D905" s="80"/>
      <c r="E905" s="80"/>
      <c r="F905" s="80"/>
      <c r="G905" s="80"/>
      <c r="H905" s="81"/>
    </row>
    <row r="906" spans="2:8" x14ac:dyDescent="0.2">
      <c r="B906" s="78"/>
      <c r="C906" s="79"/>
      <c r="D906" s="80"/>
      <c r="E906" s="80"/>
      <c r="F906" s="80"/>
      <c r="G906" s="80"/>
      <c r="H906" s="81"/>
    </row>
    <row r="907" spans="2:8" x14ac:dyDescent="0.2">
      <c r="B907" s="78"/>
      <c r="C907" s="79"/>
      <c r="D907" s="80"/>
      <c r="E907" s="80"/>
      <c r="F907" s="80"/>
      <c r="G907" s="80"/>
      <c r="H907" s="81"/>
    </row>
    <row r="908" spans="2:8" x14ac:dyDescent="0.2">
      <c r="B908" s="78"/>
      <c r="C908" s="79"/>
      <c r="D908" s="80"/>
      <c r="E908" s="80"/>
      <c r="F908" s="80"/>
      <c r="G908" s="80"/>
      <c r="H908" s="81"/>
    </row>
    <row r="909" spans="2:8" x14ac:dyDescent="0.2">
      <c r="B909" s="78"/>
      <c r="C909" s="79"/>
      <c r="D909" s="80"/>
      <c r="E909" s="80"/>
      <c r="F909" s="80"/>
      <c r="G909" s="80"/>
      <c r="H909" s="81"/>
    </row>
    <row r="910" spans="2:8" x14ac:dyDescent="0.2">
      <c r="B910" s="78"/>
      <c r="C910" s="79"/>
      <c r="D910" s="80"/>
      <c r="E910" s="80"/>
      <c r="F910" s="80"/>
      <c r="G910" s="80"/>
      <c r="H910" s="81"/>
    </row>
    <row r="911" spans="2:8" x14ac:dyDescent="0.2">
      <c r="B911" s="78"/>
      <c r="C911" s="79"/>
      <c r="D911" s="80"/>
      <c r="E911" s="80"/>
      <c r="F911" s="80"/>
      <c r="G911" s="80"/>
      <c r="H911" s="81"/>
    </row>
    <row r="912" spans="2:8" x14ac:dyDescent="0.2">
      <c r="B912" s="78"/>
      <c r="C912" s="79"/>
      <c r="D912" s="80"/>
      <c r="E912" s="80"/>
      <c r="F912" s="80"/>
      <c r="G912" s="80"/>
      <c r="H912" s="81"/>
    </row>
    <row r="913" spans="2:8" x14ac:dyDescent="0.2">
      <c r="B913" s="78"/>
      <c r="C913" s="79"/>
      <c r="D913" s="80"/>
      <c r="E913" s="80"/>
      <c r="F913" s="80"/>
      <c r="G913" s="80"/>
      <c r="H913" s="81"/>
    </row>
    <row r="914" spans="2:8" x14ac:dyDescent="0.2">
      <c r="B914" s="78"/>
      <c r="C914" s="79"/>
      <c r="D914" s="80"/>
      <c r="E914" s="80"/>
      <c r="F914" s="80"/>
      <c r="G914" s="80"/>
      <c r="H914" s="81"/>
    </row>
    <row r="915" spans="2:8" x14ac:dyDescent="0.2">
      <c r="B915" s="78"/>
      <c r="C915" s="79"/>
      <c r="D915" s="80"/>
      <c r="E915" s="80"/>
      <c r="F915" s="80"/>
      <c r="G915" s="80"/>
      <c r="H915" s="81"/>
    </row>
    <row r="916" spans="2:8" x14ac:dyDescent="0.2">
      <c r="B916" s="78"/>
      <c r="C916" s="79"/>
      <c r="D916" s="80"/>
      <c r="E916" s="80"/>
      <c r="F916" s="80"/>
      <c r="G916" s="80"/>
      <c r="H916" s="81"/>
    </row>
    <row r="917" spans="2:8" x14ac:dyDescent="0.2">
      <c r="B917" s="78"/>
      <c r="C917" s="79"/>
      <c r="D917" s="80"/>
      <c r="E917" s="80"/>
      <c r="F917" s="80"/>
      <c r="G917" s="80"/>
      <c r="H917" s="81"/>
    </row>
    <row r="918" spans="2:8" x14ac:dyDescent="0.2">
      <c r="B918" s="78"/>
      <c r="C918" s="79"/>
      <c r="D918" s="80"/>
      <c r="E918" s="80"/>
      <c r="F918" s="80"/>
      <c r="G918" s="80"/>
      <c r="H918" s="81"/>
    </row>
    <row r="919" spans="2:8" x14ac:dyDescent="0.2">
      <c r="B919" s="78"/>
      <c r="C919" s="79"/>
      <c r="D919" s="80"/>
      <c r="E919" s="80"/>
      <c r="F919" s="80"/>
      <c r="G919" s="80"/>
      <c r="H919" s="81"/>
    </row>
    <row r="920" spans="2:8" x14ac:dyDescent="0.2">
      <c r="B920" s="78"/>
      <c r="C920" s="79"/>
      <c r="D920" s="80"/>
      <c r="E920" s="80"/>
      <c r="F920" s="80"/>
      <c r="G920" s="80"/>
      <c r="H920" s="81"/>
    </row>
    <row r="921" spans="2:8" x14ac:dyDescent="0.2">
      <c r="B921" s="78"/>
      <c r="C921" s="79"/>
      <c r="D921" s="80"/>
      <c r="E921" s="80"/>
      <c r="F921" s="80"/>
      <c r="G921" s="80"/>
      <c r="H921" s="81"/>
    </row>
    <row r="922" spans="2:8" x14ac:dyDescent="0.2">
      <c r="B922" s="78"/>
      <c r="C922" s="79"/>
      <c r="D922" s="80"/>
      <c r="E922" s="80"/>
      <c r="F922" s="80"/>
      <c r="G922" s="80"/>
      <c r="H922" s="81"/>
    </row>
    <row r="923" spans="2:8" x14ac:dyDescent="0.2">
      <c r="B923" s="78"/>
      <c r="C923" s="79"/>
      <c r="D923" s="80"/>
      <c r="E923" s="80"/>
      <c r="F923" s="80"/>
      <c r="G923" s="80"/>
      <c r="H923" s="81"/>
    </row>
    <row r="924" spans="2:8" x14ac:dyDescent="0.2">
      <c r="B924" s="78"/>
      <c r="C924" s="79"/>
      <c r="D924" s="80"/>
      <c r="E924" s="80"/>
      <c r="F924" s="80"/>
      <c r="G924" s="80"/>
      <c r="H924" s="81"/>
    </row>
    <row r="925" spans="2:8" x14ac:dyDescent="0.2">
      <c r="B925" s="78"/>
      <c r="C925" s="79"/>
      <c r="D925" s="80"/>
      <c r="E925" s="80"/>
      <c r="F925" s="80"/>
      <c r="G925" s="80"/>
      <c r="H925" s="81"/>
    </row>
    <row r="926" spans="2:8" x14ac:dyDescent="0.2">
      <c r="B926" s="78"/>
      <c r="C926" s="79"/>
      <c r="D926" s="80"/>
      <c r="E926" s="80"/>
      <c r="F926" s="80"/>
      <c r="G926" s="80"/>
      <c r="H926" s="81"/>
    </row>
    <row r="927" spans="2:8" x14ac:dyDescent="0.2">
      <c r="B927" s="78"/>
      <c r="C927" s="79"/>
      <c r="D927" s="80"/>
      <c r="E927" s="80"/>
      <c r="F927" s="80"/>
      <c r="G927" s="80"/>
      <c r="H927" s="81"/>
    </row>
    <row r="928" spans="2:8" x14ac:dyDescent="0.2">
      <c r="B928" s="78"/>
      <c r="C928" s="79"/>
      <c r="D928" s="80"/>
      <c r="E928" s="80"/>
      <c r="F928" s="80"/>
      <c r="G928" s="80"/>
      <c r="H928" s="81"/>
    </row>
    <row r="929" spans="2:8" x14ac:dyDescent="0.2">
      <c r="B929" s="78"/>
      <c r="C929" s="79"/>
      <c r="D929" s="80"/>
      <c r="E929" s="80"/>
      <c r="F929" s="80"/>
      <c r="G929" s="80"/>
      <c r="H929" s="81"/>
    </row>
    <row r="930" spans="2:8" x14ac:dyDescent="0.2">
      <c r="B930" s="78"/>
      <c r="C930" s="79"/>
      <c r="D930" s="80"/>
      <c r="E930" s="80"/>
      <c r="F930" s="80"/>
      <c r="G930" s="80"/>
      <c r="H930" s="81"/>
    </row>
    <row r="931" spans="2:8" x14ac:dyDescent="0.2">
      <c r="B931" s="78"/>
      <c r="C931" s="79"/>
      <c r="D931" s="80"/>
      <c r="E931" s="80"/>
      <c r="F931" s="80"/>
      <c r="G931" s="80"/>
      <c r="H931" s="81"/>
    </row>
    <row r="932" spans="2:8" x14ac:dyDescent="0.2">
      <c r="B932" s="78"/>
      <c r="C932" s="79"/>
      <c r="D932" s="80"/>
      <c r="E932" s="80"/>
      <c r="F932" s="80"/>
      <c r="G932" s="80"/>
      <c r="H932" s="81"/>
    </row>
    <row r="933" spans="2:8" x14ac:dyDescent="0.2">
      <c r="B933" s="78"/>
      <c r="C933" s="79"/>
      <c r="D933" s="80"/>
      <c r="E933" s="80"/>
      <c r="F933" s="80"/>
      <c r="G933" s="80"/>
      <c r="H933" s="81"/>
    </row>
    <row r="934" spans="2:8" x14ac:dyDescent="0.2">
      <c r="B934" s="78"/>
      <c r="C934" s="79"/>
      <c r="D934" s="80"/>
      <c r="E934" s="80"/>
      <c r="F934" s="80"/>
      <c r="G934" s="80"/>
      <c r="H934" s="81"/>
    </row>
    <row r="935" spans="2:8" x14ac:dyDescent="0.2">
      <c r="B935" s="78"/>
      <c r="C935" s="79"/>
      <c r="D935" s="80"/>
      <c r="E935" s="80"/>
      <c r="F935" s="80"/>
      <c r="G935" s="80"/>
      <c r="H935" s="81"/>
    </row>
    <row r="936" spans="2:8" x14ac:dyDescent="0.2">
      <c r="B936" s="78"/>
      <c r="C936" s="79"/>
      <c r="D936" s="80"/>
      <c r="E936" s="80"/>
      <c r="F936" s="80"/>
      <c r="G936" s="80"/>
      <c r="H936" s="81"/>
    </row>
    <row r="937" spans="2:8" x14ac:dyDescent="0.2">
      <c r="B937" s="78"/>
      <c r="C937" s="79"/>
      <c r="D937" s="80"/>
      <c r="E937" s="80"/>
      <c r="F937" s="80"/>
      <c r="G937" s="80"/>
      <c r="H937" s="81"/>
    </row>
    <row r="938" spans="2:8" x14ac:dyDescent="0.2">
      <c r="B938" s="78"/>
      <c r="C938" s="79"/>
      <c r="D938" s="80"/>
      <c r="E938" s="80"/>
      <c r="F938" s="80"/>
      <c r="G938" s="80"/>
      <c r="H938" s="81"/>
    </row>
    <row r="939" spans="2:8" x14ac:dyDescent="0.2">
      <c r="B939" s="78"/>
      <c r="C939" s="79"/>
      <c r="D939" s="80"/>
      <c r="E939" s="80"/>
      <c r="F939" s="80"/>
      <c r="G939" s="80"/>
      <c r="H939" s="81"/>
    </row>
    <row r="940" spans="2:8" x14ac:dyDescent="0.2">
      <c r="B940" s="78"/>
      <c r="C940" s="79"/>
      <c r="D940" s="80"/>
      <c r="E940" s="80"/>
      <c r="F940" s="80"/>
      <c r="G940" s="80"/>
      <c r="H940" s="81"/>
    </row>
    <row r="941" spans="2:8" x14ac:dyDescent="0.2">
      <c r="B941" s="78"/>
      <c r="C941" s="79"/>
      <c r="D941" s="80"/>
      <c r="E941" s="80"/>
      <c r="F941" s="80"/>
      <c r="G941" s="80"/>
      <c r="H941" s="81"/>
    </row>
    <row r="942" spans="2:8" x14ac:dyDescent="0.2">
      <c r="B942" s="78"/>
      <c r="C942" s="79"/>
      <c r="D942" s="80"/>
      <c r="E942" s="80"/>
      <c r="F942" s="80"/>
      <c r="G942" s="80"/>
      <c r="H942" s="81"/>
    </row>
    <row r="943" spans="2:8" x14ac:dyDescent="0.2">
      <c r="B943" s="78"/>
      <c r="C943" s="79"/>
      <c r="D943" s="80"/>
      <c r="E943" s="80"/>
      <c r="F943" s="80"/>
      <c r="G943" s="80"/>
      <c r="H943" s="81"/>
    </row>
    <row r="944" spans="2:8" x14ac:dyDescent="0.2">
      <c r="B944" s="78"/>
      <c r="C944" s="79"/>
      <c r="D944" s="80"/>
      <c r="E944" s="80"/>
      <c r="F944" s="80"/>
      <c r="G944" s="80"/>
      <c r="H944" s="81"/>
    </row>
    <row r="945" spans="2:8" x14ac:dyDescent="0.2">
      <c r="B945" s="78"/>
      <c r="C945" s="79"/>
      <c r="D945" s="80"/>
      <c r="E945" s="80"/>
      <c r="F945" s="80"/>
      <c r="G945" s="80"/>
      <c r="H945" s="81"/>
    </row>
    <row r="946" spans="2:8" x14ac:dyDescent="0.2">
      <c r="B946" s="78"/>
      <c r="C946" s="79"/>
      <c r="D946" s="80"/>
      <c r="E946" s="80"/>
      <c r="F946" s="80"/>
      <c r="G946" s="80"/>
      <c r="H946" s="81"/>
    </row>
    <row r="947" spans="2:8" x14ac:dyDescent="0.2">
      <c r="B947" s="78"/>
      <c r="C947" s="79"/>
      <c r="D947" s="80"/>
      <c r="E947" s="80"/>
      <c r="F947" s="80"/>
      <c r="G947" s="80"/>
      <c r="H947" s="81"/>
    </row>
    <row r="948" spans="2:8" x14ac:dyDescent="0.2">
      <c r="B948" s="78"/>
      <c r="C948" s="79"/>
      <c r="D948" s="80"/>
      <c r="E948" s="80"/>
      <c r="F948" s="80"/>
      <c r="G948" s="80"/>
      <c r="H948" s="81"/>
    </row>
    <row r="949" spans="2:8" x14ac:dyDescent="0.2">
      <c r="B949" s="78"/>
      <c r="C949" s="79"/>
      <c r="D949" s="80"/>
      <c r="E949" s="80"/>
      <c r="F949" s="80"/>
      <c r="G949" s="80"/>
      <c r="H949" s="81"/>
    </row>
    <row r="950" spans="2:8" x14ac:dyDescent="0.2">
      <c r="B950" s="78"/>
      <c r="C950" s="79"/>
      <c r="D950" s="80"/>
      <c r="E950" s="80"/>
      <c r="F950" s="80"/>
      <c r="G950" s="80"/>
      <c r="H950" s="81"/>
    </row>
    <row r="951" spans="2:8" x14ac:dyDescent="0.2">
      <c r="B951" s="78"/>
      <c r="C951" s="79"/>
      <c r="D951" s="80"/>
      <c r="E951" s="80"/>
      <c r="F951" s="80"/>
      <c r="G951" s="80"/>
      <c r="H951" s="81"/>
    </row>
    <row r="952" spans="2:8" x14ac:dyDescent="0.2">
      <c r="B952" s="78"/>
      <c r="C952" s="79"/>
      <c r="D952" s="80"/>
      <c r="E952" s="80"/>
      <c r="F952" s="80"/>
      <c r="G952" s="80"/>
      <c r="H952" s="81"/>
    </row>
    <row r="953" spans="2:8" x14ac:dyDescent="0.2">
      <c r="B953" s="78"/>
      <c r="C953" s="79"/>
      <c r="D953" s="80"/>
      <c r="E953" s="80"/>
      <c r="F953" s="80"/>
      <c r="G953" s="80"/>
      <c r="H953" s="81"/>
    </row>
    <row r="954" spans="2:8" x14ac:dyDescent="0.2">
      <c r="B954" s="78"/>
      <c r="C954" s="79"/>
      <c r="D954" s="80"/>
      <c r="E954" s="80"/>
      <c r="F954" s="80"/>
      <c r="G954" s="80"/>
      <c r="H954" s="81"/>
    </row>
    <row r="955" spans="2:8" x14ac:dyDescent="0.2">
      <c r="B955" s="78"/>
      <c r="C955" s="79"/>
      <c r="D955" s="80"/>
      <c r="E955" s="80"/>
      <c r="F955" s="80"/>
      <c r="G955" s="80"/>
      <c r="H955" s="81"/>
    </row>
    <row r="956" spans="2:8" x14ac:dyDescent="0.2">
      <c r="B956" s="78"/>
      <c r="C956" s="79"/>
      <c r="D956" s="80"/>
      <c r="E956" s="80"/>
      <c r="F956" s="80"/>
      <c r="G956" s="80"/>
      <c r="H956" s="81"/>
    </row>
    <row r="957" spans="2:8" x14ac:dyDescent="0.2">
      <c r="B957" s="78"/>
      <c r="C957" s="79"/>
      <c r="D957" s="80"/>
      <c r="E957" s="80"/>
      <c r="F957" s="80"/>
      <c r="G957" s="80"/>
      <c r="H957" s="81"/>
    </row>
    <row r="958" spans="2:8" x14ac:dyDescent="0.2">
      <c r="B958" s="78"/>
      <c r="C958" s="79"/>
      <c r="D958" s="80"/>
      <c r="E958" s="80"/>
      <c r="F958" s="80"/>
      <c r="G958" s="80"/>
      <c r="H958" s="81"/>
    </row>
    <row r="959" spans="2:8" x14ac:dyDescent="0.2">
      <c r="B959" s="78"/>
      <c r="C959" s="79"/>
      <c r="D959" s="80"/>
      <c r="E959" s="80"/>
      <c r="F959" s="80"/>
      <c r="G959" s="80"/>
      <c r="H959" s="81"/>
    </row>
    <row r="960" spans="2:8" x14ac:dyDescent="0.2">
      <c r="B960" s="78"/>
      <c r="C960" s="79"/>
      <c r="D960" s="80"/>
      <c r="E960" s="80"/>
      <c r="F960" s="80"/>
      <c r="G960" s="80"/>
      <c r="H960" s="81"/>
    </row>
    <row r="961" spans="2:8" x14ac:dyDescent="0.2">
      <c r="B961" s="78"/>
      <c r="C961" s="79"/>
      <c r="D961" s="80"/>
      <c r="E961" s="80"/>
      <c r="F961" s="80"/>
      <c r="G961" s="80"/>
      <c r="H961" s="81"/>
    </row>
    <row r="962" spans="2:8" x14ac:dyDescent="0.2">
      <c r="B962" s="78"/>
      <c r="C962" s="79"/>
      <c r="D962" s="80"/>
      <c r="E962" s="80"/>
      <c r="F962" s="80"/>
      <c r="G962" s="80"/>
      <c r="H962" s="81"/>
    </row>
    <row r="963" spans="2:8" x14ac:dyDescent="0.2">
      <c r="B963" s="78"/>
      <c r="C963" s="79"/>
      <c r="D963" s="80"/>
      <c r="E963" s="80"/>
      <c r="F963" s="80"/>
      <c r="G963" s="80"/>
      <c r="H963" s="81"/>
    </row>
    <row r="964" spans="2:8" x14ac:dyDescent="0.2">
      <c r="B964" s="78"/>
      <c r="C964" s="79"/>
      <c r="D964" s="80"/>
      <c r="E964" s="80"/>
      <c r="F964" s="80"/>
      <c r="G964" s="80"/>
      <c r="H964" s="81"/>
    </row>
    <row r="965" spans="2:8" x14ac:dyDescent="0.2">
      <c r="B965" s="78"/>
      <c r="C965" s="79"/>
      <c r="D965" s="80"/>
      <c r="E965" s="80"/>
      <c r="F965" s="80"/>
      <c r="G965" s="80"/>
      <c r="H965" s="81"/>
    </row>
    <row r="966" spans="2:8" x14ac:dyDescent="0.2">
      <c r="B966" s="78"/>
      <c r="C966" s="79"/>
      <c r="D966" s="80"/>
      <c r="E966" s="80"/>
      <c r="F966" s="80"/>
      <c r="G966" s="80"/>
      <c r="H966" s="81"/>
    </row>
    <row r="967" spans="2:8" x14ac:dyDescent="0.2">
      <c r="B967" s="78"/>
      <c r="C967" s="79"/>
      <c r="D967" s="80"/>
      <c r="E967" s="80"/>
      <c r="F967" s="80"/>
      <c r="G967" s="80"/>
      <c r="H967" s="81"/>
    </row>
    <row r="968" spans="2:8" x14ac:dyDescent="0.2">
      <c r="B968" s="78"/>
      <c r="C968" s="79"/>
      <c r="D968" s="80"/>
      <c r="E968" s="80"/>
      <c r="F968" s="80"/>
      <c r="G968" s="80"/>
      <c r="H968" s="81"/>
    </row>
    <row r="969" spans="2:8" x14ac:dyDescent="0.2">
      <c r="B969" s="78"/>
      <c r="C969" s="79"/>
      <c r="D969" s="80"/>
      <c r="E969" s="80"/>
      <c r="F969" s="80"/>
      <c r="G969" s="80"/>
      <c r="H969" s="81"/>
    </row>
    <row r="970" spans="2:8" x14ac:dyDescent="0.2">
      <c r="B970" s="78"/>
      <c r="C970" s="79"/>
      <c r="D970" s="80"/>
      <c r="E970" s="80"/>
      <c r="F970" s="80"/>
      <c r="G970" s="80"/>
      <c r="H970" s="81"/>
    </row>
    <row r="971" spans="2:8" x14ac:dyDescent="0.2">
      <c r="B971" s="78"/>
      <c r="C971" s="79"/>
      <c r="D971" s="80"/>
      <c r="E971" s="80"/>
      <c r="F971" s="80"/>
      <c r="G971" s="80"/>
      <c r="H971" s="81"/>
    </row>
    <row r="972" spans="2:8" x14ac:dyDescent="0.2">
      <c r="B972" s="78"/>
      <c r="C972" s="79"/>
      <c r="D972" s="80"/>
      <c r="E972" s="80"/>
      <c r="F972" s="80"/>
      <c r="G972" s="80"/>
      <c r="H972" s="81"/>
    </row>
    <row r="973" spans="2:8" x14ac:dyDescent="0.2">
      <c r="B973" s="78"/>
      <c r="C973" s="79"/>
      <c r="D973" s="80"/>
      <c r="E973" s="80"/>
      <c r="F973" s="80"/>
      <c r="G973" s="80"/>
      <c r="H973" s="81"/>
    </row>
    <row r="974" spans="2:8" x14ac:dyDescent="0.2">
      <c r="B974" s="78"/>
      <c r="C974" s="79"/>
      <c r="D974" s="80"/>
      <c r="E974" s="80"/>
      <c r="F974" s="80"/>
      <c r="G974" s="80"/>
      <c r="H974" s="81"/>
    </row>
    <row r="975" spans="2:8" x14ac:dyDescent="0.2">
      <c r="B975" s="78"/>
      <c r="C975" s="79"/>
      <c r="D975" s="80"/>
      <c r="E975" s="80"/>
      <c r="F975" s="80"/>
      <c r="G975" s="80"/>
      <c r="H975" s="81"/>
    </row>
    <row r="976" spans="2:8" x14ac:dyDescent="0.2">
      <c r="B976" s="78"/>
      <c r="C976" s="79"/>
      <c r="D976" s="80"/>
      <c r="E976" s="80"/>
      <c r="F976" s="80"/>
      <c r="G976" s="80"/>
      <c r="H976" s="81"/>
    </row>
    <row r="977" spans="2:8" x14ac:dyDescent="0.2">
      <c r="B977" s="78"/>
      <c r="C977" s="79"/>
      <c r="D977" s="80"/>
      <c r="E977" s="80"/>
      <c r="F977" s="80"/>
      <c r="G977" s="80"/>
      <c r="H977" s="81"/>
    </row>
    <row r="978" spans="2:8" x14ac:dyDescent="0.2">
      <c r="B978" s="78"/>
      <c r="C978" s="79"/>
      <c r="D978" s="80"/>
      <c r="E978" s="80"/>
      <c r="F978" s="80"/>
      <c r="G978" s="80"/>
      <c r="H978" s="81"/>
    </row>
    <row r="979" spans="2:8" x14ac:dyDescent="0.2">
      <c r="B979" s="78"/>
      <c r="C979" s="79"/>
      <c r="D979" s="80"/>
      <c r="E979" s="80"/>
      <c r="F979" s="80"/>
      <c r="G979" s="80"/>
      <c r="H979" s="81"/>
    </row>
    <row r="980" spans="2:8" x14ac:dyDescent="0.2">
      <c r="B980" s="78"/>
      <c r="C980" s="79"/>
      <c r="D980" s="80"/>
      <c r="E980" s="80"/>
      <c r="F980" s="80"/>
      <c r="G980" s="80"/>
      <c r="H980" s="81"/>
    </row>
    <row r="981" spans="2:8" x14ac:dyDescent="0.2">
      <c r="B981" s="78"/>
      <c r="C981" s="79"/>
      <c r="D981" s="80"/>
      <c r="E981" s="80"/>
      <c r="F981" s="80"/>
      <c r="G981" s="80"/>
      <c r="H981" s="81"/>
    </row>
    <row r="982" spans="2:8" x14ac:dyDescent="0.2">
      <c r="B982" s="78"/>
      <c r="C982" s="79"/>
      <c r="D982" s="80"/>
      <c r="E982" s="80"/>
      <c r="F982" s="80"/>
      <c r="G982" s="80"/>
      <c r="H982" s="81"/>
    </row>
    <row r="983" spans="2:8" x14ac:dyDescent="0.2">
      <c r="B983" s="78"/>
      <c r="C983" s="79"/>
      <c r="D983" s="80"/>
      <c r="E983" s="80"/>
      <c r="F983" s="80"/>
      <c r="G983" s="80"/>
      <c r="H983" s="81"/>
    </row>
    <row r="984" spans="2:8" x14ac:dyDescent="0.2">
      <c r="B984" s="78"/>
      <c r="C984" s="79"/>
      <c r="D984" s="80"/>
      <c r="E984" s="80"/>
      <c r="F984" s="80"/>
      <c r="G984" s="80"/>
      <c r="H984" s="81"/>
    </row>
    <row r="985" spans="2:8" x14ac:dyDescent="0.2">
      <c r="B985" s="78"/>
      <c r="C985" s="79"/>
      <c r="D985" s="80"/>
      <c r="E985" s="80"/>
      <c r="F985" s="80"/>
      <c r="G985" s="80"/>
      <c r="H985" s="81"/>
    </row>
    <row r="986" spans="2:8" x14ac:dyDescent="0.2">
      <c r="B986" s="78"/>
      <c r="C986" s="79"/>
      <c r="D986" s="80"/>
      <c r="E986" s="80"/>
      <c r="F986" s="80"/>
      <c r="G986" s="80"/>
      <c r="H986" s="81"/>
    </row>
    <row r="987" spans="2:8" x14ac:dyDescent="0.2">
      <c r="B987" s="78"/>
      <c r="C987" s="79"/>
      <c r="D987" s="80"/>
      <c r="E987" s="80"/>
      <c r="F987" s="80"/>
      <c r="G987" s="80"/>
      <c r="H987" s="81"/>
    </row>
    <row r="988" spans="2:8" x14ac:dyDescent="0.2">
      <c r="B988" s="78"/>
      <c r="C988" s="79"/>
      <c r="D988" s="80"/>
      <c r="E988" s="80"/>
      <c r="F988" s="80"/>
      <c r="G988" s="80"/>
      <c r="H988" s="81"/>
    </row>
    <row r="989" spans="2:8" x14ac:dyDescent="0.2">
      <c r="B989" s="78"/>
      <c r="C989" s="79"/>
      <c r="D989" s="80"/>
      <c r="E989" s="80"/>
      <c r="F989" s="80"/>
      <c r="G989" s="80"/>
      <c r="H989" s="81"/>
    </row>
    <row r="990" spans="2:8" x14ac:dyDescent="0.2">
      <c r="B990" s="78"/>
      <c r="C990" s="79"/>
      <c r="D990" s="80"/>
      <c r="E990" s="80"/>
      <c r="F990" s="80"/>
      <c r="G990" s="80"/>
      <c r="H990" s="81"/>
    </row>
    <row r="991" spans="2:8" x14ac:dyDescent="0.2">
      <c r="B991" s="78"/>
      <c r="C991" s="79"/>
      <c r="D991" s="80"/>
      <c r="E991" s="80"/>
      <c r="F991" s="80"/>
      <c r="G991" s="80"/>
      <c r="H991" s="81"/>
    </row>
    <row r="992" spans="2:8" x14ac:dyDescent="0.2">
      <c r="B992" s="78"/>
      <c r="C992" s="79"/>
      <c r="D992" s="80"/>
      <c r="E992" s="80"/>
      <c r="F992" s="80"/>
      <c r="G992" s="80"/>
      <c r="H992" s="81"/>
    </row>
    <row r="993" spans="2:8" x14ac:dyDescent="0.2">
      <c r="B993" s="78"/>
      <c r="C993" s="79"/>
      <c r="D993" s="80"/>
      <c r="E993" s="80"/>
      <c r="F993" s="80"/>
      <c r="G993" s="80"/>
      <c r="H993" s="81"/>
    </row>
    <row r="994" spans="2:8" x14ac:dyDescent="0.2">
      <c r="B994" s="78"/>
      <c r="C994" s="79"/>
      <c r="D994" s="80"/>
      <c r="E994" s="80"/>
      <c r="F994" s="80"/>
      <c r="G994" s="80"/>
      <c r="H994" s="81"/>
    </row>
    <row r="995" spans="2:8" x14ac:dyDescent="0.2">
      <c r="B995" s="78"/>
      <c r="C995" s="79"/>
      <c r="D995" s="80"/>
      <c r="E995" s="80"/>
      <c r="F995" s="80"/>
      <c r="G995" s="80"/>
      <c r="H995" s="81"/>
    </row>
    <row r="996" spans="2:8" x14ac:dyDescent="0.2">
      <c r="B996" s="78"/>
      <c r="C996" s="79"/>
      <c r="D996" s="80"/>
      <c r="E996" s="80"/>
      <c r="F996" s="80"/>
      <c r="G996" s="80"/>
      <c r="H996" s="81"/>
    </row>
    <row r="997" spans="2:8" x14ac:dyDescent="0.2">
      <c r="B997" s="78"/>
      <c r="C997" s="79"/>
      <c r="D997" s="80"/>
      <c r="E997" s="80"/>
      <c r="F997" s="80"/>
      <c r="G997" s="80"/>
      <c r="H997" s="81"/>
    </row>
    <row r="998" spans="2:8" x14ac:dyDescent="0.2">
      <c r="B998" s="78"/>
      <c r="C998" s="79"/>
      <c r="D998" s="80"/>
      <c r="E998" s="80"/>
      <c r="F998" s="80"/>
      <c r="G998" s="80"/>
      <c r="H998" s="81"/>
    </row>
    <row r="999" spans="2:8" x14ac:dyDescent="0.2">
      <c r="B999" s="78"/>
      <c r="C999" s="79"/>
      <c r="D999" s="80"/>
      <c r="E999" s="80"/>
      <c r="F999" s="80"/>
      <c r="G999" s="80"/>
      <c r="H999" s="81"/>
    </row>
    <row r="1000" spans="2:8" x14ac:dyDescent="0.2">
      <c r="B1000" s="78"/>
      <c r="C1000" s="79"/>
      <c r="D1000" s="80"/>
      <c r="E1000" s="80"/>
      <c r="F1000" s="80"/>
      <c r="G1000" s="80"/>
      <c r="H1000" s="81"/>
    </row>
    <row r="1001" spans="2:8" x14ac:dyDescent="0.2">
      <c r="B1001" s="78"/>
      <c r="C1001" s="79"/>
      <c r="D1001" s="80"/>
      <c r="E1001" s="80"/>
      <c r="F1001" s="80"/>
      <c r="G1001" s="80"/>
      <c r="H1001" s="81"/>
    </row>
    <row r="1002" spans="2:8" x14ac:dyDescent="0.2">
      <c r="B1002" s="78"/>
      <c r="C1002" s="79"/>
      <c r="D1002" s="80"/>
      <c r="E1002" s="80"/>
      <c r="F1002" s="80"/>
      <c r="G1002" s="80"/>
      <c r="H1002" s="81"/>
    </row>
  </sheetData>
  <autoFilter ref="A1:H129" xr:uid="{00000000-0009-0000-0000-000003000000}">
    <sortState xmlns:xlrd2="http://schemas.microsoft.com/office/spreadsheetml/2017/richdata2" ref="A2:H129">
      <sortCondition ref="A2:A129"/>
    </sortState>
  </autoFilter>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63"/>
  <sheetViews>
    <sheetView zoomScaleNormal="100" workbookViewId="0">
      <pane ySplit="1" topLeftCell="A75" activePane="bottomLeft" state="frozen"/>
      <selection pane="bottomLeft" activeCell="C99" sqref="C99"/>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 min="7" max="7" width="70" customWidth="1"/>
  </cols>
  <sheetData>
    <row r="1" spans="1:7" ht="31.5" customHeight="1" x14ac:dyDescent="0.2">
      <c r="A1" s="59" t="s">
        <v>373</v>
      </c>
      <c r="B1" s="59" t="s">
        <v>47</v>
      </c>
      <c r="C1" s="59" t="s">
        <v>374</v>
      </c>
      <c r="D1" s="59" t="s">
        <v>375</v>
      </c>
      <c r="E1" s="59" t="s">
        <v>376</v>
      </c>
      <c r="F1" s="59" t="s">
        <v>377</v>
      </c>
      <c r="G1" s="12" t="s">
        <v>62</v>
      </c>
    </row>
    <row r="2" spans="1:7" x14ac:dyDescent="0.2">
      <c r="A2" s="82" t="s">
        <v>378</v>
      </c>
      <c r="B2" s="82" t="s">
        <v>376</v>
      </c>
      <c r="C2" s="82" t="s">
        <v>379</v>
      </c>
      <c r="D2" s="82"/>
      <c r="E2" s="82"/>
      <c r="F2" s="82"/>
    </row>
    <row r="3" spans="1:7" x14ac:dyDescent="0.2">
      <c r="A3" s="82" t="s">
        <v>380</v>
      </c>
      <c r="B3" s="82" t="s">
        <v>376</v>
      </c>
      <c r="C3" s="82" t="s">
        <v>381</v>
      </c>
      <c r="D3" s="82"/>
      <c r="E3" s="82"/>
      <c r="F3" s="82"/>
    </row>
    <row r="4" spans="1:7" x14ac:dyDescent="0.2">
      <c r="A4" s="82" t="s">
        <v>382</v>
      </c>
      <c r="B4" s="82" t="s">
        <v>376</v>
      </c>
      <c r="C4" s="82" t="s">
        <v>383</v>
      </c>
      <c r="D4" s="82"/>
      <c r="E4" s="82"/>
      <c r="F4" s="82"/>
    </row>
    <row r="5" spans="1:7" x14ac:dyDescent="0.2">
      <c r="A5" s="82" t="s">
        <v>384</v>
      </c>
      <c r="B5" s="82" t="s">
        <v>376</v>
      </c>
      <c r="C5" s="82" t="s">
        <v>385</v>
      </c>
      <c r="D5" s="82"/>
      <c r="E5" s="82"/>
      <c r="F5" s="82"/>
    </row>
    <row r="6" spans="1:7" x14ac:dyDescent="0.2">
      <c r="A6" s="82" t="s">
        <v>386</v>
      </c>
      <c r="B6" s="82" t="s">
        <v>376</v>
      </c>
      <c r="C6" s="82" t="s">
        <v>387</v>
      </c>
      <c r="D6" s="82"/>
      <c r="E6" s="82"/>
      <c r="F6" s="82"/>
    </row>
    <row r="7" spans="1:7" x14ac:dyDescent="0.2">
      <c r="A7" s="82" t="s">
        <v>388</v>
      </c>
      <c r="B7" s="82" t="s">
        <v>376</v>
      </c>
      <c r="C7" s="82" t="s">
        <v>389</v>
      </c>
      <c r="D7" s="82"/>
      <c r="E7" s="82"/>
      <c r="F7" s="82"/>
    </row>
    <row r="8" spans="1:7" x14ac:dyDescent="0.2">
      <c r="A8" s="82" t="s">
        <v>390</v>
      </c>
      <c r="B8" s="82" t="s">
        <v>67</v>
      </c>
      <c r="C8" s="82" t="s">
        <v>391</v>
      </c>
      <c r="D8" s="82"/>
      <c r="E8" s="82" t="s">
        <v>379</v>
      </c>
      <c r="F8" s="82"/>
    </row>
    <row r="9" spans="1:7" x14ac:dyDescent="0.2">
      <c r="A9" s="82" t="s">
        <v>174</v>
      </c>
      <c r="B9" s="82" t="s">
        <v>67</v>
      </c>
      <c r="C9" s="82" t="s">
        <v>392</v>
      </c>
      <c r="D9" s="82"/>
      <c r="E9" s="82" t="s">
        <v>379</v>
      </c>
      <c r="F9" s="82"/>
    </row>
    <row r="10" spans="1:7" x14ac:dyDescent="0.2">
      <c r="A10" s="82" t="s">
        <v>194</v>
      </c>
      <c r="B10" s="82" t="s">
        <v>67</v>
      </c>
      <c r="C10" s="82" t="s">
        <v>393</v>
      </c>
      <c r="D10" s="82"/>
      <c r="E10" s="82" t="s">
        <v>379</v>
      </c>
      <c r="F10" s="82"/>
    </row>
    <row r="11" spans="1:7" x14ac:dyDescent="0.2">
      <c r="A11" s="82" t="s">
        <v>394</v>
      </c>
      <c r="B11" s="82" t="s">
        <v>67</v>
      </c>
      <c r="C11" s="82" t="s">
        <v>395</v>
      </c>
      <c r="D11" s="82"/>
      <c r="E11" s="82" t="s">
        <v>381</v>
      </c>
      <c r="F11" s="82"/>
    </row>
    <row r="12" spans="1:7" x14ac:dyDescent="0.2">
      <c r="A12" s="82" t="s">
        <v>68</v>
      </c>
      <c r="B12" s="82" t="s">
        <v>67</v>
      </c>
      <c r="C12" s="82" t="s">
        <v>396</v>
      </c>
      <c r="D12" s="82"/>
      <c r="E12" s="82" t="s">
        <v>381</v>
      </c>
      <c r="F12" s="82"/>
    </row>
    <row r="13" spans="1:7" x14ac:dyDescent="0.2">
      <c r="A13" s="82" t="s">
        <v>397</v>
      </c>
      <c r="B13" s="82" t="s">
        <v>67</v>
      </c>
      <c r="C13" s="82" t="s">
        <v>398</v>
      </c>
      <c r="D13" s="82"/>
      <c r="E13" s="82" t="s">
        <v>381</v>
      </c>
      <c r="F13" s="82"/>
    </row>
    <row r="14" spans="1:7" x14ac:dyDescent="0.2">
      <c r="A14" s="82" t="s">
        <v>132</v>
      </c>
      <c r="B14" s="82" t="s">
        <v>67</v>
      </c>
      <c r="C14" s="82" t="s">
        <v>399</v>
      </c>
      <c r="D14" s="82"/>
      <c r="E14" s="82" t="s">
        <v>381</v>
      </c>
      <c r="F14" s="82"/>
    </row>
    <row r="15" spans="1:7" x14ac:dyDescent="0.2">
      <c r="A15" s="82" t="s">
        <v>231</v>
      </c>
      <c r="B15" s="82" t="s">
        <v>67</v>
      </c>
      <c r="C15" s="82" t="s">
        <v>400</v>
      </c>
      <c r="D15" s="82"/>
      <c r="E15" s="82" t="s">
        <v>383</v>
      </c>
      <c r="F15" s="82"/>
    </row>
    <row r="16" spans="1:7" x14ac:dyDescent="0.2">
      <c r="A16" s="82" t="s">
        <v>239</v>
      </c>
      <c r="B16" s="82" t="s">
        <v>67</v>
      </c>
      <c r="C16" s="82" t="s">
        <v>401</v>
      </c>
      <c r="D16" s="82"/>
      <c r="E16" s="82" t="s">
        <v>383</v>
      </c>
      <c r="F16" s="82"/>
    </row>
    <row r="17" spans="1:6" x14ac:dyDescent="0.2">
      <c r="A17" s="82" t="s">
        <v>402</v>
      </c>
      <c r="B17" s="82" t="s">
        <v>67</v>
      </c>
      <c r="C17" s="82" t="s">
        <v>403</v>
      </c>
      <c r="D17" s="82"/>
      <c r="E17" s="82" t="s">
        <v>383</v>
      </c>
      <c r="F17" s="82"/>
    </row>
    <row r="18" spans="1:6" x14ac:dyDescent="0.2">
      <c r="A18" s="82" t="s">
        <v>259</v>
      </c>
      <c r="B18" s="82" t="s">
        <v>67</v>
      </c>
      <c r="C18" s="82" t="s">
        <v>404</v>
      </c>
      <c r="D18" s="82"/>
      <c r="E18" s="82" t="s">
        <v>385</v>
      </c>
      <c r="F18" s="82"/>
    </row>
    <row r="19" spans="1:6" x14ac:dyDescent="0.2">
      <c r="A19" s="82" t="s">
        <v>191</v>
      </c>
      <c r="B19" s="82" t="s">
        <v>67</v>
      </c>
      <c r="C19" s="82" t="s">
        <v>405</v>
      </c>
      <c r="D19" s="82"/>
      <c r="E19" s="82" t="s">
        <v>385</v>
      </c>
      <c r="F19" s="82"/>
    </row>
    <row r="20" spans="1:6" x14ac:dyDescent="0.2">
      <c r="A20" s="82" t="s">
        <v>406</v>
      </c>
      <c r="B20" s="82" t="s">
        <v>67</v>
      </c>
      <c r="C20" s="82" t="s">
        <v>407</v>
      </c>
      <c r="D20" s="82"/>
      <c r="E20" s="82" t="s">
        <v>387</v>
      </c>
      <c r="F20" s="82"/>
    </row>
    <row r="21" spans="1:6" x14ac:dyDescent="0.2">
      <c r="A21" s="82" t="s">
        <v>206</v>
      </c>
      <c r="B21" s="82" t="s">
        <v>67</v>
      </c>
      <c r="C21" s="82" t="s">
        <v>408</v>
      </c>
      <c r="D21" s="82"/>
      <c r="E21" s="82" t="s">
        <v>387</v>
      </c>
      <c r="F21" s="82"/>
    </row>
    <row r="22" spans="1:6" x14ac:dyDescent="0.2">
      <c r="A22" s="82" t="s">
        <v>409</v>
      </c>
      <c r="B22" s="82" t="s">
        <v>67</v>
      </c>
      <c r="C22" s="82" t="s">
        <v>410</v>
      </c>
      <c r="D22" s="82"/>
      <c r="E22" s="82" t="s">
        <v>387</v>
      </c>
      <c r="F22" s="82"/>
    </row>
    <row r="23" spans="1:6" x14ac:dyDescent="0.2">
      <c r="A23" s="82" t="s">
        <v>411</v>
      </c>
      <c r="B23" s="82" t="s">
        <v>67</v>
      </c>
      <c r="C23" s="82" t="s">
        <v>412</v>
      </c>
      <c r="D23" s="82"/>
      <c r="E23" s="82" t="s">
        <v>387</v>
      </c>
      <c r="F23" s="82"/>
    </row>
    <row r="24" spans="1:6" x14ac:dyDescent="0.2">
      <c r="A24" s="82" t="s">
        <v>144</v>
      </c>
      <c r="B24" s="82" t="s">
        <v>67</v>
      </c>
      <c r="C24" s="82" t="s">
        <v>413</v>
      </c>
      <c r="D24" s="82"/>
      <c r="E24" s="82" t="s">
        <v>389</v>
      </c>
      <c r="F24" s="82"/>
    </row>
    <row r="25" spans="1:6" x14ac:dyDescent="0.2">
      <c r="A25" s="82" t="s">
        <v>414</v>
      </c>
      <c r="B25" s="82" t="s">
        <v>67</v>
      </c>
      <c r="C25" s="82" t="s">
        <v>415</v>
      </c>
      <c r="D25" s="82"/>
      <c r="E25" s="82" t="s">
        <v>389</v>
      </c>
      <c r="F25" s="82"/>
    </row>
    <row r="26" spans="1:6" x14ac:dyDescent="0.2">
      <c r="A26" s="82" t="s">
        <v>251</v>
      </c>
      <c r="B26" s="82" t="s">
        <v>67</v>
      </c>
      <c r="C26" s="82" t="s">
        <v>416</v>
      </c>
      <c r="D26" s="82"/>
      <c r="E26" s="82" t="s">
        <v>389</v>
      </c>
      <c r="F26" s="82"/>
    </row>
    <row r="27" spans="1:6" x14ac:dyDescent="0.2">
      <c r="A27" s="82" t="s">
        <v>417</v>
      </c>
      <c r="B27" s="82" t="s">
        <v>85</v>
      </c>
      <c r="C27" s="82" t="s">
        <v>418</v>
      </c>
      <c r="D27" s="82" t="s">
        <v>391</v>
      </c>
      <c r="E27" s="82" t="s">
        <v>379</v>
      </c>
      <c r="F27" s="82"/>
    </row>
    <row r="28" spans="1:6" x14ac:dyDescent="0.2">
      <c r="A28" s="82" t="s">
        <v>419</v>
      </c>
      <c r="B28" s="82" t="s">
        <v>85</v>
      </c>
      <c r="C28" s="82" t="s">
        <v>420</v>
      </c>
      <c r="D28" s="82" t="s">
        <v>391</v>
      </c>
      <c r="E28" s="82" t="s">
        <v>379</v>
      </c>
      <c r="F28" s="82"/>
    </row>
    <row r="29" spans="1:6" x14ac:dyDescent="0.2">
      <c r="A29" s="82" t="s">
        <v>421</v>
      </c>
      <c r="B29" s="82" t="s">
        <v>85</v>
      </c>
      <c r="C29" s="82" t="s">
        <v>422</v>
      </c>
      <c r="D29" s="82" t="s">
        <v>391</v>
      </c>
      <c r="E29" s="82" t="s">
        <v>379</v>
      </c>
      <c r="F29" s="82"/>
    </row>
    <row r="30" spans="1:6" x14ac:dyDescent="0.2">
      <c r="A30" s="82" t="s">
        <v>423</v>
      </c>
      <c r="B30" s="82" t="s">
        <v>85</v>
      </c>
      <c r="C30" s="82" t="s">
        <v>424</v>
      </c>
      <c r="D30" s="82" t="s">
        <v>391</v>
      </c>
      <c r="E30" s="82" t="s">
        <v>379</v>
      </c>
      <c r="F30" s="82"/>
    </row>
    <row r="31" spans="1:6" x14ac:dyDescent="0.2">
      <c r="A31" s="82" t="s">
        <v>425</v>
      </c>
      <c r="B31" s="82" t="s">
        <v>85</v>
      </c>
      <c r="C31" s="82" t="s">
        <v>426</v>
      </c>
      <c r="D31" s="82" t="s">
        <v>391</v>
      </c>
      <c r="E31" s="82" t="s">
        <v>379</v>
      </c>
      <c r="F31" s="82"/>
    </row>
    <row r="32" spans="1:6" x14ac:dyDescent="0.2">
      <c r="A32" s="82" t="s">
        <v>179</v>
      </c>
      <c r="B32" s="82" t="s">
        <v>85</v>
      </c>
      <c r="C32" s="82" t="s">
        <v>427</v>
      </c>
      <c r="D32" s="82" t="s">
        <v>392</v>
      </c>
      <c r="E32" s="82" t="s">
        <v>379</v>
      </c>
      <c r="F32" s="82"/>
    </row>
    <row r="33" spans="1:6" x14ac:dyDescent="0.2">
      <c r="A33" s="82" t="s">
        <v>169</v>
      </c>
      <c r="B33" s="82" t="s">
        <v>85</v>
      </c>
      <c r="C33" s="82" t="s">
        <v>428</v>
      </c>
      <c r="D33" s="82" t="s">
        <v>392</v>
      </c>
      <c r="E33" s="82" t="s">
        <v>379</v>
      </c>
      <c r="F33" s="82"/>
    </row>
    <row r="34" spans="1:6" x14ac:dyDescent="0.2">
      <c r="A34" s="82" t="s">
        <v>182</v>
      </c>
      <c r="B34" s="82" t="s">
        <v>85</v>
      </c>
      <c r="C34" s="82" t="s">
        <v>429</v>
      </c>
      <c r="D34" s="82" t="s">
        <v>392</v>
      </c>
      <c r="E34" s="82" t="s">
        <v>379</v>
      </c>
      <c r="F34" s="82"/>
    </row>
    <row r="35" spans="1:6" x14ac:dyDescent="0.2">
      <c r="A35" s="82" t="s">
        <v>185</v>
      </c>
      <c r="B35" s="82" t="s">
        <v>85</v>
      </c>
      <c r="C35" s="82" t="s">
        <v>430</v>
      </c>
      <c r="D35" s="82" t="s">
        <v>392</v>
      </c>
      <c r="E35" s="82" t="s">
        <v>379</v>
      </c>
      <c r="F35" s="82"/>
    </row>
    <row r="36" spans="1:6" x14ac:dyDescent="0.2">
      <c r="A36" s="82" t="s">
        <v>199</v>
      </c>
      <c r="B36" s="82" t="s">
        <v>85</v>
      </c>
      <c r="C36" s="82" t="s">
        <v>431</v>
      </c>
      <c r="D36" s="82" t="s">
        <v>393</v>
      </c>
      <c r="E36" s="82" t="s">
        <v>379</v>
      </c>
      <c r="F36" s="82"/>
    </row>
    <row r="37" spans="1:6" x14ac:dyDescent="0.2">
      <c r="A37" s="82" t="s">
        <v>193</v>
      </c>
      <c r="B37" s="82" t="s">
        <v>85</v>
      </c>
      <c r="C37" s="82" t="s">
        <v>432</v>
      </c>
      <c r="D37" s="82" t="s">
        <v>393</v>
      </c>
      <c r="E37" s="82" t="s">
        <v>379</v>
      </c>
      <c r="F37" s="82"/>
    </row>
    <row r="38" spans="1:6" x14ac:dyDescent="0.2">
      <c r="A38" s="82" t="s">
        <v>433</v>
      </c>
      <c r="B38" s="82" t="s">
        <v>85</v>
      </c>
      <c r="C38" s="82" t="s">
        <v>434</v>
      </c>
      <c r="D38" s="82" t="s">
        <v>393</v>
      </c>
      <c r="E38" s="82" t="s">
        <v>379</v>
      </c>
      <c r="F38" s="82"/>
    </row>
    <row r="39" spans="1:6" x14ac:dyDescent="0.2">
      <c r="A39" s="82" t="s">
        <v>435</v>
      </c>
      <c r="B39" s="82" t="s">
        <v>85</v>
      </c>
      <c r="C39" s="82" t="s">
        <v>436</v>
      </c>
      <c r="D39" s="82" t="s">
        <v>395</v>
      </c>
      <c r="E39" s="82" t="s">
        <v>381</v>
      </c>
      <c r="F39" s="82"/>
    </row>
    <row r="40" spans="1:6" x14ac:dyDescent="0.2">
      <c r="A40" s="82" t="s">
        <v>437</v>
      </c>
      <c r="B40" s="82" t="s">
        <v>85</v>
      </c>
      <c r="C40" s="82" t="s">
        <v>438</v>
      </c>
      <c r="D40" s="82" t="s">
        <v>395</v>
      </c>
      <c r="E40" s="82" t="s">
        <v>381</v>
      </c>
      <c r="F40" s="82"/>
    </row>
    <row r="41" spans="1:6" x14ac:dyDescent="0.2">
      <c r="A41" s="82" t="s">
        <v>439</v>
      </c>
      <c r="B41" s="82" t="s">
        <v>85</v>
      </c>
      <c r="C41" s="82" t="s">
        <v>440</v>
      </c>
      <c r="D41" s="82" t="s">
        <v>395</v>
      </c>
      <c r="E41" s="82" t="s">
        <v>381</v>
      </c>
      <c r="F41" s="82"/>
    </row>
    <row r="42" spans="1:6" x14ac:dyDescent="0.2">
      <c r="A42" s="82" t="s">
        <v>441</v>
      </c>
      <c r="B42" s="82" t="s">
        <v>85</v>
      </c>
      <c r="C42" s="82" t="s">
        <v>442</v>
      </c>
      <c r="D42" s="82" t="s">
        <v>395</v>
      </c>
      <c r="E42" s="82" t="s">
        <v>381</v>
      </c>
      <c r="F42" s="82"/>
    </row>
    <row r="43" spans="1:6" x14ac:dyDescent="0.2">
      <c r="A43" s="82" t="s">
        <v>252</v>
      </c>
      <c r="B43" s="82" t="s">
        <v>85</v>
      </c>
      <c r="C43" s="82" t="s">
        <v>443</v>
      </c>
      <c r="D43" s="82" t="s">
        <v>395</v>
      </c>
      <c r="E43" s="82" t="s">
        <v>381</v>
      </c>
      <c r="F43" s="82"/>
    </row>
    <row r="44" spans="1:6" x14ac:dyDescent="0.2">
      <c r="A44" s="82" t="s">
        <v>444</v>
      </c>
      <c r="B44" s="82" t="s">
        <v>85</v>
      </c>
      <c r="C44" s="82" t="s">
        <v>445</v>
      </c>
      <c r="D44" s="82" t="s">
        <v>395</v>
      </c>
      <c r="E44" s="82" t="s">
        <v>381</v>
      </c>
      <c r="F44" s="82"/>
    </row>
    <row r="45" spans="1:6" x14ac:dyDescent="0.2">
      <c r="A45" s="82" t="s">
        <v>446</v>
      </c>
      <c r="B45" s="82" t="s">
        <v>85</v>
      </c>
      <c r="C45" s="82" t="s">
        <v>447</v>
      </c>
      <c r="D45" s="82" t="s">
        <v>395</v>
      </c>
      <c r="E45" s="82" t="s">
        <v>381</v>
      </c>
      <c r="F45" s="82"/>
    </row>
    <row r="46" spans="1:6" x14ac:dyDescent="0.2">
      <c r="A46" s="82" t="s">
        <v>448</v>
      </c>
      <c r="B46" s="82" t="s">
        <v>85</v>
      </c>
      <c r="C46" s="82" t="s">
        <v>449</v>
      </c>
      <c r="D46" s="82" t="s">
        <v>395</v>
      </c>
      <c r="E46" s="82" t="s">
        <v>381</v>
      </c>
      <c r="F46" s="82"/>
    </row>
    <row r="47" spans="1:6" x14ac:dyDescent="0.2">
      <c r="A47" s="82" t="s">
        <v>86</v>
      </c>
      <c r="B47" s="82" t="s">
        <v>85</v>
      </c>
      <c r="C47" s="82" t="s">
        <v>450</v>
      </c>
      <c r="D47" s="82" t="s">
        <v>396</v>
      </c>
      <c r="E47" s="82" t="s">
        <v>381</v>
      </c>
      <c r="F47" s="82"/>
    </row>
    <row r="48" spans="1:6" x14ac:dyDescent="0.2">
      <c r="A48" s="82" t="s">
        <v>79</v>
      </c>
      <c r="B48" s="82" t="s">
        <v>85</v>
      </c>
      <c r="C48" s="82" t="s">
        <v>451</v>
      </c>
      <c r="D48" s="82" t="s">
        <v>396</v>
      </c>
      <c r="E48" s="82" t="s">
        <v>381</v>
      </c>
      <c r="F48" s="82"/>
    </row>
    <row r="49" spans="1:6" x14ac:dyDescent="0.2">
      <c r="A49" s="82" t="s">
        <v>108</v>
      </c>
      <c r="B49" s="82" t="s">
        <v>85</v>
      </c>
      <c r="C49" s="82" t="s">
        <v>452</v>
      </c>
      <c r="D49" s="82" t="s">
        <v>396</v>
      </c>
      <c r="E49" s="82" t="s">
        <v>381</v>
      </c>
      <c r="F49" s="82"/>
    </row>
    <row r="50" spans="1:6" x14ac:dyDescent="0.2">
      <c r="A50" s="82" t="s">
        <v>453</v>
      </c>
      <c r="B50" s="82" t="s">
        <v>85</v>
      </c>
      <c r="C50" s="82" t="s">
        <v>454</v>
      </c>
      <c r="D50" s="82" t="s">
        <v>398</v>
      </c>
      <c r="E50" s="82" t="s">
        <v>381</v>
      </c>
      <c r="F50" s="82"/>
    </row>
    <row r="51" spans="1:6" x14ac:dyDescent="0.2">
      <c r="A51" s="82" t="s">
        <v>111</v>
      </c>
      <c r="B51" s="82" t="s">
        <v>85</v>
      </c>
      <c r="C51" s="82" t="s">
        <v>455</v>
      </c>
      <c r="D51" s="82" t="s">
        <v>398</v>
      </c>
      <c r="E51" s="82" t="s">
        <v>381</v>
      </c>
      <c r="F51" s="82"/>
    </row>
    <row r="52" spans="1:6" x14ac:dyDescent="0.2">
      <c r="A52" s="82" t="s">
        <v>456</v>
      </c>
      <c r="B52" s="82" t="s">
        <v>85</v>
      </c>
      <c r="C52" s="82" t="s">
        <v>457</v>
      </c>
      <c r="D52" s="82" t="s">
        <v>398</v>
      </c>
      <c r="E52" s="82" t="s">
        <v>381</v>
      </c>
      <c r="F52" s="82"/>
    </row>
    <row r="53" spans="1:6" x14ac:dyDescent="0.2">
      <c r="A53" s="82" t="s">
        <v>124</v>
      </c>
      <c r="B53" s="82" t="s">
        <v>85</v>
      </c>
      <c r="C53" s="82" t="s">
        <v>458</v>
      </c>
      <c r="D53" s="82" t="s">
        <v>399</v>
      </c>
      <c r="E53" s="82" t="s">
        <v>381</v>
      </c>
      <c r="F53" s="82"/>
    </row>
    <row r="54" spans="1:6" x14ac:dyDescent="0.2">
      <c r="A54" s="82" t="s">
        <v>138</v>
      </c>
      <c r="B54" s="82" t="s">
        <v>85</v>
      </c>
      <c r="C54" s="82" t="s">
        <v>459</v>
      </c>
      <c r="D54" s="82" t="s">
        <v>399</v>
      </c>
      <c r="E54" s="82" t="s">
        <v>381</v>
      </c>
      <c r="F54" s="82"/>
    </row>
    <row r="55" spans="1:6" x14ac:dyDescent="0.2">
      <c r="A55" s="82" t="s">
        <v>460</v>
      </c>
      <c r="B55" s="82" t="s">
        <v>85</v>
      </c>
      <c r="C55" s="82" t="s">
        <v>461</v>
      </c>
      <c r="D55" s="82" t="s">
        <v>399</v>
      </c>
      <c r="E55" s="82" t="s">
        <v>381</v>
      </c>
      <c r="F55" s="82"/>
    </row>
    <row r="56" spans="1:6" x14ac:dyDescent="0.2">
      <c r="A56" s="82" t="s">
        <v>462</v>
      </c>
      <c r="B56" s="82" t="s">
        <v>85</v>
      </c>
      <c r="C56" s="82" t="s">
        <v>463</v>
      </c>
      <c r="D56" s="82" t="s">
        <v>399</v>
      </c>
      <c r="E56" s="82" t="s">
        <v>381</v>
      </c>
      <c r="F56" s="82"/>
    </row>
    <row r="57" spans="1:6" x14ac:dyDescent="0.2">
      <c r="A57" s="82" t="s">
        <v>131</v>
      </c>
      <c r="B57" s="82" t="s">
        <v>85</v>
      </c>
      <c r="C57" s="82" t="s">
        <v>464</v>
      </c>
      <c r="D57" s="82" t="s">
        <v>399</v>
      </c>
      <c r="E57" s="82" t="s">
        <v>381</v>
      </c>
      <c r="F57" s="82"/>
    </row>
    <row r="58" spans="1:6" x14ac:dyDescent="0.2">
      <c r="A58" s="82" t="s">
        <v>465</v>
      </c>
      <c r="B58" s="82" t="s">
        <v>85</v>
      </c>
      <c r="C58" s="82" t="s">
        <v>466</v>
      </c>
      <c r="D58" s="82" t="s">
        <v>400</v>
      </c>
      <c r="E58" s="82" t="s">
        <v>383</v>
      </c>
      <c r="F58" s="82"/>
    </row>
    <row r="59" spans="1:6" x14ac:dyDescent="0.2">
      <c r="A59" s="82" t="s">
        <v>467</v>
      </c>
      <c r="B59" s="82" t="s">
        <v>85</v>
      </c>
      <c r="C59" s="82" t="s">
        <v>468</v>
      </c>
      <c r="D59" s="82" t="s">
        <v>400</v>
      </c>
      <c r="E59" s="82" t="s">
        <v>383</v>
      </c>
      <c r="F59" s="82"/>
    </row>
    <row r="60" spans="1:6" x14ac:dyDescent="0.2">
      <c r="A60" s="82" t="s">
        <v>224</v>
      </c>
      <c r="B60" s="82" t="s">
        <v>85</v>
      </c>
      <c r="C60" s="82" t="s">
        <v>469</v>
      </c>
      <c r="D60" s="82" t="s">
        <v>400</v>
      </c>
      <c r="E60" s="82" t="s">
        <v>383</v>
      </c>
      <c r="F60" s="82"/>
    </row>
    <row r="61" spans="1:6" x14ac:dyDescent="0.2">
      <c r="A61" s="82" t="s">
        <v>470</v>
      </c>
      <c r="B61" s="82" t="s">
        <v>85</v>
      </c>
      <c r="C61" s="82" t="s">
        <v>471</v>
      </c>
      <c r="D61" s="82" t="s">
        <v>400</v>
      </c>
      <c r="E61" s="82" t="s">
        <v>383</v>
      </c>
      <c r="F61" s="82"/>
    </row>
    <row r="62" spans="1:6" x14ac:dyDescent="0.2">
      <c r="A62" s="82" t="s">
        <v>234</v>
      </c>
      <c r="B62" s="82" t="s">
        <v>85</v>
      </c>
      <c r="C62" s="82" t="s">
        <v>472</v>
      </c>
      <c r="D62" s="82" t="s">
        <v>401</v>
      </c>
      <c r="E62" s="82" t="s">
        <v>383</v>
      </c>
      <c r="F62" s="82"/>
    </row>
    <row r="63" spans="1:6" x14ac:dyDescent="0.2">
      <c r="A63" s="82" t="s">
        <v>244</v>
      </c>
      <c r="B63" s="82" t="s">
        <v>85</v>
      </c>
      <c r="C63" s="82" t="s">
        <v>473</v>
      </c>
      <c r="D63" s="82" t="s">
        <v>401</v>
      </c>
      <c r="E63" s="82" t="s">
        <v>383</v>
      </c>
      <c r="F63" s="82"/>
    </row>
    <row r="64" spans="1:6" x14ac:dyDescent="0.2">
      <c r="A64" s="82" t="s">
        <v>474</v>
      </c>
      <c r="B64" s="82" t="s">
        <v>85</v>
      </c>
      <c r="C64" s="82" t="s">
        <v>475</v>
      </c>
      <c r="D64" s="82" t="s">
        <v>401</v>
      </c>
      <c r="E64" s="82" t="s">
        <v>383</v>
      </c>
      <c r="F64" s="82"/>
    </row>
    <row r="65" spans="1:6" x14ac:dyDescent="0.2">
      <c r="A65" s="82" t="s">
        <v>476</v>
      </c>
      <c r="B65" s="82" t="s">
        <v>85</v>
      </c>
      <c r="C65" s="82" t="s">
        <v>477</v>
      </c>
      <c r="D65" s="82" t="s">
        <v>403</v>
      </c>
      <c r="E65" s="82" t="s">
        <v>383</v>
      </c>
      <c r="F65" s="82"/>
    </row>
    <row r="66" spans="1:6" x14ac:dyDescent="0.2">
      <c r="A66" s="82" t="s">
        <v>478</v>
      </c>
      <c r="B66" s="82" t="s">
        <v>85</v>
      </c>
      <c r="C66" s="82" t="s">
        <v>479</v>
      </c>
      <c r="D66" s="82" t="s">
        <v>403</v>
      </c>
      <c r="E66" s="82" t="s">
        <v>383</v>
      </c>
      <c r="F66" s="82"/>
    </row>
    <row r="67" spans="1:6" x14ac:dyDescent="0.2">
      <c r="A67" s="82" t="s">
        <v>480</v>
      </c>
      <c r="B67" s="82" t="s">
        <v>85</v>
      </c>
      <c r="C67" s="82" t="s">
        <v>481</v>
      </c>
      <c r="D67" s="82" t="s">
        <v>403</v>
      </c>
      <c r="E67" s="82" t="s">
        <v>383</v>
      </c>
      <c r="F67" s="82"/>
    </row>
    <row r="68" spans="1:6" x14ac:dyDescent="0.2">
      <c r="A68" s="82" t="s">
        <v>482</v>
      </c>
      <c r="B68" s="82" t="s">
        <v>85</v>
      </c>
      <c r="C68" s="82" t="s">
        <v>483</v>
      </c>
      <c r="D68" s="82" t="s">
        <v>403</v>
      </c>
      <c r="E68" s="82" t="s">
        <v>383</v>
      </c>
      <c r="F68" s="82"/>
    </row>
    <row r="69" spans="1:6" x14ac:dyDescent="0.2">
      <c r="A69" s="82" t="s">
        <v>484</v>
      </c>
      <c r="B69" s="82" t="s">
        <v>85</v>
      </c>
      <c r="C69" s="82" t="s">
        <v>485</v>
      </c>
      <c r="D69" s="82" t="s">
        <v>403</v>
      </c>
      <c r="E69" s="82" t="s">
        <v>383</v>
      </c>
      <c r="F69" s="82"/>
    </row>
    <row r="70" spans="1:6" x14ac:dyDescent="0.2">
      <c r="A70" s="82" t="s">
        <v>285</v>
      </c>
      <c r="B70" s="82" t="s">
        <v>85</v>
      </c>
      <c r="C70" s="82" t="s">
        <v>486</v>
      </c>
      <c r="D70" s="82" t="s">
        <v>404</v>
      </c>
      <c r="E70" s="82" t="s">
        <v>385</v>
      </c>
      <c r="F70" s="82"/>
    </row>
    <row r="71" spans="1:6" x14ac:dyDescent="0.2">
      <c r="A71" s="82" t="s">
        <v>487</v>
      </c>
      <c r="B71" s="82" t="s">
        <v>85</v>
      </c>
      <c r="C71" s="82" t="s">
        <v>488</v>
      </c>
      <c r="D71" s="82" t="s">
        <v>404</v>
      </c>
      <c r="E71" s="82" t="s">
        <v>385</v>
      </c>
      <c r="F71" s="82"/>
    </row>
    <row r="72" spans="1:6" x14ac:dyDescent="0.2">
      <c r="A72" s="82" t="s">
        <v>314</v>
      </c>
      <c r="B72" s="82" t="s">
        <v>85</v>
      </c>
      <c r="C72" s="82" t="s">
        <v>489</v>
      </c>
      <c r="D72" s="82" t="s">
        <v>404</v>
      </c>
      <c r="E72" s="82" t="s">
        <v>385</v>
      </c>
      <c r="F72" s="82"/>
    </row>
    <row r="73" spans="1:6" x14ac:dyDescent="0.2">
      <c r="A73" s="82" t="s">
        <v>294</v>
      </c>
      <c r="B73" s="82" t="s">
        <v>85</v>
      </c>
      <c r="C73" s="82" t="s">
        <v>490</v>
      </c>
      <c r="D73" s="82" t="s">
        <v>404</v>
      </c>
      <c r="E73" s="82" t="s">
        <v>385</v>
      </c>
      <c r="F73" s="82"/>
    </row>
    <row r="74" spans="1:6" x14ac:dyDescent="0.2">
      <c r="A74" s="82" t="s">
        <v>491</v>
      </c>
      <c r="B74" s="82" t="s">
        <v>85</v>
      </c>
      <c r="C74" s="82" t="s">
        <v>492</v>
      </c>
      <c r="D74" s="82" t="s">
        <v>404</v>
      </c>
      <c r="E74" s="82" t="s">
        <v>385</v>
      </c>
      <c r="F74" s="82"/>
    </row>
    <row r="75" spans="1:6" x14ac:dyDescent="0.2">
      <c r="A75" s="82" t="s">
        <v>493</v>
      </c>
      <c r="B75" s="82" t="s">
        <v>85</v>
      </c>
      <c r="C75" s="82" t="s">
        <v>494</v>
      </c>
      <c r="D75" s="82" t="s">
        <v>404</v>
      </c>
      <c r="E75" s="82" t="s">
        <v>385</v>
      </c>
      <c r="F75" s="82"/>
    </row>
    <row r="76" spans="1:6" x14ac:dyDescent="0.2">
      <c r="A76" s="82" t="s">
        <v>495</v>
      </c>
      <c r="B76" s="82" t="s">
        <v>85</v>
      </c>
      <c r="C76" s="82" t="s">
        <v>496</v>
      </c>
      <c r="D76" s="82" t="s">
        <v>404</v>
      </c>
      <c r="E76" s="82" t="s">
        <v>385</v>
      </c>
      <c r="F76" s="82"/>
    </row>
    <row r="77" spans="1:6" x14ac:dyDescent="0.2">
      <c r="A77" s="82" t="s">
        <v>497</v>
      </c>
      <c r="B77" s="82" t="s">
        <v>85</v>
      </c>
      <c r="C77" s="82" t="s">
        <v>498</v>
      </c>
      <c r="D77" s="82" t="s">
        <v>404</v>
      </c>
      <c r="E77" s="82" t="s">
        <v>385</v>
      </c>
      <c r="F77" s="82"/>
    </row>
    <row r="78" spans="1:6" x14ac:dyDescent="0.2">
      <c r="A78" s="82" t="s">
        <v>274</v>
      </c>
      <c r="B78" s="82" t="s">
        <v>85</v>
      </c>
      <c r="C78" s="82" t="s">
        <v>499</v>
      </c>
      <c r="D78" s="82" t="s">
        <v>404</v>
      </c>
      <c r="E78" s="82" t="s">
        <v>385</v>
      </c>
      <c r="F78" s="82"/>
    </row>
    <row r="79" spans="1:6" x14ac:dyDescent="0.2">
      <c r="A79" s="82" t="s">
        <v>311</v>
      </c>
      <c r="B79" s="82" t="s">
        <v>85</v>
      </c>
      <c r="C79" s="82" t="s">
        <v>500</v>
      </c>
      <c r="D79" s="82" t="s">
        <v>404</v>
      </c>
      <c r="E79" s="82" t="s">
        <v>385</v>
      </c>
      <c r="F79" s="82"/>
    </row>
    <row r="80" spans="1:6" x14ac:dyDescent="0.2">
      <c r="A80" s="82" t="s">
        <v>501</v>
      </c>
      <c r="B80" s="82" t="s">
        <v>85</v>
      </c>
      <c r="C80" s="82" t="s">
        <v>502</v>
      </c>
      <c r="D80" s="82" t="s">
        <v>404</v>
      </c>
      <c r="E80" s="82" t="s">
        <v>385</v>
      </c>
      <c r="F80" s="82"/>
    </row>
    <row r="81" spans="1:6" x14ac:dyDescent="0.2">
      <c r="A81" s="82" t="s">
        <v>503</v>
      </c>
      <c r="B81" s="82" t="s">
        <v>85</v>
      </c>
      <c r="C81" s="82" t="s">
        <v>504</v>
      </c>
      <c r="D81" s="82" t="s">
        <v>405</v>
      </c>
      <c r="E81" s="82" t="s">
        <v>385</v>
      </c>
      <c r="F81" s="82"/>
    </row>
    <row r="82" spans="1:6" x14ac:dyDescent="0.2">
      <c r="A82" s="82" t="s">
        <v>505</v>
      </c>
      <c r="B82" s="82" t="s">
        <v>85</v>
      </c>
      <c r="C82" s="82" t="s">
        <v>506</v>
      </c>
      <c r="D82" s="82" t="s">
        <v>405</v>
      </c>
      <c r="E82" s="82" t="s">
        <v>385</v>
      </c>
      <c r="F82" s="82"/>
    </row>
    <row r="83" spans="1:6" x14ac:dyDescent="0.2">
      <c r="A83" s="82" t="s">
        <v>507</v>
      </c>
      <c r="B83" s="82" t="s">
        <v>85</v>
      </c>
      <c r="C83" s="82" t="s">
        <v>508</v>
      </c>
      <c r="D83" s="82" t="s">
        <v>405</v>
      </c>
      <c r="E83" s="82" t="s">
        <v>385</v>
      </c>
      <c r="F83" s="82"/>
    </row>
    <row r="84" spans="1:6" x14ac:dyDescent="0.2">
      <c r="A84" s="82" t="s">
        <v>509</v>
      </c>
      <c r="B84" s="82" t="s">
        <v>85</v>
      </c>
      <c r="C84" s="82" t="s">
        <v>510</v>
      </c>
      <c r="D84" s="82" t="s">
        <v>405</v>
      </c>
      <c r="E84" s="82" t="s">
        <v>385</v>
      </c>
      <c r="F84" s="82"/>
    </row>
    <row r="85" spans="1:6" x14ac:dyDescent="0.2">
      <c r="A85" s="82" t="s">
        <v>190</v>
      </c>
      <c r="B85" s="82" t="s">
        <v>85</v>
      </c>
      <c r="C85" s="82" t="s">
        <v>511</v>
      </c>
      <c r="D85" s="82" t="s">
        <v>405</v>
      </c>
      <c r="E85" s="82" t="s">
        <v>385</v>
      </c>
      <c r="F85" s="82"/>
    </row>
    <row r="86" spans="1:6" x14ac:dyDescent="0.2">
      <c r="A86" s="82" t="s">
        <v>512</v>
      </c>
      <c r="B86" s="82" t="s">
        <v>85</v>
      </c>
      <c r="C86" s="82" t="s">
        <v>513</v>
      </c>
      <c r="D86" s="82" t="s">
        <v>405</v>
      </c>
      <c r="E86" s="82" t="s">
        <v>385</v>
      </c>
      <c r="F86" s="82"/>
    </row>
    <row r="87" spans="1:6" x14ac:dyDescent="0.2">
      <c r="A87" s="82" t="s">
        <v>514</v>
      </c>
      <c r="B87" s="82" t="s">
        <v>85</v>
      </c>
      <c r="C87" s="82" t="s">
        <v>515</v>
      </c>
      <c r="D87" s="82" t="s">
        <v>407</v>
      </c>
      <c r="E87" s="82" t="s">
        <v>387</v>
      </c>
      <c r="F87" s="82"/>
    </row>
    <row r="88" spans="1:6" x14ac:dyDescent="0.2">
      <c r="A88" s="82" t="s">
        <v>516</v>
      </c>
      <c r="B88" s="82" t="s">
        <v>85</v>
      </c>
      <c r="C88" s="82" t="s">
        <v>517</v>
      </c>
      <c r="D88" s="82" t="s">
        <v>407</v>
      </c>
      <c r="E88" s="82" t="s">
        <v>387</v>
      </c>
      <c r="F88" s="82"/>
    </row>
    <row r="89" spans="1:6" x14ac:dyDescent="0.2">
      <c r="A89" s="82" t="s">
        <v>518</v>
      </c>
      <c r="B89" s="82" t="s">
        <v>85</v>
      </c>
      <c r="C89" s="82" t="s">
        <v>519</v>
      </c>
      <c r="D89" s="82" t="s">
        <v>407</v>
      </c>
      <c r="E89" s="82" t="s">
        <v>387</v>
      </c>
      <c r="F89" s="82"/>
    </row>
    <row r="90" spans="1:6" x14ac:dyDescent="0.2">
      <c r="A90" s="82" t="s">
        <v>520</v>
      </c>
      <c r="B90" s="82" t="s">
        <v>85</v>
      </c>
      <c r="C90" s="82" t="s">
        <v>521</v>
      </c>
      <c r="D90" s="82" t="s">
        <v>407</v>
      </c>
      <c r="E90" s="82" t="s">
        <v>387</v>
      </c>
      <c r="F90" s="82"/>
    </row>
    <row r="91" spans="1:6" x14ac:dyDescent="0.2">
      <c r="A91" s="82" t="s">
        <v>522</v>
      </c>
      <c r="B91" s="82" t="s">
        <v>85</v>
      </c>
      <c r="C91" s="82" t="s">
        <v>523</v>
      </c>
      <c r="D91" s="82" t="s">
        <v>407</v>
      </c>
      <c r="E91" s="82" t="s">
        <v>387</v>
      </c>
      <c r="F91" s="82"/>
    </row>
    <row r="92" spans="1:6" x14ac:dyDescent="0.2">
      <c r="A92" s="82" t="s">
        <v>524</v>
      </c>
      <c r="B92" s="82" t="s">
        <v>85</v>
      </c>
      <c r="C92" s="82" t="s">
        <v>525</v>
      </c>
      <c r="D92" s="82" t="s">
        <v>407</v>
      </c>
      <c r="E92" s="82" t="s">
        <v>387</v>
      </c>
      <c r="F92" s="82"/>
    </row>
    <row r="93" spans="1:6" x14ac:dyDescent="0.2">
      <c r="A93" s="82" t="s">
        <v>526</v>
      </c>
      <c r="B93" s="82" t="s">
        <v>85</v>
      </c>
      <c r="C93" s="82" t="s">
        <v>527</v>
      </c>
      <c r="D93" s="82" t="s">
        <v>407</v>
      </c>
      <c r="E93" s="82" t="s">
        <v>387</v>
      </c>
      <c r="F93" s="82"/>
    </row>
    <row r="94" spans="1:6" x14ac:dyDescent="0.2">
      <c r="A94" s="82" t="s">
        <v>528</v>
      </c>
      <c r="B94" s="82" t="s">
        <v>85</v>
      </c>
      <c r="C94" s="82" t="s">
        <v>410</v>
      </c>
      <c r="D94" s="82" t="s">
        <v>407</v>
      </c>
      <c r="E94" s="82" t="s">
        <v>387</v>
      </c>
      <c r="F94" s="82"/>
    </row>
    <row r="95" spans="1:6" x14ac:dyDescent="0.2">
      <c r="A95" s="82" t="s">
        <v>529</v>
      </c>
      <c r="B95" s="82" t="s">
        <v>85</v>
      </c>
      <c r="C95" s="82" t="s">
        <v>530</v>
      </c>
      <c r="D95" s="82" t="s">
        <v>407</v>
      </c>
      <c r="E95" s="82" t="s">
        <v>387</v>
      </c>
      <c r="F95" s="82"/>
    </row>
    <row r="96" spans="1:6" x14ac:dyDescent="0.2">
      <c r="A96" s="82" t="s">
        <v>531</v>
      </c>
      <c r="B96" s="82" t="s">
        <v>85</v>
      </c>
      <c r="C96" s="82" t="s">
        <v>532</v>
      </c>
      <c r="D96" s="82" t="s">
        <v>408</v>
      </c>
      <c r="E96" s="82" t="s">
        <v>387</v>
      </c>
      <c r="F96" s="82"/>
    </row>
    <row r="97" spans="1:6" x14ac:dyDescent="0.2">
      <c r="A97" s="82" t="s">
        <v>533</v>
      </c>
      <c r="B97" s="82" t="s">
        <v>85</v>
      </c>
      <c r="C97" s="82" t="s">
        <v>534</v>
      </c>
      <c r="D97" s="82" t="s">
        <v>408</v>
      </c>
      <c r="E97" s="82" t="s">
        <v>387</v>
      </c>
      <c r="F97" s="82"/>
    </row>
    <row r="98" spans="1:6" x14ac:dyDescent="0.2">
      <c r="A98" s="82" t="s">
        <v>216</v>
      </c>
      <c r="B98" s="82" t="s">
        <v>85</v>
      </c>
      <c r="C98" s="82" t="s">
        <v>535</v>
      </c>
      <c r="D98" s="82" t="s">
        <v>408</v>
      </c>
      <c r="E98" s="82" t="s">
        <v>387</v>
      </c>
      <c r="F98" s="82"/>
    </row>
    <row r="99" spans="1:6" x14ac:dyDescent="0.2">
      <c r="A99" s="82" t="s">
        <v>536</v>
      </c>
      <c r="B99" s="82" t="s">
        <v>85</v>
      </c>
      <c r="C99" s="82" t="s">
        <v>537</v>
      </c>
      <c r="D99" s="82" t="s">
        <v>408</v>
      </c>
      <c r="E99" s="82" t="s">
        <v>387</v>
      </c>
      <c r="F99" s="82"/>
    </row>
    <row r="100" spans="1:6" x14ac:dyDescent="0.2">
      <c r="A100" s="82" t="s">
        <v>538</v>
      </c>
      <c r="B100" s="82" t="s">
        <v>85</v>
      </c>
      <c r="C100" s="82" t="s">
        <v>539</v>
      </c>
      <c r="D100" s="82" t="s">
        <v>408</v>
      </c>
      <c r="E100" s="82" t="s">
        <v>387</v>
      </c>
      <c r="F100" s="82"/>
    </row>
    <row r="101" spans="1:6" x14ac:dyDescent="0.2">
      <c r="A101" s="82" t="s">
        <v>540</v>
      </c>
      <c r="B101" s="82" t="s">
        <v>85</v>
      </c>
      <c r="C101" s="82" t="s">
        <v>541</v>
      </c>
      <c r="D101" s="82" t="s">
        <v>408</v>
      </c>
      <c r="E101" s="82" t="s">
        <v>387</v>
      </c>
      <c r="F101" s="82"/>
    </row>
    <row r="102" spans="1:6" x14ac:dyDescent="0.2">
      <c r="A102" s="82" t="s">
        <v>205</v>
      </c>
      <c r="B102" s="82" t="s">
        <v>85</v>
      </c>
      <c r="C102" s="82" t="s">
        <v>542</v>
      </c>
      <c r="D102" s="82" t="s">
        <v>408</v>
      </c>
      <c r="E102" s="82" t="s">
        <v>387</v>
      </c>
      <c r="F102" s="82"/>
    </row>
    <row r="103" spans="1:6" x14ac:dyDescent="0.2">
      <c r="A103" s="82" t="s">
        <v>543</v>
      </c>
      <c r="B103" s="82" t="s">
        <v>85</v>
      </c>
      <c r="C103" s="82" t="s">
        <v>544</v>
      </c>
      <c r="D103" s="82" t="s">
        <v>410</v>
      </c>
      <c r="E103" s="82" t="s">
        <v>387</v>
      </c>
      <c r="F103" s="82"/>
    </row>
    <row r="104" spans="1:6" x14ac:dyDescent="0.2">
      <c r="A104" s="82" t="s">
        <v>545</v>
      </c>
      <c r="B104" s="82" t="s">
        <v>85</v>
      </c>
      <c r="C104" s="82" t="s">
        <v>546</v>
      </c>
      <c r="D104" s="82" t="s">
        <v>410</v>
      </c>
      <c r="E104" s="82" t="s">
        <v>387</v>
      </c>
      <c r="F104" s="82"/>
    </row>
    <row r="105" spans="1:6" x14ac:dyDescent="0.2">
      <c r="A105" s="82" t="s">
        <v>547</v>
      </c>
      <c r="B105" s="82" t="s">
        <v>85</v>
      </c>
      <c r="C105" s="82" t="s">
        <v>548</v>
      </c>
      <c r="D105" s="82" t="s">
        <v>410</v>
      </c>
      <c r="E105" s="82" t="s">
        <v>387</v>
      </c>
      <c r="F105" s="82"/>
    </row>
    <row r="106" spans="1:6" x14ac:dyDescent="0.2">
      <c r="A106" s="82" t="s">
        <v>549</v>
      </c>
      <c r="B106" s="82" t="s">
        <v>85</v>
      </c>
      <c r="C106" s="82" t="s">
        <v>550</v>
      </c>
      <c r="D106" s="82" t="s">
        <v>410</v>
      </c>
      <c r="E106" s="82" t="s">
        <v>387</v>
      </c>
      <c r="F106" s="82"/>
    </row>
    <row r="107" spans="1:6" x14ac:dyDescent="0.2">
      <c r="A107" s="82" t="s">
        <v>551</v>
      </c>
      <c r="B107" s="82" t="s">
        <v>85</v>
      </c>
      <c r="C107" s="82" t="s">
        <v>552</v>
      </c>
      <c r="D107" s="82" t="s">
        <v>410</v>
      </c>
      <c r="E107" s="82" t="s">
        <v>387</v>
      </c>
      <c r="F107" s="82"/>
    </row>
    <row r="108" spans="1:6" x14ac:dyDescent="0.2">
      <c r="A108" s="82" t="s">
        <v>553</v>
      </c>
      <c r="B108" s="82" t="s">
        <v>85</v>
      </c>
      <c r="C108" s="82" t="s">
        <v>554</v>
      </c>
      <c r="D108" s="82" t="s">
        <v>410</v>
      </c>
      <c r="E108" s="82" t="s">
        <v>387</v>
      </c>
      <c r="F108" s="82"/>
    </row>
    <row r="109" spans="1:6" x14ac:dyDescent="0.2">
      <c r="A109" s="82" t="s">
        <v>555</v>
      </c>
      <c r="B109" s="82" t="s">
        <v>85</v>
      </c>
      <c r="C109" s="82" t="s">
        <v>556</v>
      </c>
      <c r="D109" s="82" t="s">
        <v>410</v>
      </c>
      <c r="E109" s="82" t="s">
        <v>387</v>
      </c>
      <c r="F109" s="82"/>
    </row>
    <row r="110" spans="1:6" x14ac:dyDescent="0.2">
      <c r="A110" s="82" t="s">
        <v>557</v>
      </c>
      <c r="B110" s="82" t="s">
        <v>85</v>
      </c>
      <c r="C110" s="82" t="s">
        <v>558</v>
      </c>
      <c r="D110" s="82" t="s">
        <v>410</v>
      </c>
      <c r="E110" s="82" t="s">
        <v>387</v>
      </c>
      <c r="F110" s="82"/>
    </row>
    <row r="111" spans="1:6" x14ac:dyDescent="0.2">
      <c r="A111" s="82" t="s">
        <v>559</v>
      </c>
      <c r="B111" s="82" t="s">
        <v>85</v>
      </c>
      <c r="C111" s="82" t="s">
        <v>560</v>
      </c>
      <c r="D111" s="82" t="s">
        <v>410</v>
      </c>
      <c r="E111" s="82" t="s">
        <v>387</v>
      </c>
      <c r="F111" s="82"/>
    </row>
    <row r="112" spans="1:6" x14ac:dyDescent="0.2">
      <c r="A112" s="82" t="s">
        <v>561</v>
      </c>
      <c r="B112" s="82" t="s">
        <v>85</v>
      </c>
      <c r="C112" s="82" t="s">
        <v>562</v>
      </c>
      <c r="D112" s="82" t="s">
        <v>410</v>
      </c>
      <c r="E112" s="82" t="s">
        <v>387</v>
      </c>
      <c r="F112" s="82"/>
    </row>
    <row r="113" spans="1:6" x14ac:dyDescent="0.2">
      <c r="A113" s="82" t="s">
        <v>563</v>
      </c>
      <c r="B113" s="82" t="s">
        <v>85</v>
      </c>
      <c r="C113" s="82" t="s">
        <v>564</v>
      </c>
      <c r="D113" s="82" t="s">
        <v>412</v>
      </c>
      <c r="E113" s="82" t="s">
        <v>387</v>
      </c>
      <c r="F113" s="82"/>
    </row>
    <row r="114" spans="1:6" x14ac:dyDescent="0.2">
      <c r="A114" s="82" t="s">
        <v>565</v>
      </c>
      <c r="B114" s="82" t="s">
        <v>85</v>
      </c>
      <c r="C114" s="82" t="s">
        <v>566</v>
      </c>
      <c r="D114" s="82" t="s">
        <v>412</v>
      </c>
      <c r="E114" s="82" t="s">
        <v>387</v>
      </c>
      <c r="F114" s="82"/>
    </row>
    <row r="115" spans="1:6" x14ac:dyDescent="0.2">
      <c r="A115" s="82" t="s">
        <v>143</v>
      </c>
      <c r="B115" s="82" t="s">
        <v>85</v>
      </c>
      <c r="C115" s="82" t="s">
        <v>567</v>
      </c>
      <c r="D115" s="82" t="s">
        <v>413</v>
      </c>
      <c r="E115" s="82" t="s">
        <v>389</v>
      </c>
      <c r="F115" s="82"/>
    </row>
    <row r="116" spans="1:6" x14ac:dyDescent="0.2">
      <c r="A116" s="82" t="s">
        <v>150</v>
      </c>
      <c r="B116" s="82" t="s">
        <v>85</v>
      </c>
      <c r="C116" s="82" t="s">
        <v>568</v>
      </c>
      <c r="D116" s="82" t="s">
        <v>413</v>
      </c>
      <c r="E116" s="82" t="s">
        <v>389</v>
      </c>
      <c r="F116" s="82"/>
    </row>
    <row r="117" spans="1:6" x14ac:dyDescent="0.2">
      <c r="A117" s="82" t="s">
        <v>157</v>
      </c>
      <c r="B117" s="82" t="s">
        <v>85</v>
      </c>
      <c r="C117" s="82" t="s">
        <v>569</v>
      </c>
      <c r="D117" s="82" t="s">
        <v>413</v>
      </c>
      <c r="E117" s="82" t="s">
        <v>389</v>
      </c>
      <c r="F117" s="82"/>
    </row>
    <row r="118" spans="1:6" x14ac:dyDescent="0.2">
      <c r="A118" s="82" t="s">
        <v>160</v>
      </c>
      <c r="B118" s="82" t="s">
        <v>85</v>
      </c>
      <c r="C118" s="82" t="s">
        <v>570</v>
      </c>
      <c r="D118" s="82" t="s">
        <v>413</v>
      </c>
      <c r="E118" s="82" t="s">
        <v>389</v>
      </c>
      <c r="F118" s="82"/>
    </row>
    <row r="119" spans="1:6" x14ac:dyDescent="0.2">
      <c r="A119" s="82" t="s">
        <v>571</v>
      </c>
      <c r="B119" s="82" t="s">
        <v>85</v>
      </c>
      <c r="C119" s="82" t="s">
        <v>572</v>
      </c>
      <c r="D119" s="82" t="s">
        <v>413</v>
      </c>
      <c r="E119" s="82" t="s">
        <v>389</v>
      </c>
      <c r="F119" s="82"/>
    </row>
    <row r="120" spans="1:6" x14ac:dyDescent="0.2">
      <c r="A120" s="82" t="s">
        <v>573</v>
      </c>
      <c r="B120" s="82" t="s">
        <v>85</v>
      </c>
      <c r="C120" s="82" t="s">
        <v>574</v>
      </c>
      <c r="D120" s="82" t="s">
        <v>413</v>
      </c>
      <c r="E120" s="82" t="s">
        <v>389</v>
      </c>
      <c r="F120" s="82"/>
    </row>
    <row r="121" spans="1:6" x14ac:dyDescent="0.2">
      <c r="A121" s="82" t="s">
        <v>575</v>
      </c>
      <c r="B121" s="82" t="s">
        <v>85</v>
      </c>
      <c r="C121" s="82" t="s">
        <v>576</v>
      </c>
      <c r="D121" s="82" t="s">
        <v>413</v>
      </c>
      <c r="E121" s="82" t="s">
        <v>389</v>
      </c>
      <c r="F121" s="82"/>
    </row>
    <row r="122" spans="1:6" x14ac:dyDescent="0.2">
      <c r="A122" s="82" t="s">
        <v>577</v>
      </c>
      <c r="B122" s="82" t="s">
        <v>85</v>
      </c>
      <c r="C122" s="82" t="s">
        <v>578</v>
      </c>
      <c r="D122" s="82" t="s">
        <v>415</v>
      </c>
      <c r="E122" s="82" t="s">
        <v>389</v>
      </c>
      <c r="F122" s="82"/>
    </row>
    <row r="123" spans="1:6" x14ac:dyDescent="0.2">
      <c r="A123" s="82" t="s">
        <v>579</v>
      </c>
      <c r="B123" s="82" t="s">
        <v>85</v>
      </c>
      <c r="C123" s="82" t="s">
        <v>580</v>
      </c>
      <c r="D123" s="82" t="s">
        <v>415</v>
      </c>
      <c r="E123" s="82" t="s">
        <v>389</v>
      </c>
      <c r="F123" s="82"/>
    </row>
    <row r="124" spans="1:6" x14ac:dyDescent="0.2">
      <c r="A124" s="82" t="s">
        <v>581</v>
      </c>
      <c r="B124" s="82" t="s">
        <v>85</v>
      </c>
      <c r="C124" s="82" t="s">
        <v>582</v>
      </c>
      <c r="D124" s="82" t="s">
        <v>415</v>
      </c>
      <c r="E124" s="82" t="s">
        <v>389</v>
      </c>
      <c r="F124" s="82"/>
    </row>
    <row r="125" spans="1:6" x14ac:dyDescent="0.2">
      <c r="A125" s="82" t="s">
        <v>583</v>
      </c>
      <c r="B125" s="82" t="s">
        <v>85</v>
      </c>
      <c r="C125" s="82" t="s">
        <v>584</v>
      </c>
      <c r="D125" s="82" t="s">
        <v>415</v>
      </c>
      <c r="E125" s="82" t="s">
        <v>389</v>
      </c>
      <c r="F125" s="82"/>
    </row>
    <row r="126" spans="1:6" x14ac:dyDescent="0.2">
      <c r="A126" s="82" t="s">
        <v>585</v>
      </c>
      <c r="B126" s="82" t="s">
        <v>85</v>
      </c>
      <c r="C126" s="82" t="s">
        <v>586</v>
      </c>
      <c r="D126" s="82" t="s">
        <v>415</v>
      </c>
      <c r="E126" s="82" t="s">
        <v>389</v>
      </c>
      <c r="F126" s="82"/>
    </row>
    <row r="127" spans="1:6" x14ac:dyDescent="0.2">
      <c r="A127" s="82" t="s">
        <v>587</v>
      </c>
      <c r="B127" s="82" t="s">
        <v>85</v>
      </c>
      <c r="C127" s="82" t="s">
        <v>588</v>
      </c>
      <c r="D127" s="82" t="s">
        <v>415</v>
      </c>
      <c r="E127" s="82" t="s">
        <v>389</v>
      </c>
      <c r="F127" s="82"/>
    </row>
    <row r="128" spans="1:6" x14ac:dyDescent="0.2">
      <c r="A128" s="82" t="s">
        <v>589</v>
      </c>
      <c r="B128" s="82" t="s">
        <v>85</v>
      </c>
      <c r="C128" s="82" t="s">
        <v>590</v>
      </c>
      <c r="D128" s="82" t="s">
        <v>415</v>
      </c>
      <c r="E128" s="82" t="s">
        <v>389</v>
      </c>
      <c r="F128" s="82"/>
    </row>
    <row r="129" spans="1:7" x14ac:dyDescent="0.2">
      <c r="A129" s="82" t="s">
        <v>591</v>
      </c>
      <c r="B129" s="82" t="s">
        <v>85</v>
      </c>
      <c r="C129" s="82" t="s">
        <v>592</v>
      </c>
      <c r="D129" s="82" t="s">
        <v>416</v>
      </c>
      <c r="E129" s="82" t="s">
        <v>389</v>
      </c>
      <c r="F129" s="82"/>
    </row>
    <row r="130" spans="1:7" x14ac:dyDescent="0.2">
      <c r="A130" s="82" t="s">
        <v>593</v>
      </c>
      <c r="B130" s="82" t="s">
        <v>85</v>
      </c>
      <c r="C130" s="82" t="s">
        <v>594</v>
      </c>
      <c r="D130" s="82" t="s">
        <v>416</v>
      </c>
      <c r="E130" s="82" t="s">
        <v>389</v>
      </c>
      <c r="F130" s="82"/>
    </row>
    <row r="131" spans="1:7" x14ac:dyDescent="0.2">
      <c r="A131" s="82" t="s">
        <v>595</v>
      </c>
      <c r="B131" s="82" t="s">
        <v>85</v>
      </c>
      <c r="C131" s="82" t="s">
        <v>596</v>
      </c>
      <c r="D131" s="82" t="s">
        <v>416</v>
      </c>
      <c r="E131" s="82" t="s">
        <v>389</v>
      </c>
      <c r="F131" s="82"/>
    </row>
    <row r="132" spans="1:7" x14ac:dyDescent="0.2">
      <c r="A132" s="82" t="s">
        <v>597</v>
      </c>
      <c r="B132" s="82" t="s">
        <v>85</v>
      </c>
      <c r="C132" s="82" t="s">
        <v>598</v>
      </c>
      <c r="D132" s="82" t="s">
        <v>416</v>
      </c>
      <c r="E132" s="82" t="s">
        <v>389</v>
      </c>
      <c r="F132" s="82"/>
    </row>
    <row r="133" spans="1:7" x14ac:dyDescent="0.2">
      <c r="A133" s="82" t="s">
        <v>599</v>
      </c>
      <c r="B133" s="82" t="s">
        <v>85</v>
      </c>
      <c r="C133" s="82" t="s">
        <v>600</v>
      </c>
      <c r="D133" s="82" t="s">
        <v>416</v>
      </c>
      <c r="E133" s="82" t="s">
        <v>389</v>
      </c>
      <c r="F133" s="82"/>
    </row>
    <row r="134" spans="1:7" x14ac:dyDescent="0.2">
      <c r="A134" s="82" t="s">
        <v>601</v>
      </c>
      <c r="B134" s="82" t="s">
        <v>85</v>
      </c>
      <c r="C134" s="82" t="s">
        <v>602</v>
      </c>
      <c r="D134" s="82" t="s">
        <v>416</v>
      </c>
      <c r="E134" s="82" t="s">
        <v>389</v>
      </c>
      <c r="F134" s="82"/>
    </row>
    <row r="135" spans="1:7" x14ac:dyDescent="0.2">
      <c r="A135" s="82" t="s">
        <v>603</v>
      </c>
      <c r="B135" s="82" t="s">
        <v>85</v>
      </c>
      <c r="C135" s="82" t="s">
        <v>604</v>
      </c>
      <c r="D135" s="82" t="s">
        <v>416</v>
      </c>
      <c r="E135" s="82" t="s">
        <v>389</v>
      </c>
      <c r="F135" s="82"/>
    </row>
    <row r="136" spans="1:7" ht="70" x14ac:dyDescent="0.2">
      <c r="A136" s="82" t="s">
        <v>605</v>
      </c>
      <c r="B136" s="82" t="s">
        <v>606</v>
      </c>
      <c r="C136" s="82" t="s">
        <v>607</v>
      </c>
      <c r="D136" s="82"/>
      <c r="E136" s="82"/>
      <c r="F136" s="82"/>
      <c r="G136" s="9" t="s">
        <v>608</v>
      </c>
    </row>
    <row r="137" spans="1:7" ht="112" x14ac:dyDescent="0.2">
      <c r="A137" s="82" t="s">
        <v>609</v>
      </c>
      <c r="B137" s="82" t="s">
        <v>606</v>
      </c>
      <c r="C137" s="82" t="s">
        <v>610</v>
      </c>
      <c r="D137" s="82"/>
      <c r="E137" s="82"/>
      <c r="F137" s="82"/>
      <c r="G137" s="9" t="s">
        <v>611</v>
      </c>
    </row>
    <row r="138" spans="1:7" ht="84" x14ac:dyDescent="0.2">
      <c r="A138" s="82" t="s">
        <v>612</v>
      </c>
      <c r="B138" s="82" t="s">
        <v>606</v>
      </c>
      <c r="C138" s="82" t="s">
        <v>613</v>
      </c>
      <c r="D138" s="82"/>
      <c r="E138" s="82"/>
      <c r="F138" s="82"/>
      <c r="G138" s="9" t="s">
        <v>614</v>
      </c>
    </row>
    <row r="139" spans="1:7" ht="84" x14ac:dyDescent="0.2">
      <c r="A139" s="82" t="s">
        <v>615</v>
      </c>
      <c r="B139" s="82" t="s">
        <v>606</v>
      </c>
      <c r="C139" s="82" t="s">
        <v>616</v>
      </c>
      <c r="D139" s="82"/>
      <c r="E139" s="82"/>
      <c r="F139" s="82"/>
      <c r="G139" s="9" t="s">
        <v>617</v>
      </c>
    </row>
    <row r="140" spans="1:7" ht="70" x14ac:dyDescent="0.2">
      <c r="A140" s="82" t="s">
        <v>618</v>
      </c>
      <c r="B140" s="82" t="s">
        <v>606</v>
      </c>
      <c r="C140" s="82" t="s">
        <v>619</v>
      </c>
      <c r="D140" s="82"/>
      <c r="E140" s="82"/>
      <c r="F140" s="82"/>
      <c r="G140" s="9" t="s">
        <v>620</v>
      </c>
    </row>
    <row r="141" spans="1:7" ht="98" x14ac:dyDescent="0.2">
      <c r="A141" s="82" t="s">
        <v>621</v>
      </c>
      <c r="B141" s="82" t="s">
        <v>606</v>
      </c>
      <c r="C141" s="82" t="s">
        <v>622</v>
      </c>
      <c r="D141" s="82"/>
      <c r="E141" s="82"/>
      <c r="F141" s="82"/>
      <c r="G141" s="9" t="s">
        <v>623</v>
      </c>
    </row>
    <row r="142" spans="1:7" ht="42" x14ac:dyDescent="0.2">
      <c r="A142" s="82" t="s">
        <v>624</v>
      </c>
      <c r="B142" s="82" t="s">
        <v>625</v>
      </c>
      <c r="C142" s="82" t="s">
        <v>626</v>
      </c>
      <c r="D142" s="82"/>
      <c r="E142" s="82"/>
      <c r="F142" s="82" t="s">
        <v>607</v>
      </c>
      <c r="G142" s="9" t="s">
        <v>627</v>
      </c>
    </row>
    <row r="143" spans="1:7" ht="42" x14ac:dyDescent="0.2">
      <c r="A143" s="82" t="s">
        <v>628</v>
      </c>
      <c r="B143" s="82" t="s">
        <v>625</v>
      </c>
      <c r="C143" s="82" t="s">
        <v>629</v>
      </c>
      <c r="D143" s="82"/>
      <c r="E143" s="82"/>
      <c r="F143" s="82" t="s">
        <v>607</v>
      </c>
      <c r="G143" s="9" t="s">
        <v>630</v>
      </c>
    </row>
    <row r="144" spans="1:7" ht="42" x14ac:dyDescent="0.2">
      <c r="A144" s="82" t="s">
        <v>631</v>
      </c>
      <c r="B144" s="82" t="s">
        <v>625</v>
      </c>
      <c r="C144" s="82" t="s">
        <v>632</v>
      </c>
      <c r="D144" s="82"/>
      <c r="E144" s="82"/>
      <c r="F144" s="82" t="s">
        <v>607</v>
      </c>
      <c r="G144" s="9" t="s">
        <v>633</v>
      </c>
    </row>
    <row r="145" spans="1:7" ht="42" x14ac:dyDescent="0.2">
      <c r="A145" s="82" t="s">
        <v>634</v>
      </c>
      <c r="B145" s="82" t="s">
        <v>625</v>
      </c>
      <c r="C145" s="82" t="s">
        <v>635</v>
      </c>
      <c r="D145" s="82"/>
      <c r="E145" s="82"/>
      <c r="F145" s="82" t="s">
        <v>610</v>
      </c>
      <c r="G145" s="9" t="s">
        <v>636</v>
      </c>
    </row>
    <row r="146" spans="1:7" ht="42" x14ac:dyDescent="0.2">
      <c r="A146" s="82" t="s">
        <v>637</v>
      </c>
      <c r="B146" s="82" t="s">
        <v>625</v>
      </c>
      <c r="C146" s="82" t="s">
        <v>638</v>
      </c>
      <c r="D146" s="82"/>
      <c r="E146" s="82"/>
      <c r="F146" s="82" t="s">
        <v>610</v>
      </c>
      <c r="G146" s="9" t="s">
        <v>639</v>
      </c>
    </row>
    <row r="147" spans="1:7" ht="42" x14ac:dyDescent="0.2">
      <c r="A147" s="82" t="s">
        <v>640</v>
      </c>
      <c r="B147" s="82" t="s">
        <v>625</v>
      </c>
      <c r="C147" s="82" t="s">
        <v>641</v>
      </c>
      <c r="D147" s="82"/>
      <c r="E147" s="82"/>
      <c r="F147" s="82" t="s">
        <v>610</v>
      </c>
      <c r="G147" s="9" t="s">
        <v>642</v>
      </c>
    </row>
    <row r="148" spans="1:7" ht="70" x14ac:dyDescent="0.2">
      <c r="A148" s="82" t="s">
        <v>643</v>
      </c>
      <c r="B148" s="82" t="s">
        <v>625</v>
      </c>
      <c r="C148" s="82" t="s">
        <v>644</v>
      </c>
      <c r="D148" s="82"/>
      <c r="E148" s="82"/>
      <c r="F148" s="82" t="s">
        <v>613</v>
      </c>
      <c r="G148" s="9" t="s">
        <v>645</v>
      </c>
    </row>
    <row r="149" spans="1:7" ht="28" x14ac:dyDescent="0.2">
      <c r="A149" s="82" t="s">
        <v>646</v>
      </c>
      <c r="B149" s="82" t="s">
        <v>625</v>
      </c>
      <c r="C149" s="82" t="s">
        <v>647</v>
      </c>
      <c r="D149" s="82"/>
      <c r="E149" s="82"/>
      <c r="F149" s="82" t="s">
        <v>613</v>
      </c>
      <c r="G149" s="9" t="s">
        <v>648</v>
      </c>
    </row>
    <row r="150" spans="1:7" ht="28" x14ac:dyDescent="0.2">
      <c r="A150" s="82" t="s">
        <v>649</v>
      </c>
      <c r="B150" s="82" t="s">
        <v>625</v>
      </c>
      <c r="C150" s="82" t="s">
        <v>650</v>
      </c>
      <c r="D150" s="82"/>
      <c r="E150" s="82"/>
      <c r="F150" s="82" t="s">
        <v>613</v>
      </c>
      <c r="G150" s="9" t="s">
        <v>651</v>
      </c>
    </row>
    <row r="151" spans="1:7" ht="28" x14ac:dyDescent="0.2">
      <c r="A151" s="82" t="s">
        <v>652</v>
      </c>
      <c r="B151" s="82" t="s">
        <v>625</v>
      </c>
      <c r="C151" s="82" t="s">
        <v>653</v>
      </c>
      <c r="D151" s="82"/>
      <c r="E151" s="82"/>
      <c r="F151" s="82" t="s">
        <v>616</v>
      </c>
      <c r="G151" s="9" t="s">
        <v>654</v>
      </c>
    </row>
    <row r="152" spans="1:7" ht="28" x14ac:dyDescent="0.2">
      <c r="A152" s="82" t="s">
        <v>655</v>
      </c>
      <c r="B152" s="82" t="s">
        <v>625</v>
      </c>
      <c r="C152" s="82" t="s">
        <v>656</v>
      </c>
      <c r="D152" s="82"/>
      <c r="E152" s="82"/>
      <c r="F152" s="82" t="s">
        <v>616</v>
      </c>
      <c r="G152" s="9" t="s">
        <v>657</v>
      </c>
    </row>
    <row r="153" spans="1:7" ht="28" x14ac:dyDescent="0.2">
      <c r="A153" s="82" t="s">
        <v>658</v>
      </c>
      <c r="B153" s="82" t="s">
        <v>625</v>
      </c>
      <c r="C153" s="82" t="s">
        <v>659</v>
      </c>
      <c r="D153" s="82"/>
      <c r="E153" s="82"/>
      <c r="F153" s="82" t="s">
        <v>616</v>
      </c>
      <c r="G153" s="9" t="s">
        <v>660</v>
      </c>
    </row>
    <row r="154" spans="1:7" ht="42" x14ac:dyDescent="0.2">
      <c r="A154" s="82" t="s">
        <v>661</v>
      </c>
      <c r="B154" s="82" t="s">
        <v>625</v>
      </c>
      <c r="C154" s="82" t="s">
        <v>662</v>
      </c>
      <c r="D154" s="82"/>
      <c r="E154" s="82"/>
      <c r="F154" s="82" t="s">
        <v>616</v>
      </c>
      <c r="G154" s="9" t="s">
        <v>663</v>
      </c>
    </row>
    <row r="155" spans="1:7" ht="28" x14ac:dyDescent="0.2">
      <c r="A155" s="82" t="s">
        <v>664</v>
      </c>
      <c r="B155" s="82" t="s">
        <v>625</v>
      </c>
      <c r="C155" s="82" t="s">
        <v>665</v>
      </c>
      <c r="D155" s="82"/>
      <c r="E155" s="82"/>
      <c r="F155" s="82" t="s">
        <v>616</v>
      </c>
      <c r="G155" s="9" t="s">
        <v>666</v>
      </c>
    </row>
    <row r="156" spans="1:7" ht="28" x14ac:dyDescent="0.2">
      <c r="A156" s="82" t="s">
        <v>667</v>
      </c>
      <c r="B156" s="82" t="s">
        <v>625</v>
      </c>
      <c r="C156" s="82" t="s">
        <v>668</v>
      </c>
      <c r="D156" s="82"/>
      <c r="E156" s="82"/>
      <c r="F156" s="82" t="s">
        <v>616</v>
      </c>
      <c r="G156" s="9" t="s">
        <v>669</v>
      </c>
    </row>
    <row r="157" spans="1:7" ht="28" x14ac:dyDescent="0.2">
      <c r="A157" s="82" t="s">
        <v>670</v>
      </c>
      <c r="B157" s="82" t="s">
        <v>625</v>
      </c>
      <c r="C157" s="82" t="s">
        <v>671</v>
      </c>
      <c r="D157" s="82"/>
      <c r="E157" s="82"/>
      <c r="F157" s="82" t="s">
        <v>619</v>
      </c>
      <c r="G157" s="9" t="s">
        <v>672</v>
      </c>
    </row>
    <row r="158" spans="1:7" ht="28" x14ac:dyDescent="0.2">
      <c r="A158" s="82" t="s">
        <v>673</v>
      </c>
      <c r="B158" s="82" t="s">
        <v>625</v>
      </c>
      <c r="C158" s="82" t="s">
        <v>674</v>
      </c>
      <c r="D158" s="82"/>
      <c r="E158" s="82"/>
      <c r="F158" s="82" t="s">
        <v>619</v>
      </c>
      <c r="G158" s="9" t="s">
        <v>675</v>
      </c>
    </row>
    <row r="159" spans="1:7" ht="56" x14ac:dyDescent="0.2">
      <c r="A159" s="82" t="s">
        <v>69</v>
      </c>
      <c r="B159" s="82" t="s">
        <v>625</v>
      </c>
      <c r="C159" s="82" t="s">
        <v>676</v>
      </c>
      <c r="D159" s="82"/>
      <c r="E159" s="82"/>
      <c r="F159" s="82" t="s">
        <v>622</v>
      </c>
      <c r="G159" s="9" t="s">
        <v>677</v>
      </c>
    </row>
    <row r="160" spans="1:7" ht="28" x14ac:dyDescent="0.2">
      <c r="A160" s="82" t="s">
        <v>678</v>
      </c>
      <c r="B160" s="82" t="s">
        <v>625</v>
      </c>
      <c r="C160" s="82" t="s">
        <v>679</v>
      </c>
      <c r="D160" s="82"/>
      <c r="E160" s="82"/>
      <c r="F160" s="82" t="s">
        <v>622</v>
      </c>
      <c r="G160" s="9" t="s">
        <v>680</v>
      </c>
    </row>
    <row r="161" spans="1:7" ht="42" x14ac:dyDescent="0.2">
      <c r="A161" s="82" t="s">
        <v>681</v>
      </c>
      <c r="B161" s="82" t="s">
        <v>625</v>
      </c>
      <c r="C161" s="82" t="s">
        <v>682</v>
      </c>
      <c r="D161" s="82"/>
      <c r="E161" s="82"/>
      <c r="F161" s="82" t="s">
        <v>622</v>
      </c>
      <c r="G161" s="9" t="s">
        <v>683</v>
      </c>
    </row>
    <row r="163" spans="1:7" x14ac:dyDescent="0.2">
      <c r="A163" s="83" t="s">
        <v>684</v>
      </c>
    </row>
  </sheetData>
  <autoFilter ref="A1:F152" xr:uid="{00000000-0009-0000-0000-000004000000}"/>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00"/>
  <sheetViews>
    <sheetView zoomScaleNormal="100" workbookViewId="0">
      <pane ySplit="1" topLeftCell="A2" activePane="bottomLeft" state="frozen"/>
      <selection pane="bottomLeft" activeCell="B17" sqref="B17"/>
    </sheetView>
  </sheetViews>
  <sheetFormatPr baseColWidth="10" defaultColWidth="8.6640625" defaultRowHeight="15" x14ac:dyDescent="0.2"/>
  <cols>
    <col min="1" max="1" width="14" customWidth="1"/>
    <col min="2" max="2" width="42" customWidth="1"/>
    <col min="3" max="3" width="34" customWidth="1"/>
    <col min="4" max="4" width="13" customWidth="1"/>
    <col min="5" max="5" width="46" customWidth="1"/>
    <col min="6" max="6" width="44" customWidth="1"/>
  </cols>
  <sheetData>
    <row r="1" spans="1:6" x14ac:dyDescent="0.2">
      <c r="A1" s="12" t="s">
        <v>685</v>
      </c>
      <c r="B1" s="12" t="s">
        <v>686</v>
      </c>
      <c r="C1" s="12" t="s">
        <v>687</v>
      </c>
      <c r="D1" s="12" t="s">
        <v>688</v>
      </c>
      <c r="E1" s="12" t="s">
        <v>689</v>
      </c>
      <c r="F1" s="12" t="s">
        <v>690</v>
      </c>
    </row>
    <row r="2" spans="1:6" x14ac:dyDescent="0.2">
      <c r="A2" s="82" t="s">
        <v>390</v>
      </c>
      <c r="B2" s="17" t="str">
        <f>IF(A2="","",IFERROR(INDEX('Dashboard Items'!$C$2:$C$495,MATCH(A2,'Dashboard Items'!$A$2:$A$495,0)),"ID not found"))</f>
        <v>Administrative Leadership &amp; Governance</v>
      </c>
      <c r="C2" s="17" t="str">
        <f>IF(A2="","",IFERROR(INDEX('Dashboard Items'!$E$2:$E$495,MATCH(A2,'Dashboard Items'!$A$2:$A$495,0)),"ID not found"))</f>
        <v>Leadership and Governance</v>
      </c>
      <c r="D2" s="82" t="s">
        <v>624</v>
      </c>
      <c r="E2" s="17" t="str">
        <f>IF(D2="","",IFERROR(INDEX('Dashboard Items'!$C$2:$C$495,MATCH(D2,'Dashboard Items'!$A$2:$A$495,0)),"ID not found"))</f>
        <v>1.1 Financial Sustainability and Innovation</v>
      </c>
      <c r="F2" s="17" t="str">
        <f>IF(D2="","",IFERROR(INDEX('Dashboard Items'!$F$2:$F$495,MATCH(D2,'Dashboard Items'!$A$2:$A$495,0)),"ID not found"))</f>
        <v>Organizational Stewardship</v>
      </c>
    </row>
    <row r="3" spans="1:6" x14ac:dyDescent="0.2">
      <c r="A3" s="82" t="s">
        <v>390</v>
      </c>
      <c r="B3" s="17" t="str">
        <f>IF(A3="","",IFERROR(INDEX('Dashboard Items'!$C$2:$C$495,MATCH(A3,'Dashboard Items'!$A$2:$A$495,0)),"ID not found"))</f>
        <v>Administrative Leadership &amp; Governance</v>
      </c>
      <c r="C3" s="17" t="str">
        <f>IF(A3="","",IFERROR(INDEX('Dashboard Items'!$E$2:$E$495,MATCH(A3,'Dashboard Items'!$A$2:$A$495,0)),"ID not found"))</f>
        <v>Leadership and Governance</v>
      </c>
      <c r="D3" s="82" t="s">
        <v>628</v>
      </c>
      <c r="E3" s="17" t="str">
        <f>IF(D3="","",IFERROR(INDEX('Dashboard Items'!$C$2:$C$495,MATCH(D3,'Dashboard Items'!$A$2:$A$495,0)),"ID not found"))</f>
        <v>1.2 Community Partnerships and Inclusion</v>
      </c>
      <c r="F3" s="17" t="str">
        <f>IF(D3="","",IFERROR(INDEX('Dashboard Items'!$F$2:$F$495,MATCH(D3,'Dashboard Items'!$A$2:$A$495,0)),"ID not found"))</f>
        <v>Organizational Stewardship</v>
      </c>
    </row>
    <row r="4" spans="1:6" x14ac:dyDescent="0.2">
      <c r="A4" s="82" t="s">
        <v>390</v>
      </c>
      <c r="B4" s="17" t="str">
        <f>IF(A4="","",IFERROR(INDEX('Dashboard Items'!$C$2:$C$495,MATCH(A4,'Dashboard Items'!$A$2:$A$495,0)),"ID not found"))</f>
        <v>Administrative Leadership &amp; Governance</v>
      </c>
      <c r="C4" s="17" t="str">
        <f>IF(A4="","",IFERROR(INDEX('Dashboard Items'!$E$2:$E$495,MATCH(A4,'Dashboard Items'!$A$2:$A$495,0)),"ID not found"))</f>
        <v>Leadership and Governance</v>
      </c>
      <c r="D4" s="82" t="s">
        <v>631</v>
      </c>
      <c r="E4" s="17" t="str">
        <f>IF(D4="","",IFERROR(INDEX('Dashboard Items'!$C$2:$C$495,MATCH(D4,'Dashboard Items'!$A$2:$A$495,0)),"ID not found"))</f>
        <v>1.3 Environmental Stewardship</v>
      </c>
      <c r="F4" s="17" t="str">
        <f>IF(D4="","",IFERROR(INDEX('Dashboard Items'!$F$2:$F$495,MATCH(D4,'Dashboard Items'!$A$2:$A$495,0)),"ID not found"))</f>
        <v>Organizational Stewardship</v>
      </c>
    </row>
    <row r="5" spans="1:6" x14ac:dyDescent="0.2">
      <c r="A5" s="82" t="s">
        <v>174</v>
      </c>
      <c r="B5" s="17" t="str">
        <f>IF(A5="","",IFERROR(INDEX('Dashboard Items'!$C$2:$C$495,MATCH(A5,'Dashboard Items'!$A$2:$A$495,0)),"ID not found"))</f>
        <v>City Clerk &amp; Records Management</v>
      </c>
      <c r="C5" s="17" t="str">
        <f>IF(A5="","",IFERROR(INDEX('Dashboard Items'!$E$2:$E$495,MATCH(A5,'Dashboard Items'!$A$2:$A$495,0)),"ID not found"))</f>
        <v>Leadership and Governance</v>
      </c>
      <c r="D5" s="82" t="s">
        <v>628</v>
      </c>
      <c r="E5" s="17" t="str">
        <f>IF(D5="","",IFERROR(INDEX('Dashboard Items'!$C$2:$C$495,MATCH(D5,'Dashboard Items'!$A$2:$A$495,0)),"ID not found"))</f>
        <v>1.2 Community Partnerships and Inclusion</v>
      </c>
      <c r="F5" s="17" t="str">
        <f>IF(D5="","",IFERROR(INDEX('Dashboard Items'!$F$2:$F$495,MATCH(D5,'Dashboard Items'!$A$2:$A$495,0)),"ID not found"))</f>
        <v>Organizational Stewardship</v>
      </c>
    </row>
    <row r="6" spans="1:6" x14ac:dyDescent="0.2">
      <c r="A6" s="82" t="s">
        <v>174</v>
      </c>
      <c r="B6" s="17" t="str">
        <f>IF(A6="","",IFERROR(INDEX('Dashboard Items'!$C$2:$C$495,MATCH(A6,'Dashboard Items'!$A$2:$A$495,0)),"ID not found"))</f>
        <v>City Clerk &amp; Records Management</v>
      </c>
      <c r="C6" s="17" t="str">
        <f>IF(A6="","",IFERROR(INDEX('Dashboard Items'!$E$2:$E$495,MATCH(A6,'Dashboard Items'!$A$2:$A$495,0)),"ID not found"))</f>
        <v>Leadership and Governance</v>
      </c>
      <c r="D6" s="82" t="s">
        <v>670</v>
      </c>
      <c r="E6" s="17" t="str">
        <f>IF(D6="","",IFERROR(INDEX('Dashboard Items'!$C$2:$C$495,MATCH(D6,'Dashboard Items'!$A$2:$A$495,0)),"ID not found"))</f>
        <v>5.1 Civic and Engaged Communication</v>
      </c>
      <c r="F6" s="17" t="str">
        <f>IF(D6="","",IFERROR(INDEX('Dashboard Items'!$F$2:$F$495,MATCH(D6,'Dashboard Items'!$A$2:$A$495,0)),"ID not found"))</f>
        <v>Engaged and Informed Community</v>
      </c>
    </row>
    <row r="7" spans="1:6" x14ac:dyDescent="0.2">
      <c r="A7" s="82" t="s">
        <v>174</v>
      </c>
      <c r="B7" s="17" t="str">
        <f>IF(A7="","",IFERROR(INDEX('Dashboard Items'!$C$2:$C$495,MATCH(A7,'Dashboard Items'!$A$2:$A$495,0)),"ID not found"))</f>
        <v>City Clerk &amp; Records Management</v>
      </c>
      <c r="C7" s="17" t="str">
        <f>IF(A7="","",IFERROR(INDEX('Dashboard Items'!$E$2:$E$495,MATCH(A7,'Dashboard Items'!$A$2:$A$495,0)),"ID not found"))</f>
        <v>Leadership and Governance</v>
      </c>
      <c r="D7" s="82" t="s">
        <v>673</v>
      </c>
      <c r="E7" s="17" t="str">
        <f>IF(D7="","",IFERROR(INDEX('Dashboard Items'!$C$2:$C$495,MATCH(D7,'Dashboard Items'!$A$2:$A$495,0)),"ID not found"))</f>
        <v>5.2 Open and Accessible Information Communication</v>
      </c>
      <c r="F7" s="17" t="str">
        <f>IF(D7="","",IFERROR(INDEX('Dashboard Items'!$F$2:$F$495,MATCH(D7,'Dashboard Items'!$A$2:$A$495,0)),"ID not found"))</f>
        <v>Engaged and Informed Community</v>
      </c>
    </row>
    <row r="8" spans="1:6" x14ac:dyDescent="0.2">
      <c r="A8" s="82" t="s">
        <v>194</v>
      </c>
      <c r="B8" s="17" t="str">
        <f>IF(A8="","",IFERROR(INDEX('Dashboard Items'!$C$2:$C$495,MATCH(A8,'Dashboard Items'!$A$2:$A$495,0)),"ID not found"))</f>
        <v>Public Information &amp; Community Engagement</v>
      </c>
      <c r="C8" s="17" t="str">
        <f>IF(A8="","",IFERROR(INDEX('Dashboard Items'!$E$2:$E$495,MATCH(A8,'Dashboard Items'!$A$2:$A$495,0)),"ID not found"))</f>
        <v>Leadership and Governance</v>
      </c>
      <c r="D8" s="82" t="s">
        <v>628</v>
      </c>
      <c r="E8" s="17" t="str">
        <f>IF(D8="","",IFERROR(INDEX('Dashboard Items'!$C$2:$C$495,MATCH(D8,'Dashboard Items'!$A$2:$A$495,0)),"ID not found"))</f>
        <v>1.2 Community Partnerships and Inclusion</v>
      </c>
      <c r="F8" s="17" t="str">
        <f>IF(D8="","",IFERROR(INDEX('Dashboard Items'!$F$2:$F$495,MATCH(D8,'Dashboard Items'!$A$2:$A$495,0)),"ID not found"))</f>
        <v>Organizational Stewardship</v>
      </c>
    </row>
    <row r="9" spans="1:6" x14ac:dyDescent="0.2">
      <c r="A9" s="82" t="s">
        <v>194</v>
      </c>
      <c r="B9" s="17" t="str">
        <f>IF(A9="","",IFERROR(INDEX('Dashboard Items'!$C$2:$C$495,MATCH(A9,'Dashboard Items'!$A$2:$A$495,0)),"ID not found"))</f>
        <v>Public Information &amp; Community Engagement</v>
      </c>
      <c r="C9" s="17" t="str">
        <f>IF(A9="","",IFERROR(INDEX('Dashboard Items'!$E$2:$E$495,MATCH(A9,'Dashboard Items'!$A$2:$A$495,0)),"ID not found"))</f>
        <v>Leadership and Governance</v>
      </c>
      <c r="D9" s="82" t="s">
        <v>670</v>
      </c>
      <c r="E9" s="17" t="str">
        <f>IF(D9="","",IFERROR(INDEX('Dashboard Items'!$C$2:$C$495,MATCH(D9,'Dashboard Items'!$A$2:$A$495,0)),"ID not found"))</f>
        <v>5.1 Civic and Engaged Communication</v>
      </c>
      <c r="F9" s="17" t="str">
        <f>IF(D9="","",IFERROR(INDEX('Dashboard Items'!$F$2:$F$495,MATCH(D9,'Dashboard Items'!$A$2:$A$495,0)),"ID not found"))</f>
        <v>Engaged and Informed Community</v>
      </c>
    </row>
    <row r="10" spans="1:6" x14ac:dyDescent="0.2">
      <c r="A10" s="82" t="s">
        <v>194</v>
      </c>
      <c r="B10" s="17" t="str">
        <f>IF(A10="","",IFERROR(INDEX('Dashboard Items'!$C$2:$C$495,MATCH(A10,'Dashboard Items'!$A$2:$A$495,0)),"ID not found"))</f>
        <v>Public Information &amp; Community Engagement</v>
      </c>
      <c r="C10" s="17" t="str">
        <f>IF(A10="","",IFERROR(INDEX('Dashboard Items'!$E$2:$E$495,MATCH(A10,'Dashboard Items'!$A$2:$A$495,0)),"ID not found"))</f>
        <v>Leadership and Governance</v>
      </c>
      <c r="D10" s="82" t="s">
        <v>673</v>
      </c>
      <c r="E10" s="17" t="str">
        <f>IF(D10="","",IFERROR(INDEX('Dashboard Items'!$C$2:$C$495,MATCH(D10,'Dashboard Items'!$A$2:$A$495,0)),"ID not found"))</f>
        <v>5.2 Open and Accessible Information Communication</v>
      </c>
      <c r="F10" s="17" t="str">
        <f>IF(D10="","",IFERROR(INDEX('Dashboard Items'!$F$2:$F$495,MATCH(D10,'Dashboard Items'!$A$2:$A$495,0)),"ID not found"))</f>
        <v>Engaged and Informed Community</v>
      </c>
    </row>
    <row r="11" spans="1:6" x14ac:dyDescent="0.2">
      <c r="A11" s="82" t="s">
        <v>394</v>
      </c>
      <c r="B11" s="17" t="str">
        <f>IF(A11="","",IFERROR(INDEX('Dashboard Items'!$C$2:$C$495,MATCH(A11,'Dashboard Items'!$A$2:$A$495,0)),"ID not found"))</f>
        <v>Financial Management &amp; Accountability</v>
      </c>
      <c r="C11" s="17" t="str">
        <f>IF(A11="","",IFERROR(INDEX('Dashboard Items'!$E$2:$E$495,MATCH(A11,'Dashboard Items'!$A$2:$A$495,0)),"ID not found"))</f>
        <v>Financial and Internal Services</v>
      </c>
      <c r="D11" s="82" t="s">
        <v>624</v>
      </c>
      <c r="E11" s="17" t="str">
        <f>IF(D11="","",IFERROR(INDEX('Dashboard Items'!$C$2:$C$495,MATCH(D11,'Dashboard Items'!$A$2:$A$495,0)),"ID not found"))</f>
        <v>1.1 Financial Sustainability and Innovation</v>
      </c>
      <c r="F11" s="17" t="str">
        <f>IF(D11="","",IFERROR(INDEX('Dashboard Items'!$F$2:$F$495,MATCH(D11,'Dashboard Items'!$A$2:$A$495,0)),"ID not found"))</f>
        <v>Organizational Stewardship</v>
      </c>
    </row>
    <row r="12" spans="1:6" x14ac:dyDescent="0.2">
      <c r="A12" s="82" t="s">
        <v>394</v>
      </c>
      <c r="B12" s="17" t="str">
        <f>IF(A12="","",IFERROR(INDEX('Dashboard Items'!$C$2:$C$495,MATCH(A12,'Dashboard Items'!$A$2:$A$495,0)),"ID not found"))</f>
        <v>Financial Management &amp; Accountability</v>
      </c>
      <c r="C12" s="17" t="str">
        <f>IF(A12="","",IFERROR(INDEX('Dashboard Items'!$E$2:$E$495,MATCH(A12,'Dashboard Items'!$A$2:$A$495,0)),"ID not found"))</f>
        <v>Financial and Internal Services</v>
      </c>
      <c r="D12" s="82" t="s">
        <v>628</v>
      </c>
      <c r="E12" s="17" t="str">
        <f>IF(D12="","",IFERROR(INDEX('Dashboard Items'!$C$2:$C$495,MATCH(D12,'Dashboard Items'!$A$2:$A$495,0)),"ID not found"))</f>
        <v>1.2 Community Partnerships and Inclusion</v>
      </c>
      <c r="F12" s="17" t="str">
        <f>IF(D12="","",IFERROR(INDEX('Dashboard Items'!$F$2:$F$495,MATCH(D12,'Dashboard Items'!$A$2:$A$495,0)),"ID not found"))</f>
        <v>Organizational Stewardship</v>
      </c>
    </row>
    <row r="13" spans="1:6" x14ac:dyDescent="0.2">
      <c r="A13" s="82" t="s">
        <v>68</v>
      </c>
      <c r="B13" s="17" t="str">
        <f>IF(A13="","",IFERROR(INDEX('Dashboard Items'!$C$2:$C$495,MATCH(A13,'Dashboard Items'!$A$2:$A$495,0)),"ID not found"))</f>
        <v>Human Resources &amp; Workforce Development</v>
      </c>
      <c r="C13" s="17" t="str">
        <f>IF(A13="","",IFERROR(INDEX('Dashboard Items'!$E$2:$E$495,MATCH(A13,'Dashboard Items'!$A$2:$A$495,0)),"ID not found"))</f>
        <v>Financial and Internal Services</v>
      </c>
      <c r="D13" s="82" t="s">
        <v>69</v>
      </c>
      <c r="E13" s="17" t="str">
        <f>IF(D13="","",IFERROR(INDEX('Dashboard Items'!$C$2:$C$495,MATCH(D13,'Dashboard Items'!$A$2:$A$495,0)),"ID not found"))</f>
        <v>6.1 Employee Growth and Retention</v>
      </c>
      <c r="F13" s="17" t="str">
        <f>IF(D13="","",IFERROR(INDEX('Dashboard Items'!$F$2:$F$495,MATCH(D13,'Dashboard Items'!$A$2:$A$495,0)),"ID not found"))</f>
        <v>Strategic Workforce Development</v>
      </c>
    </row>
    <row r="14" spans="1:6" x14ac:dyDescent="0.2">
      <c r="A14" s="82" t="s">
        <v>68</v>
      </c>
      <c r="B14" s="17" t="str">
        <f>IF(A14="","",IFERROR(INDEX('Dashboard Items'!$C$2:$C$495,MATCH(A14,'Dashboard Items'!$A$2:$A$495,0)),"ID not found"))</f>
        <v>Human Resources &amp; Workforce Development</v>
      </c>
      <c r="C14" s="17" t="str">
        <f>IF(A14="","",IFERROR(INDEX('Dashboard Items'!$E$2:$E$495,MATCH(A14,'Dashboard Items'!$A$2:$A$495,0)),"ID not found"))</f>
        <v>Financial and Internal Services</v>
      </c>
      <c r="D14" s="82" t="s">
        <v>678</v>
      </c>
      <c r="E14" s="17" t="str">
        <f>IF(D14="","",IFERROR(INDEX('Dashboard Items'!$C$2:$C$495,MATCH(D14,'Dashboard Items'!$A$2:$A$495,0)),"ID not found"))</f>
        <v>6.2 Comprehensive Career Progression Strategy</v>
      </c>
      <c r="F14" s="17" t="str">
        <f>IF(D14="","",IFERROR(INDEX('Dashboard Items'!$F$2:$F$495,MATCH(D14,'Dashboard Items'!$A$2:$A$495,0)),"ID not found"))</f>
        <v>Strategic Workforce Development</v>
      </c>
    </row>
    <row r="15" spans="1:6" x14ac:dyDescent="0.2">
      <c r="A15" s="82" t="s">
        <v>68</v>
      </c>
      <c r="B15" s="17" t="str">
        <f>IF(A15="","",IFERROR(INDEX('Dashboard Items'!$C$2:$C$495,MATCH(A15,'Dashboard Items'!$A$2:$A$495,0)),"ID not found"))</f>
        <v>Human Resources &amp; Workforce Development</v>
      </c>
      <c r="C15" s="17" t="str">
        <f>IF(A15="","",IFERROR(INDEX('Dashboard Items'!$E$2:$E$495,MATCH(A15,'Dashboard Items'!$A$2:$A$495,0)),"ID not found"))</f>
        <v>Financial and Internal Services</v>
      </c>
      <c r="D15" s="82" t="s">
        <v>681</v>
      </c>
      <c r="E15" s="17" t="str">
        <f>IF(D15="","",IFERROR(INDEX('Dashboard Items'!$C$2:$C$495,MATCH(D15,'Dashboard Items'!$A$2:$A$495,0)),"ID not found"))</f>
        <v>6.3 Workforce Preparedness and Optimization</v>
      </c>
      <c r="F15" s="17" t="str">
        <f>IF(D15="","",IFERROR(INDEX('Dashboard Items'!$F$2:$F$495,MATCH(D15,'Dashboard Items'!$A$2:$A$495,0)),"ID not found"))</f>
        <v>Strategic Workforce Development</v>
      </c>
    </row>
    <row r="16" spans="1:6" x14ac:dyDescent="0.2">
      <c r="A16" s="82" t="s">
        <v>397</v>
      </c>
      <c r="B16" s="17" t="str">
        <f>IF(A16="","",IFERROR(INDEX('Dashboard Items'!$C$2:$C$495,MATCH(A16,'Dashboard Items'!$A$2:$A$495,0)),"ID not found"))</f>
        <v>Legal Services</v>
      </c>
      <c r="C16" s="17" t="str">
        <f>IF(A16="","",IFERROR(INDEX('Dashboard Items'!$E$2:$E$495,MATCH(A16,'Dashboard Items'!$A$2:$A$495,0)),"ID not found"))</f>
        <v>Financial and Internal Services</v>
      </c>
      <c r="D16" s="82" t="s">
        <v>624</v>
      </c>
      <c r="E16" s="17" t="str">
        <f>IF(D16="","",IFERROR(INDEX('Dashboard Items'!$C$2:$C$495,MATCH(D16,'Dashboard Items'!$A$2:$A$495,0)),"ID not found"))</f>
        <v>1.1 Financial Sustainability and Innovation</v>
      </c>
      <c r="F16" s="17" t="str">
        <f>IF(D16="","",IFERROR(INDEX('Dashboard Items'!$F$2:$F$495,MATCH(D16,'Dashboard Items'!$A$2:$A$495,0)),"ID not found"))</f>
        <v>Organizational Stewardship</v>
      </c>
    </row>
    <row r="17" spans="1:6" x14ac:dyDescent="0.2">
      <c r="A17" s="82" t="s">
        <v>397</v>
      </c>
      <c r="B17" s="17" t="str">
        <f>IF(A17="","",IFERROR(INDEX('Dashboard Items'!$C$2:$C$495,MATCH(A17,'Dashboard Items'!$A$2:$A$495,0)),"ID not found"))</f>
        <v>Legal Services</v>
      </c>
      <c r="C17" s="17" t="str">
        <f>IF(A17="","",IFERROR(INDEX('Dashboard Items'!$E$2:$E$495,MATCH(A17,'Dashboard Items'!$A$2:$A$495,0)),"ID not found"))</f>
        <v>Financial and Internal Services</v>
      </c>
      <c r="D17" s="82" t="s">
        <v>643</v>
      </c>
      <c r="E17" s="17" t="str">
        <f>IF(D17="","",IFERROR(INDEX('Dashboard Items'!$C$2:$C$495,MATCH(D17,'Dashboard Items'!$A$2:$A$495,0)),"ID not found"))</f>
        <v>3.1 Public Safety and Emergency Services</v>
      </c>
      <c r="F17" s="17" t="str">
        <f>IF(D17="","",IFERROR(INDEX('Dashboard Items'!$F$2:$F$495,MATCH(D17,'Dashboard Items'!$A$2:$A$495,0)),"ID not found"))</f>
        <v>Safety &amp; Quality of Life</v>
      </c>
    </row>
    <row r="18" spans="1:6" x14ac:dyDescent="0.2">
      <c r="A18" s="82" t="s">
        <v>132</v>
      </c>
      <c r="B18" s="17" t="str">
        <f>IF(A18="","",IFERROR(INDEX('Dashboard Items'!$C$2:$C$495,MATCH(A18,'Dashboard Items'!$A$2:$A$495,0)),"ID not found"))</f>
        <v>Information Technology Services</v>
      </c>
      <c r="C18" s="17" t="str">
        <f>IF(A18="","",IFERROR(INDEX('Dashboard Items'!$E$2:$E$495,MATCH(A18,'Dashboard Items'!$A$2:$A$495,0)),"ID not found"))</f>
        <v>Financial and Internal Services</v>
      </c>
      <c r="D18" s="82" t="s">
        <v>624</v>
      </c>
      <c r="E18" s="17" t="str">
        <f>IF(D18="","",IFERROR(INDEX('Dashboard Items'!$C$2:$C$495,MATCH(D18,'Dashboard Items'!$A$2:$A$495,0)),"ID not found"))</f>
        <v>1.1 Financial Sustainability and Innovation</v>
      </c>
      <c r="F18" s="17" t="str">
        <f>IF(D18="","",IFERROR(INDEX('Dashboard Items'!$F$2:$F$495,MATCH(D18,'Dashboard Items'!$A$2:$A$495,0)),"ID not found"))</f>
        <v>Organizational Stewardship</v>
      </c>
    </row>
    <row r="19" spans="1:6" x14ac:dyDescent="0.2">
      <c r="A19" s="82" t="s">
        <v>132</v>
      </c>
      <c r="B19" s="17" t="str">
        <f>IF(A19="","",IFERROR(INDEX('Dashboard Items'!$C$2:$C$495,MATCH(A19,'Dashboard Items'!$A$2:$A$495,0)),"ID not found"))</f>
        <v>Information Technology Services</v>
      </c>
      <c r="C19" s="17" t="str">
        <f>IF(A19="","",IFERROR(INDEX('Dashboard Items'!$E$2:$E$495,MATCH(A19,'Dashboard Items'!$A$2:$A$495,0)),"ID not found"))</f>
        <v>Financial and Internal Services</v>
      </c>
      <c r="D19" s="82" t="s">
        <v>652</v>
      </c>
      <c r="E19" s="17" t="str">
        <f>IF(D19="","",IFERROR(INDEX('Dashboard Items'!$C$2:$C$495,MATCH(D19,'Dashboard Items'!$A$2:$A$495,0)),"ID not found"))</f>
        <v>4.1 Safe, Accessible Mobility</v>
      </c>
      <c r="F19" s="17" t="str">
        <f>IF(D19="","",IFERROR(INDEX('Dashboard Items'!$F$2:$F$495,MATCH(D19,'Dashboard Items'!$A$2:$A$495,0)),"ID not found"))</f>
        <v>Reliable Infrastructure and Community Connectivity</v>
      </c>
    </row>
    <row r="20" spans="1:6" x14ac:dyDescent="0.2">
      <c r="A20" s="82" t="s">
        <v>132</v>
      </c>
      <c r="B20" s="17" t="str">
        <f>IF(A20="","",IFERROR(INDEX('Dashboard Items'!$C$2:$C$495,MATCH(A20,'Dashboard Items'!$A$2:$A$495,0)),"ID not found"))</f>
        <v>Information Technology Services</v>
      </c>
      <c r="C20" s="17" t="str">
        <f>IF(A20="","",IFERROR(INDEX('Dashboard Items'!$E$2:$E$495,MATCH(A20,'Dashboard Items'!$A$2:$A$495,0)),"ID not found"))</f>
        <v>Financial and Internal Services</v>
      </c>
      <c r="D20" s="82" t="s">
        <v>655</v>
      </c>
      <c r="E20" s="17" t="str">
        <f>IF(D20="","",IFERROR(INDEX('Dashboard Items'!$C$2:$C$495,MATCH(D20,'Dashboard Items'!$A$2:$A$495,0)),"ID not found"))</f>
        <v>4.2 Transportation Infrastructure Investment</v>
      </c>
      <c r="F20" s="17" t="str">
        <f>IF(D20="","",IFERROR(INDEX('Dashboard Items'!$F$2:$F$495,MATCH(D20,'Dashboard Items'!$A$2:$A$495,0)),"ID not found"))</f>
        <v>Reliable Infrastructure and Community Connectivity</v>
      </c>
    </row>
    <row r="21" spans="1:6" x14ac:dyDescent="0.2">
      <c r="A21" s="82" t="s">
        <v>132</v>
      </c>
      <c r="B21" s="17" t="str">
        <f>IF(A21="","",IFERROR(INDEX('Dashboard Items'!$C$2:$C$495,MATCH(A21,'Dashboard Items'!$A$2:$A$495,0)),"ID not found"))</f>
        <v>Information Technology Services</v>
      </c>
      <c r="C21" s="17" t="str">
        <f>IF(A21="","",IFERROR(INDEX('Dashboard Items'!$E$2:$E$495,MATCH(A21,'Dashboard Items'!$A$2:$A$495,0)),"ID not found"))</f>
        <v>Financial and Internal Services</v>
      </c>
      <c r="D21" s="82" t="s">
        <v>664</v>
      </c>
      <c r="E21" s="17" t="str">
        <f>IF(D21="","",IFERROR(INDEX('Dashboard Items'!$C$2:$C$495,MATCH(D21,'Dashboard Items'!$A$2:$A$495,0)),"ID not found"))</f>
        <v>4.5 Reliable and Secure IT Infrastrucutre</v>
      </c>
      <c r="F21" s="17" t="str">
        <f>IF(D21="","",IFERROR(INDEX('Dashboard Items'!$F$2:$F$495,MATCH(D21,'Dashboard Items'!$A$2:$A$495,0)),"ID not found"))</f>
        <v>Reliable Infrastructure and Community Connectivity</v>
      </c>
    </row>
    <row r="22" spans="1:6" x14ac:dyDescent="0.2">
      <c r="A22" s="82" t="s">
        <v>132</v>
      </c>
      <c r="B22" s="17" t="str">
        <f>IF(A22="","",IFERROR(INDEX('Dashboard Items'!$C$2:$C$495,MATCH(A22,'Dashboard Items'!$A$2:$A$495,0)),"ID not found"))</f>
        <v>Information Technology Services</v>
      </c>
      <c r="C22" s="17" t="str">
        <f>IF(A22="","",IFERROR(INDEX('Dashboard Items'!$E$2:$E$495,MATCH(A22,'Dashboard Items'!$A$2:$A$495,0)),"ID not found"))</f>
        <v>Financial and Internal Services</v>
      </c>
      <c r="D22" s="82" t="s">
        <v>667</v>
      </c>
      <c r="E22" s="17" t="str">
        <f>IF(D22="","",IFERROR(INDEX('Dashboard Items'!$C$2:$C$495,MATCH(D22,'Dashboard Items'!$A$2:$A$495,0)),"ID not found"))</f>
        <v>4.6 City surface Transit and Right of Way</v>
      </c>
      <c r="F22" s="17" t="str">
        <f>IF(D22="","",IFERROR(INDEX('Dashboard Items'!$F$2:$F$495,MATCH(D22,'Dashboard Items'!$A$2:$A$495,0)),"ID not found"))</f>
        <v>Reliable Infrastructure and Community Connectivity</v>
      </c>
    </row>
    <row r="23" spans="1:6" x14ac:dyDescent="0.2">
      <c r="A23" s="82" t="s">
        <v>132</v>
      </c>
      <c r="B23" s="17" t="str">
        <f>IF(A23="","",IFERROR(INDEX('Dashboard Items'!$C$2:$C$495,MATCH(A23,'Dashboard Items'!$A$2:$A$495,0)),"ID not found"))</f>
        <v>Information Technology Services</v>
      </c>
      <c r="C23" s="17" t="str">
        <f>IF(A23="","",IFERROR(INDEX('Dashboard Items'!$E$2:$E$495,MATCH(A23,'Dashboard Items'!$A$2:$A$495,0)),"ID not found"))</f>
        <v>Financial and Internal Services</v>
      </c>
      <c r="D23" s="82" t="s">
        <v>673</v>
      </c>
      <c r="E23" s="17" t="str">
        <f>IF(D23="","",IFERROR(INDEX('Dashboard Items'!$C$2:$C$495,MATCH(D23,'Dashboard Items'!$A$2:$A$495,0)),"ID not found"))</f>
        <v>5.2 Open and Accessible Information Communication</v>
      </c>
      <c r="F23" s="17" t="str">
        <f>IF(D23="","",IFERROR(INDEX('Dashboard Items'!$F$2:$F$495,MATCH(D23,'Dashboard Items'!$A$2:$A$495,0)),"ID not found"))</f>
        <v>Engaged and Informed Community</v>
      </c>
    </row>
    <row r="24" spans="1:6" x14ac:dyDescent="0.2">
      <c r="A24" s="82" t="s">
        <v>231</v>
      </c>
      <c r="B24" s="17" t="str">
        <f>IF(A24="","",IFERROR(INDEX('Dashboard Items'!$C$2:$C$495,MATCH(A24,'Dashboard Items'!$A$2:$A$495,0)),"ID not found"))</f>
        <v>Community Development &amp; Planning</v>
      </c>
      <c r="C24" s="17" t="str">
        <f>IF(A24="","",IFERROR(INDEX('Dashboard Items'!$E$2:$E$495,MATCH(A24,'Dashboard Items'!$A$2:$A$495,0)),"ID not found"))</f>
        <v>Community Growth and Economic Vitality</v>
      </c>
      <c r="D24" s="82" t="s">
        <v>634</v>
      </c>
      <c r="E24" s="17" t="str">
        <f>IF(D24="","",IFERROR(INDEX('Dashboard Items'!$C$2:$C$495,MATCH(D24,'Dashboard Items'!$A$2:$A$495,0)),"ID not found"))</f>
        <v>2.1 Affordable, Multigenerational Housing</v>
      </c>
      <c r="F24" s="17" t="str">
        <f>IF(D24="","",IFERROR(INDEX('Dashboard Items'!$F$2:$F$495,MATCH(D24,'Dashboard Items'!$A$2:$A$495,0)),"ID not found"))</f>
        <v>Innovative Housing and Economic Development</v>
      </c>
    </row>
    <row r="25" spans="1:6" x14ac:dyDescent="0.2">
      <c r="A25" s="82" t="s">
        <v>231</v>
      </c>
      <c r="B25" s="17" t="str">
        <f>IF(A25="","",IFERROR(INDEX('Dashboard Items'!$C$2:$C$495,MATCH(A25,'Dashboard Items'!$A$2:$A$495,0)),"ID not found"))</f>
        <v>Community Development &amp; Planning</v>
      </c>
      <c r="C25" s="17" t="str">
        <f>IF(A25="","",IFERROR(INDEX('Dashboard Items'!$E$2:$E$495,MATCH(A25,'Dashboard Items'!$A$2:$A$495,0)),"ID not found"))</f>
        <v>Community Growth and Economic Vitality</v>
      </c>
      <c r="D25" s="82" t="s">
        <v>640</v>
      </c>
      <c r="E25" s="17" t="str">
        <f>IF(D25="","",IFERROR(INDEX('Dashboard Items'!$C$2:$C$495,MATCH(D25,'Dashboard Items'!$A$2:$A$495,0)),"ID not found"))</f>
        <v>2.3 Community Character and Investments</v>
      </c>
      <c r="F25" s="17" t="str">
        <f>IF(D25="","",IFERROR(INDEX('Dashboard Items'!$F$2:$F$495,MATCH(D25,'Dashboard Items'!$A$2:$A$495,0)),"ID not found"))</f>
        <v>Innovative Housing and Economic Development</v>
      </c>
    </row>
    <row r="26" spans="1:6" x14ac:dyDescent="0.2">
      <c r="A26" s="82" t="s">
        <v>231</v>
      </c>
      <c r="B26" s="17" t="str">
        <f>IF(A26="","",IFERROR(INDEX('Dashboard Items'!$C$2:$C$495,MATCH(A26,'Dashboard Items'!$A$2:$A$495,0)),"ID not found"))</f>
        <v>Community Development &amp; Planning</v>
      </c>
      <c r="C26" s="17" t="str">
        <f>IF(A26="","",IFERROR(INDEX('Dashboard Items'!$E$2:$E$495,MATCH(A26,'Dashboard Items'!$A$2:$A$495,0)),"ID not found"))</f>
        <v>Community Growth and Economic Vitality</v>
      </c>
      <c r="D26" s="82" t="s">
        <v>649</v>
      </c>
      <c r="E26" s="17" t="str">
        <f>IF(D26="","",IFERROR(INDEX('Dashboard Items'!$C$2:$C$495,MATCH(D26,'Dashboard Items'!$A$2:$A$495,0)),"ID not found"))</f>
        <v>3.3 Parks, Trails and Natural Lands</v>
      </c>
      <c r="F26" s="17" t="str">
        <f>IF(D26="","",IFERROR(INDEX('Dashboard Items'!$F$2:$F$495,MATCH(D26,'Dashboard Items'!$A$2:$A$495,0)),"ID not found"))</f>
        <v>Safety &amp; Quality of Life</v>
      </c>
    </row>
    <row r="27" spans="1:6" x14ac:dyDescent="0.2">
      <c r="A27" s="82" t="s">
        <v>239</v>
      </c>
      <c r="B27" s="17" t="str">
        <f>IF(A27="","",IFERROR(INDEX('Dashboard Items'!$C$2:$C$495,MATCH(A27,'Dashboard Items'!$A$2:$A$495,0)),"ID not found"))</f>
        <v>Economic Prosperity &amp; Business Support</v>
      </c>
      <c r="C27" s="17" t="str">
        <f>IF(A27="","",IFERROR(INDEX('Dashboard Items'!$E$2:$E$495,MATCH(A27,'Dashboard Items'!$A$2:$A$495,0)),"ID not found"))</f>
        <v>Community Growth and Economic Vitality</v>
      </c>
      <c r="D27" s="82" t="s">
        <v>637</v>
      </c>
      <c r="E27" s="17" t="str">
        <f>IF(D27="","",IFERROR(INDEX('Dashboard Items'!$C$2:$C$495,MATCH(D27,'Dashboard Items'!$A$2:$A$495,0)),"ID not found"))</f>
        <v>2.2 Economic Growth and Entrepreneurship</v>
      </c>
      <c r="F27" s="17" t="str">
        <f>IF(D27="","",IFERROR(INDEX('Dashboard Items'!$F$2:$F$495,MATCH(D27,'Dashboard Items'!$A$2:$A$495,0)),"ID not found"))</f>
        <v>Innovative Housing and Economic Development</v>
      </c>
    </row>
    <row r="28" spans="1:6" x14ac:dyDescent="0.2">
      <c r="A28" s="82" t="s">
        <v>239</v>
      </c>
      <c r="B28" s="17" t="str">
        <f>IF(A28="","",IFERROR(INDEX('Dashboard Items'!$C$2:$C$495,MATCH(A28,'Dashboard Items'!$A$2:$A$495,0)),"ID not found"))</f>
        <v>Economic Prosperity &amp; Business Support</v>
      </c>
      <c r="C28" s="17" t="str">
        <f>IF(A28="","",IFERROR(INDEX('Dashboard Items'!$E$2:$E$495,MATCH(A28,'Dashboard Items'!$A$2:$A$495,0)),"ID not found"))</f>
        <v>Community Growth and Economic Vitality</v>
      </c>
      <c r="D28" s="82" t="s">
        <v>640</v>
      </c>
      <c r="E28" s="17" t="str">
        <f>IF(D28="","",IFERROR(INDEX('Dashboard Items'!$C$2:$C$495,MATCH(D28,'Dashboard Items'!$A$2:$A$495,0)),"ID not found"))</f>
        <v>2.3 Community Character and Investments</v>
      </c>
      <c r="F28" s="17" t="str">
        <f>IF(D28="","",IFERROR(INDEX('Dashboard Items'!$F$2:$F$495,MATCH(D28,'Dashboard Items'!$A$2:$A$495,0)),"ID not found"))</f>
        <v>Innovative Housing and Economic Development</v>
      </c>
    </row>
    <row r="29" spans="1:6" x14ac:dyDescent="0.2">
      <c r="A29" s="82" t="s">
        <v>402</v>
      </c>
      <c r="B29" s="17" t="str">
        <f>IF(A29="","",IFERROR(INDEX('Dashboard Items'!$C$2:$C$495,MATCH(A29,'Dashboard Items'!$A$2:$A$495,0)),"ID not found"))</f>
        <v>Sustainability &amp; Environmental Stewardship</v>
      </c>
      <c r="C29" s="17" t="str">
        <f>IF(A29="","",IFERROR(INDEX('Dashboard Items'!$E$2:$E$495,MATCH(A29,'Dashboard Items'!$A$2:$A$495,0)),"ID not found"))</f>
        <v>Community Growth and Economic Vitality</v>
      </c>
      <c r="D29" s="82" t="s">
        <v>631</v>
      </c>
      <c r="E29" s="17" t="str">
        <f>IF(D29="","",IFERROR(INDEX('Dashboard Items'!$C$2:$C$495,MATCH(D29,'Dashboard Items'!$A$2:$A$495,0)),"ID not found"))</f>
        <v>1.3 Environmental Stewardship</v>
      </c>
      <c r="F29" s="17" t="str">
        <f>IF(D29="","",IFERROR(INDEX('Dashboard Items'!$F$2:$F$495,MATCH(D29,'Dashboard Items'!$A$2:$A$495,0)),"ID not found"))</f>
        <v>Organizational Stewardship</v>
      </c>
    </row>
    <row r="30" spans="1:6" x14ac:dyDescent="0.2">
      <c r="A30" s="82" t="s">
        <v>402</v>
      </c>
      <c r="B30" s="17" t="str">
        <f>IF(A30="","",IFERROR(INDEX('Dashboard Items'!$C$2:$C$495,MATCH(A30,'Dashboard Items'!$A$2:$A$495,0)),"ID not found"))</f>
        <v>Sustainability &amp; Environmental Stewardship</v>
      </c>
      <c r="C30" s="17" t="str">
        <f>IF(A30="","",IFERROR(INDEX('Dashboard Items'!$E$2:$E$495,MATCH(A30,'Dashboard Items'!$A$2:$A$495,0)),"ID not found"))</f>
        <v>Community Growth and Economic Vitality</v>
      </c>
      <c r="D30" s="82" t="s">
        <v>649</v>
      </c>
      <c r="E30" s="17" t="str">
        <f>IF(D30="","",IFERROR(INDEX('Dashboard Items'!$C$2:$C$495,MATCH(D30,'Dashboard Items'!$A$2:$A$495,0)),"ID not found"))</f>
        <v>3.3 Parks, Trails and Natural Lands</v>
      </c>
      <c r="F30" s="17" t="str">
        <f>IF(D30="","",IFERROR(INDEX('Dashboard Items'!$F$2:$F$495,MATCH(D30,'Dashboard Items'!$A$2:$A$495,0)),"ID not found"))</f>
        <v>Safety &amp; Quality of Life</v>
      </c>
    </row>
    <row r="31" spans="1:6" x14ac:dyDescent="0.2">
      <c r="A31" s="82" t="s">
        <v>402</v>
      </c>
      <c r="B31" s="17" t="str">
        <f>IF(A31="","",IFERROR(INDEX('Dashboard Items'!$C$2:$C$495,MATCH(A31,'Dashboard Items'!$A$2:$A$495,0)),"ID not found"))</f>
        <v>Sustainability &amp; Environmental Stewardship</v>
      </c>
      <c r="C31" s="17" t="str">
        <f>IF(A31="","",IFERROR(INDEX('Dashboard Items'!$E$2:$E$495,MATCH(A31,'Dashboard Items'!$A$2:$A$495,0)),"ID not found"))</f>
        <v>Community Growth and Economic Vitality</v>
      </c>
      <c r="D31" s="82" t="s">
        <v>658</v>
      </c>
      <c r="E31" s="17" t="str">
        <f>IF(D31="","",IFERROR(INDEX('Dashboard Items'!$C$2:$C$495,MATCH(D31,'Dashboard Items'!$A$2:$A$495,0)),"ID not found"))</f>
        <v>4.3 Water and Wastewater Systems</v>
      </c>
      <c r="F31" s="17" t="str">
        <f>IF(D31="","",IFERROR(INDEX('Dashboard Items'!$F$2:$F$495,MATCH(D31,'Dashboard Items'!$A$2:$A$495,0)),"ID not found"))</f>
        <v>Reliable Infrastructure and Community Connectivity</v>
      </c>
    </row>
    <row r="32" spans="1:6" x14ac:dyDescent="0.2">
      <c r="A32" s="82" t="s">
        <v>259</v>
      </c>
      <c r="B32" s="17" t="str">
        <f>IF(A32="","",IFERROR(INDEX('Dashboard Items'!$C$2:$C$495,MATCH(A32,'Dashboard Items'!$A$2:$A$495,0)),"ID not found"))</f>
        <v>Public Safety Services</v>
      </c>
      <c r="C32" s="17" t="str">
        <f>IF(A32="","",IFERROR(INDEX('Dashboard Items'!$E$2:$E$495,MATCH(A32,'Dashboard Items'!$A$2:$A$495,0)),"ID not found"))</f>
        <v>Public Safety</v>
      </c>
      <c r="D32" s="82" t="s">
        <v>643</v>
      </c>
      <c r="E32" s="17" t="str">
        <f>IF(D32="","",IFERROR(INDEX('Dashboard Items'!$C$2:$C$495,MATCH(D32,'Dashboard Items'!$A$2:$A$495,0)),"ID not found"))</f>
        <v>3.1 Public Safety and Emergency Services</v>
      </c>
      <c r="F32" s="17" t="str">
        <f>IF(D32="","",IFERROR(INDEX('Dashboard Items'!$F$2:$F$495,MATCH(D32,'Dashboard Items'!$A$2:$A$495,0)),"ID not found"))</f>
        <v>Safety &amp; Quality of Life</v>
      </c>
    </row>
    <row r="33" spans="1:6" x14ac:dyDescent="0.2">
      <c r="A33" s="82" t="s">
        <v>259</v>
      </c>
      <c r="B33" s="17" t="str">
        <f>IF(A33="","",IFERROR(INDEX('Dashboard Items'!$C$2:$C$495,MATCH(A33,'Dashboard Items'!$A$2:$A$495,0)),"ID not found"))</f>
        <v>Public Safety Services</v>
      </c>
      <c r="C33" s="17" t="str">
        <f>IF(A33="","",IFERROR(INDEX('Dashboard Items'!$E$2:$E$495,MATCH(A33,'Dashboard Items'!$A$2:$A$495,0)),"ID not found"))</f>
        <v>Public Safety</v>
      </c>
      <c r="D33" s="82" t="s">
        <v>646</v>
      </c>
      <c r="E33" s="17" t="str">
        <f>IF(D33="","",IFERROR(INDEX('Dashboard Items'!$C$2:$C$495,MATCH(D33,'Dashboard Items'!$A$2:$A$495,0)),"ID not found"))</f>
        <v>3.2 Arts, Culture, and Recreation</v>
      </c>
      <c r="F33" s="17" t="str">
        <f>IF(D33="","",IFERROR(INDEX('Dashboard Items'!$F$2:$F$495,MATCH(D33,'Dashboard Items'!$A$2:$A$495,0)),"ID not found"))</f>
        <v>Safety &amp; Quality of Life</v>
      </c>
    </row>
    <row r="34" spans="1:6" x14ac:dyDescent="0.2">
      <c r="A34" s="82" t="s">
        <v>259</v>
      </c>
      <c r="B34" s="17" t="str">
        <f>IF(A34="","",IFERROR(INDEX('Dashboard Items'!$C$2:$C$495,MATCH(A34,'Dashboard Items'!$A$2:$A$495,0)),"ID not found"))</f>
        <v>Public Safety Services</v>
      </c>
      <c r="C34" s="17" t="str">
        <f>IF(A34="","",IFERROR(INDEX('Dashboard Items'!$E$2:$E$495,MATCH(A34,'Dashboard Items'!$A$2:$A$495,0)),"ID not found"))</f>
        <v>Public Safety</v>
      </c>
      <c r="D34" s="82" t="s">
        <v>661</v>
      </c>
      <c r="E34" s="17" t="str">
        <f>IF(D34="","",IFERROR(INDEX('Dashboard Items'!$C$2:$C$495,MATCH(D34,'Dashboard Items'!$A$2:$A$495,0)),"ID not found"))</f>
        <v>4.4 Airport and Aviation Hubs</v>
      </c>
      <c r="F34" s="17" t="str">
        <f>IF(D34="","",IFERROR(INDEX('Dashboard Items'!$F$2:$F$495,MATCH(D34,'Dashboard Items'!$A$2:$A$495,0)),"ID not found"))</f>
        <v>Reliable Infrastructure and Community Connectivity</v>
      </c>
    </row>
    <row r="35" spans="1:6" x14ac:dyDescent="0.2">
      <c r="A35" s="82" t="s">
        <v>191</v>
      </c>
      <c r="B35" s="17" t="str">
        <f>IF(A35="","",IFERROR(INDEX('Dashboard Items'!$C$2:$C$495,MATCH(A35,'Dashboard Items'!$A$2:$A$495,0)),"ID not found"))</f>
        <v>Municipal Court</v>
      </c>
      <c r="C35" s="17" t="str">
        <f>IF(A35="","",IFERROR(INDEX('Dashboard Items'!$E$2:$E$495,MATCH(A35,'Dashboard Items'!$A$2:$A$495,0)),"ID not found"))</f>
        <v>Public Safety</v>
      </c>
      <c r="D35" s="82" t="s">
        <v>624</v>
      </c>
      <c r="E35" s="17" t="str">
        <f>IF(D35="","",IFERROR(INDEX('Dashboard Items'!$C$2:$C$495,MATCH(D35,'Dashboard Items'!$A$2:$A$495,0)),"ID not found"))</f>
        <v>1.1 Financial Sustainability and Innovation</v>
      </c>
      <c r="F35" s="17" t="str">
        <f>IF(D35="","",IFERROR(INDEX('Dashboard Items'!$F$2:$F$495,MATCH(D35,'Dashboard Items'!$A$2:$A$495,0)),"ID not found"))</f>
        <v>Organizational Stewardship</v>
      </c>
    </row>
    <row r="36" spans="1:6" x14ac:dyDescent="0.2">
      <c r="A36" s="82" t="s">
        <v>191</v>
      </c>
      <c r="B36" s="17" t="str">
        <f>IF(A36="","",IFERROR(INDEX('Dashboard Items'!$C$2:$C$495,MATCH(A36,'Dashboard Items'!$A$2:$A$495,0)),"ID not found"))</f>
        <v>Municipal Court</v>
      </c>
      <c r="C36" s="17" t="str">
        <f>IF(A36="","",IFERROR(INDEX('Dashboard Items'!$E$2:$E$495,MATCH(A36,'Dashboard Items'!$A$2:$A$495,0)),"ID not found"))</f>
        <v>Public Safety</v>
      </c>
      <c r="D36" s="82" t="s">
        <v>643</v>
      </c>
      <c r="E36" s="17" t="str">
        <f>IF(D36="","",IFERROR(INDEX('Dashboard Items'!$C$2:$C$495,MATCH(D36,'Dashboard Items'!$A$2:$A$495,0)),"ID not found"))</f>
        <v>3.1 Public Safety and Emergency Services</v>
      </c>
      <c r="F36" s="17" t="str">
        <f>IF(D36="","",IFERROR(INDEX('Dashboard Items'!$F$2:$F$495,MATCH(D36,'Dashboard Items'!$A$2:$A$495,0)),"ID not found"))</f>
        <v>Safety &amp; Quality of Life</v>
      </c>
    </row>
    <row r="37" spans="1:6" x14ac:dyDescent="0.2">
      <c r="A37" s="82" t="s">
        <v>406</v>
      </c>
      <c r="B37" s="17" t="str">
        <f>IF(A37="","",IFERROR(INDEX('Dashboard Items'!$C$2:$C$495,MATCH(A37,'Dashboard Items'!$A$2:$A$495,0)),"ID not found"))</f>
        <v>Public Works &amp; Municipal Services</v>
      </c>
      <c r="C37" s="17" t="str">
        <f>IF(A37="","",IFERROR(INDEX('Dashboard Items'!$E$2:$E$495,MATCH(A37,'Dashboard Items'!$A$2:$A$495,0)),"ID not found"))</f>
        <v>Infrastructure</v>
      </c>
      <c r="D37" s="82" t="s">
        <v>631</v>
      </c>
      <c r="E37" s="17" t="str">
        <f>IF(D37="","",IFERROR(INDEX('Dashboard Items'!$C$2:$C$495,MATCH(D37,'Dashboard Items'!$A$2:$A$495,0)),"ID not found"))</f>
        <v>1.3 Environmental Stewardship</v>
      </c>
      <c r="F37" s="17" t="str">
        <f>IF(D37="","",IFERROR(INDEX('Dashboard Items'!$F$2:$F$495,MATCH(D37,'Dashboard Items'!$A$2:$A$495,0)),"ID not found"))</f>
        <v>Organizational Stewardship</v>
      </c>
    </row>
    <row r="38" spans="1:6" x14ac:dyDescent="0.2">
      <c r="A38" s="82" t="s">
        <v>406</v>
      </c>
      <c r="B38" s="17" t="str">
        <f>IF(A38="","",IFERROR(INDEX('Dashboard Items'!$C$2:$C$495,MATCH(A38,'Dashboard Items'!$A$2:$A$495,0)),"ID not found"))</f>
        <v>Public Works &amp; Municipal Services</v>
      </c>
      <c r="C38" s="17" t="str">
        <f>IF(A38="","",IFERROR(INDEX('Dashboard Items'!$E$2:$E$495,MATCH(A38,'Dashboard Items'!$A$2:$A$495,0)),"ID not found"))</f>
        <v>Infrastructure</v>
      </c>
      <c r="D38" s="82" t="s">
        <v>652</v>
      </c>
      <c r="E38" s="17" t="str">
        <f>IF(D38="","",IFERROR(INDEX('Dashboard Items'!$C$2:$C$495,MATCH(D38,'Dashboard Items'!$A$2:$A$495,0)),"ID not found"))</f>
        <v>4.1 Safe, Accessible Mobility</v>
      </c>
      <c r="F38" s="17" t="str">
        <f>IF(D38="","",IFERROR(INDEX('Dashboard Items'!$F$2:$F$495,MATCH(D38,'Dashboard Items'!$A$2:$A$495,0)),"ID not found"))</f>
        <v>Reliable Infrastructure and Community Connectivity</v>
      </c>
    </row>
    <row r="39" spans="1:6" x14ac:dyDescent="0.2">
      <c r="A39" s="82" t="s">
        <v>406</v>
      </c>
      <c r="B39" s="17" t="str">
        <f>IF(A39="","",IFERROR(INDEX('Dashboard Items'!$C$2:$C$495,MATCH(A39,'Dashboard Items'!$A$2:$A$495,0)),"ID not found"))</f>
        <v>Public Works &amp; Municipal Services</v>
      </c>
      <c r="C39" s="17" t="str">
        <f>IF(A39="","",IFERROR(INDEX('Dashboard Items'!$E$2:$E$495,MATCH(A39,'Dashboard Items'!$A$2:$A$495,0)),"ID not found"))</f>
        <v>Infrastructure</v>
      </c>
      <c r="D39" s="82" t="s">
        <v>655</v>
      </c>
      <c r="E39" s="17" t="str">
        <f>IF(D39="","",IFERROR(INDEX('Dashboard Items'!$C$2:$C$495,MATCH(D39,'Dashboard Items'!$A$2:$A$495,0)),"ID not found"))</f>
        <v>4.2 Transportation Infrastructure Investment</v>
      </c>
      <c r="F39" s="17" t="str">
        <f>IF(D39="","",IFERROR(INDEX('Dashboard Items'!$F$2:$F$495,MATCH(D39,'Dashboard Items'!$A$2:$A$495,0)),"ID not found"))</f>
        <v>Reliable Infrastructure and Community Connectivity</v>
      </c>
    </row>
    <row r="40" spans="1:6" x14ac:dyDescent="0.2">
      <c r="A40" s="82" t="s">
        <v>406</v>
      </c>
      <c r="B40" s="17" t="str">
        <f>IF(A40="","",IFERROR(INDEX('Dashboard Items'!$C$2:$C$495,MATCH(A40,'Dashboard Items'!$A$2:$A$495,0)),"ID not found"))</f>
        <v>Public Works &amp; Municipal Services</v>
      </c>
      <c r="C40" s="17" t="str">
        <f>IF(A40="","",IFERROR(INDEX('Dashboard Items'!$E$2:$E$495,MATCH(A40,'Dashboard Items'!$A$2:$A$495,0)),"ID not found"))</f>
        <v>Infrastructure</v>
      </c>
      <c r="D40" s="82" t="s">
        <v>658</v>
      </c>
      <c r="E40" s="17" t="str">
        <f>IF(D40="","",IFERROR(INDEX('Dashboard Items'!$C$2:$C$495,MATCH(D40,'Dashboard Items'!$A$2:$A$495,0)),"ID not found"))</f>
        <v>4.3 Water and Wastewater Systems</v>
      </c>
      <c r="F40" s="17" t="str">
        <f>IF(D40="","",IFERROR(INDEX('Dashboard Items'!$F$2:$F$495,MATCH(D40,'Dashboard Items'!$A$2:$A$495,0)),"ID not found"))</f>
        <v>Reliable Infrastructure and Community Connectivity</v>
      </c>
    </row>
    <row r="41" spans="1:6" x14ac:dyDescent="0.2">
      <c r="A41" s="82" t="s">
        <v>406</v>
      </c>
      <c r="B41" s="17" t="str">
        <f>IF(A41="","",IFERROR(INDEX('Dashboard Items'!$C$2:$C$495,MATCH(A41,'Dashboard Items'!$A$2:$A$495,0)),"ID not found"))</f>
        <v>Public Works &amp; Municipal Services</v>
      </c>
      <c r="C41" s="17" t="str">
        <f>IF(A41="","",IFERROR(INDEX('Dashboard Items'!$E$2:$E$495,MATCH(A41,'Dashboard Items'!$A$2:$A$495,0)),"ID not found"))</f>
        <v>Infrastructure</v>
      </c>
      <c r="D41" s="82" t="s">
        <v>667</v>
      </c>
      <c r="E41" s="17" t="str">
        <f>IF(D41="","",IFERROR(INDEX('Dashboard Items'!$C$2:$C$495,MATCH(D41,'Dashboard Items'!$A$2:$A$495,0)),"ID not found"))</f>
        <v>4.6 City surface Transit and Right of Way</v>
      </c>
      <c r="F41" s="17" t="str">
        <f>IF(D41="","",IFERROR(INDEX('Dashboard Items'!$F$2:$F$495,MATCH(D41,'Dashboard Items'!$A$2:$A$495,0)),"ID not found"))</f>
        <v>Reliable Infrastructure and Community Connectivity</v>
      </c>
    </row>
    <row r="42" spans="1:6" x14ac:dyDescent="0.2">
      <c r="A42" s="82" t="s">
        <v>206</v>
      </c>
      <c r="B42" s="17" t="str">
        <f>IF(A42="","",IFERROR(INDEX('Dashboard Items'!$C$2:$C$495,MATCH(A42,'Dashboard Items'!$A$2:$A$495,0)),"ID not found"))</f>
        <v>Transit Services</v>
      </c>
      <c r="C42" s="17" t="str">
        <f>IF(A42="","",IFERROR(INDEX('Dashboard Items'!$E$2:$E$495,MATCH(A42,'Dashboard Items'!$A$2:$A$495,0)),"ID not found"))</f>
        <v>Infrastructure</v>
      </c>
      <c r="D42" s="82" t="s">
        <v>652</v>
      </c>
      <c r="E42" s="17" t="str">
        <f>IF(D42="","",IFERROR(INDEX('Dashboard Items'!$C$2:$C$495,MATCH(D42,'Dashboard Items'!$A$2:$A$495,0)),"ID not found"))</f>
        <v>4.1 Safe, Accessible Mobility</v>
      </c>
      <c r="F42" s="17" t="str">
        <f>IF(D42="","",IFERROR(INDEX('Dashboard Items'!$F$2:$F$495,MATCH(D42,'Dashboard Items'!$A$2:$A$495,0)),"ID not found"))</f>
        <v>Reliable Infrastructure and Community Connectivity</v>
      </c>
    </row>
    <row r="43" spans="1:6" x14ac:dyDescent="0.2">
      <c r="A43" s="82" t="s">
        <v>206</v>
      </c>
      <c r="B43" s="17" t="str">
        <f>IF(A43="","",IFERROR(INDEX('Dashboard Items'!$C$2:$C$495,MATCH(A43,'Dashboard Items'!$A$2:$A$495,0)),"ID not found"))</f>
        <v>Transit Services</v>
      </c>
      <c r="C43" s="17" t="str">
        <f>IF(A43="","",IFERROR(INDEX('Dashboard Items'!$E$2:$E$495,MATCH(A43,'Dashboard Items'!$A$2:$A$495,0)),"ID not found"))</f>
        <v>Infrastructure</v>
      </c>
      <c r="D43" s="82" t="s">
        <v>655</v>
      </c>
      <c r="E43" s="17" t="str">
        <f>IF(D43="","",IFERROR(INDEX('Dashboard Items'!$C$2:$C$495,MATCH(D43,'Dashboard Items'!$A$2:$A$495,0)),"ID not found"))</f>
        <v>4.2 Transportation Infrastructure Investment</v>
      </c>
      <c r="F43" s="17" t="str">
        <f>IF(D43="","",IFERROR(INDEX('Dashboard Items'!$F$2:$F$495,MATCH(D43,'Dashboard Items'!$A$2:$A$495,0)),"ID not found"))</f>
        <v>Reliable Infrastructure and Community Connectivity</v>
      </c>
    </row>
    <row r="44" spans="1:6" x14ac:dyDescent="0.2">
      <c r="A44" s="82" t="s">
        <v>206</v>
      </c>
      <c r="B44" s="17" t="str">
        <f>IF(A44="","",IFERROR(INDEX('Dashboard Items'!$C$2:$C$495,MATCH(A44,'Dashboard Items'!$A$2:$A$495,0)),"ID not found"))</f>
        <v>Transit Services</v>
      </c>
      <c r="C44" s="17" t="str">
        <f>IF(A44="","",IFERROR(INDEX('Dashboard Items'!$E$2:$E$495,MATCH(A44,'Dashboard Items'!$A$2:$A$495,0)),"ID not found"))</f>
        <v>Infrastructure</v>
      </c>
      <c r="D44" s="82" t="s">
        <v>667</v>
      </c>
      <c r="E44" s="17" t="str">
        <f>IF(D44="","",IFERROR(INDEX('Dashboard Items'!$C$2:$C$495,MATCH(D44,'Dashboard Items'!$A$2:$A$495,0)),"ID not found"))</f>
        <v>4.6 City surface Transit and Right of Way</v>
      </c>
      <c r="F44" s="17" t="str">
        <f>IF(D44="","",IFERROR(INDEX('Dashboard Items'!$F$2:$F$495,MATCH(D44,'Dashboard Items'!$A$2:$A$495,0)),"ID not found"))</f>
        <v>Reliable Infrastructure and Community Connectivity</v>
      </c>
    </row>
    <row r="45" spans="1:6" x14ac:dyDescent="0.2">
      <c r="A45" s="82" t="s">
        <v>206</v>
      </c>
      <c r="B45" s="17" t="str">
        <f>IF(A45="","",IFERROR(INDEX('Dashboard Items'!$C$2:$C$495,MATCH(A45,'Dashboard Items'!$A$2:$A$495,0)),"ID not found"))</f>
        <v>Transit Services</v>
      </c>
      <c r="C45" s="17" t="str">
        <f>IF(A45="","",IFERROR(INDEX('Dashboard Items'!$E$2:$E$495,MATCH(A45,'Dashboard Items'!$A$2:$A$495,0)),"ID not found"))</f>
        <v>Infrastructure</v>
      </c>
      <c r="D45" s="82" t="s">
        <v>670</v>
      </c>
      <c r="E45" s="17" t="str">
        <f>IF(D45="","",IFERROR(INDEX('Dashboard Items'!$C$2:$C$495,MATCH(D45,'Dashboard Items'!$A$2:$A$495,0)),"ID not found"))</f>
        <v>5.1 Civic and Engaged Communication</v>
      </c>
      <c r="F45" s="17" t="str">
        <f>IF(D45="","",IFERROR(INDEX('Dashboard Items'!$F$2:$F$495,MATCH(D45,'Dashboard Items'!$A$2:$A$495,0)),"ID not found"))</f>
        <v>Engaged and Informed Community</v>
      </c>
    </row>
    <row r="46" spans="1:6" x14ac:dyDescent="0.2">
      <c r="A46" s="82" t="s">
        <v>409</v>
      </c>
      <c r="B46" s="17" t="str">
        <f>IF(A46="","",IFERROR(INDEX('Dashboard Items'!$C$2:$C$495,MATCH(A46,'Dashboard Items'!$A$2:$A$495,0)),"ID not found"))</f>
        <v>Asset Management</v>
      </c>
      <c r="C46" s="17" t="str">
        <f>IF(A46="","",IFERROR(INDEX('Dashboard Items'!$E$2:$E$495,MATCH(A46,'Dashboard Items'!$A$2:$A$495,0)),"ID not found"))</f>
        <v>Infrastructure</v>
      </c>
      <c r="D46" s="82" t="s">
        <v>624</v>
      </c>
      <c r="E46" s="17" t="str">
        <f>IF(D46="","",IFERROR(INDEX('Dashboard Items'!$C$2:$C$495,MATCH(D46,'Dashboard Items'!$A$2:$A$495,0)),"ID not found"))</f>
        <v>1.1 Financial Sustainability and Innovation</v>
      </c>
      <c r="F46" s="17" t="str">
        <f>IF(D46="","",IFERROR(INDEX('Dashboard Items'!$F$2:$F$495,MATCH(D46,'Dashboard Items'!$A$2:$A$495,0)),"ID not found"))</f>
        <v>Organizational Stewardship</v>
      </c>
    </row>
    <row r="47" spans="1:6" x14ac:dyDescent="0.2">
      <c r="A47" s="82" t="s">
        <v>409</v>
      </c>
      <c r="B47" s="17" t="str">
        <f>IF(A47="","",IFERROR(INDEX('Dashboard Items'!$C$2:$C$495,MATCH(A47,'Dashboard Items'!$A$2:$A$495,0)),"ID not found"))</f>
        <v>Asset Management</v>
      </c>
      <c r="C47" s="17" t="str">
        <f>IF(A47="","",IFERROR(INDEX('Dashboard Items'!$E$2:$E$495,MATCH(A47,'Dashboard Items'!$A$2:$A$495,0)),"ID not found"))</f>
        <v>Infrastructure</v>
      </c>
      <c r="D47" s="82" t="s">
        <v>655</v>
      </c>
      <c r="E47" s="17" t="str">
        <f>IF(D47="","",IFERROR(INDEX('Dashboard Items'!$C$2:$C$495,MATCH(D47,'Dashboard Items'!$A$2:$A$495,0)),"ID not found"))</f>
        <v>4.2 Transportation Infrastructure Investment</v>
      </c>
      <c r="F47" s="17" t="str">
        <f>IF(D47="","",IFERROR(INDEX('Dashboard Items'!$F$2:$F$495,MATCH(D47,'Dashboard Items'!$A$2:$A$495,0)),"ID not found"))</f>
        <v>Reliable Infrastructure and Community Connectivity</v>
      </c>
    </row>
    <row r="48" spans="1:6" x14ac:dyDescent="0.2">
      <c r="A48" s="82" t="s">
        <v>409</v>
      </c>
      <c r="B48" s="17" t="str">
        <f>IF(A48="","",IFERROR(INDEX('Dashboard Items'!$C$2:$C$495,MATCH(A48,'Dashboard Items'!$A$2:$A$495,0)),"ID not found"))</f>
        <v>Asset Management</v>
      </c>
      <c r="C48" s="17" t="str">
        <f>IF(A48="","",IFERROR(INDEX('Dashboard Items'!$E$2:$E$495,MATCH(A48,'Dashboard Items'!$A$2:$A$495,0)),"ID not found"))</f>
        <v>Infrastructure</v>
      </c>
      <c r="D48" s="82" t="s">
        <v>658</v>
      </c>
      <c r="E48" s="17" t="str">
        <f>IF(D48="","",IFERROR(INDEX('Dashboard Items'!$C$2:$C$495,MATCH(D48,'Dashboard Items'!$A$2:$A$495,0)),"ID not found"))</f>
        <v>4.3 Water and Wastewater Systems</v>
      </c>
      <c r="F48" s="17" t="str">
        <f>IF(D48="","",IFERROR(INDEX('Dashboard Items'!$F$2:$F$495,MATCH(D48,'Dashboard Items'!$A$2:$A$495,0)),"ID not found"))</f>
        <v>Reliable Infrastructure and Community Connectivity</v>
      </c>
    </row>
    <row r="49" spans="1:6" x14ac:dyDescent="0.2">
      <c r="A49" s="82" t="s">
        <v>409</v>
      </c>
      <c r="B49" s="17" t="str">
        <f>IF(A49="","",IFERROR(INDEX('Dashboard Items'!$C$2:$C$495,MATCH(A49,'Dashboard Items'!$A$2:$A$495,0)),"ID not found"))</f>
        <v>Asset Management</v>
      </c>
      <c r="C49" s="17" t="str">
        <f>IF(A49="","",IFERROR(INDEX('Dashboard Items'!$E$2:$E$495,MATCH(A49,'Dashboard Items'!$A$2:$A$495,0)),"ID not found"))</f>
        <v>Infrastructure</v>
      </c>
      <c r="D49" s="82" t="s">
        <v>664</v>
      </c>
      <c r="E49" s="17" t="str">
        <f>IF(D49="","",IFERROR(INDEX('Dashboard Items'!$C$2:$C$495,MATCH(D49,'Dashboard Items'!$A$2:$A$495,0)),"ID not found"))</f>
        <v>4.5 Reliable and Secure IT Infrastrucutre</v>
      </c>
      <c r="F49" s="17" t="str">
        <f>IF(D49="","",IFERROR(INDEX('Dashboard Items'!$F$2:$F$495,MATCH(D49,'Dashboard Items'!$A$2:$A$495,0)),"ID not found"))</f>
        <v>Reliable Infrastructure and Community Connectivity</v>
      </c>
    </row>
    <row r="50" spans="1:6" x14ac:dyDescent="0.2">
      <c r="A50" s="82" t="s">
        <v>411</v>
      </c>
      <c r="B50" s="17" t="str">
        <f>IF(A50="","",IFERROR(INDEX('Dashboard Items'!$C$2:$C$495,MATCH(A50,'Dashboard Items'!$A$2:$A$495,0)),"ID not found"))</f>
        <v>Airport Operations</v>
      </c>
      <c r="C50" s="17" t="str">
        <f>IF(A50="","",IFERROR(INDEX('Dashboard Items'!$E$2:$E$495,MATCH(A50,'Dashboard Items'!$A$2:$A$495,0)),"ID not found"))</f>
        <v>Infrastructure</v>
      </c>
      <c r="D50" s="82" t="s">
        <v>652</v>
      </c>
      <c r="E50" s="17" t="str">
        <f>IF(D50="","",IFERROR(INDEX('Dashboard Items'!$C$2:$C$495,MATCH(D50,'Dashboard Items'!$A$2:$A$495,0)),"ID not found"))</f>
        <v>4.1 Safe, Accessible Mobility</v>
      </c>
      <c r="F50" s="17" t="str">
        <f>IF(D50="","",IFERROR(INDEX('Dashboard Items'!$F$2:$F$495,MATCH(D50,'Dashboard Items'!$A$2:$A$495,0)),"ID not found"))</f>
        <v>Reliable Infrastructure and Community Connectivity</v>
      </c>
    </row>
    <row r="51" spans="1:6" x14ac:dyDescent="0.2">
      <c r="A51" s="82" t="s">
        <v>411</v>
      </c>
      <c r="B51" s="17" t="str">
        <f>IF(A51="","",IFERROR(INDEX('Dashboard Items'!$C$2:$C$495,MATCH(A51,'Dashboard Items'!$A$2:$A$495,0)),"ID not found"))</f>
        <v>Airport Operations</v>
      </c>
      <c r="C51" s="17" t="str">
        <f>IF(A51="","",IFERROR(INDEX('Dashboard Items'!$E$2:$E$495,MATCH(A51,'Dashboard Items'!$A$2:$A$495,0)),"ID not found"))</f>
        <v>Infrastructure</v>
      </c>
      <c r="D51" s="82" t="s">
        <v>661</v>
      </c>
      <c r="E51" s="17" t="str">
        <f>IF(D51="","",IFERROR(INDEX('Dashboard Items'!$C$2:$C$495,MATCH(D51,'Dashboard Items'!$A$2:$A$495,0)),"ID not found"))</f>
        <v>4.4 Airport and Aviation Hubs</v>
      </c>
      <c r="F51" s="17" t="str">
        <f>IF(D51="","",IFERROR(INDEX('Dashboard Items'!$F$2:$F$495,MATCH(D51,'Dashboard Items'!$A$2:$A$495,0)),"ID not found"))</f>
        <v>Reliable Infrastructure and Community Connectivity</v>
      </c>
    </row>
    <row r="52" spans="1:6" x14ac:dyDescent="0.2">
      <c r="A52" s="82" t="s">
        <v>144</v>
      </c>
      <c r="B52" s="17" t="str">
        <f>IF(A52="","",IFERROR(INDEX('Dashboard Items'!$C$2:$C$495,MATCH(A52,'Dashboard Items'!$A$2:$A$495,0)),"ID not found"))</f>
        <v>Library &amp; Learning Services</v>
      </c>
      <c r="C52" s="17" t="str">
        <f>IF(A52="","",IFERROR(INDEX('Dashboard Items'!$E$2:$E$495,MATCH(A52,'Dashboard Items'!$A$2:$A$495,0)),"ID not found"))</f>
        <v>Parks, Recreation and Cultural Services</v>
      </c>
      <c r="D52" s="82" t="s">
        <v>646</v>
      </c>
      <c r="E52" s="17" t="str">
        <f>IF(D52="","",IFERROR(INDEX('Dashboard Items'!$C$2:$C$495,MATCH(D52,'Dashboard Items'!$A$2:$A$495,0)),"ID not found"))</f>
        <v>3.2 Arts, Culture, and Recreation</v>
      </c>
      <c r="F52" s="17" t="str">
        <f>IF(D52="","",IFERROR(INDEX('Dashboard Items'!$F$2:$F$495,MATCH(D52,'Dashboard Items'!$A$2:$A$495,0)),"ID not found"))</f>
        <v>Safety &amp; Quality of Life</v>
      </c>
    </row>
    <row r="53" spans="1:6" x14ac:dyDescent="0.2">
      <c r="A53" s="82" t="s">
        <v>144</v>
      </c>
      <c r="B53" s="17" t="str">
        <f>IF(A53="","",IFERROR(INDEX('Dashboard Items'!$C$2:$C$495,MATCH(A53,'Dashboard Items'!$A$2:$A$495,0)),"ID not found"))</f>
        <v>Library &amp; Learning Services</v>
      </c>
      <c r="C53" s="17" t="str">
        <f>IF(A53="","",IFERROR(INDEX('Dashboard Items'!$E$2:$E$495,MATCH(A53,'Dashboard Items'!$A$2:$A$495,0)),"ID not found"))</f>
        <v>Parks, Recreation and Cultural Services</v>
      </c>
      <c r="D53" s="82" t="s">
        <v>670</v>
      </c>
      <c r="E53" s="17" t="str">
        <f>IF(D53="","",IFERROR(INDEX('Dashboard Items'!$C$2:$C$495,MATCH(D53,'Dashboard Items'!$A$2:$A$495,0)),"ID not found"))</f>
        <v>5.1 Civic and Engaged Communication</v>
      </c>
      <c r="F53" s="17" t="str">
        <f>IF(D53="","",IFERROR(INDEX('Dashboard Items'!$F$2:$F$495,MATCH(D53,'Dashboard Items'!$A$2:$A$495,0)),"ID not found"))</f>
        <v>Engaged and Informed Community</v>
      </c>
    </row>
    <row r="54" spans="1:6" x14ac:dyDescent="0.2">
      <c r="A54" s="82" t="s">
        <v>144</v>
      </c>
      <c r="B54" s="17" t="str">
        <f>IF(A54="","",IFERROR(INDEX('Dashboard Items'!$C$2:$C$495,MATCH(A54,'Dashboard Items'!$A$2:$A$495,0)),"ID not found"))</f>
        <v>Library &amp; Learning Services</v>
      </c>
      <c r="C54" s="17" t="str">
        <f>IF(A54="","",IFERROR(INDEX('Dashboard Items'!$E$2:$E$495,MATCH(A54,'Dashboard Items'!$A$2:$A$495,0)),"ID not found"))</f>
        <v>Parks, Recreation and Cultural Services</v>
      </c>
      <c r="D54" s="82" t="s">
        <v>673</v>
      </c>
      <c r="E54" s="17" t="str">
        <f>IF(D54="","",IFERROR(INDEX('Dashboard Items'!$C$2:$C$495,MATCH(D54,'Dashboard Items'!$A$2:$A$495,0)),"ID not found"))</f>
        <v>5.2 Open and Accessible Information Communication</v>
      </c>
      <c r="F54" s="17" t="str">
        <f>IF(D54="","",IFERROR(INDEX('Dashboard Items'!$F$2:$F$495,MATCH(D54,'Dashboard Items'!$A$2:$A$495,0)),"ID not found"))</f>
        <v>Engaged and Informed Community</v>
      </c>
    </row>
    <row r="55" spans="1:6" x14ac:dyDescent="0.2">
      <c r="A55" s="82" t="s">
        <v>414</v>
      </c>
      <c r="B55" s="17" t="str">
        <f>IF(A55="","",IFERROR(INDEX('Dashboard Items'!$C$2:$C$495,MATCH(A55,'Dashboard Items'!$A$2:$A$495,0)),"ID not found"))</f>
        <v>Parks &amp; Open Space Management</v>
      </c>
      <c r="C55" s="17" t="str">
        <f>IF(A55="","",IFERROR(INDEX('Dashboard Items'!$E$2:$E$495,MATCH(A55,'Dashboard Items'!$A$2:$A$495,0)),"ID not found"))</f>
        <v>Parks, Recreation and Cultural Services</v>
      </c>
      <c r="D55" s="82" t="s">
        <v>631</v>
      </c>
      <c r="E55" s="17" t="str">
        <f>IF(D55="","",IFERROR(INDEX('Dashboard Items'!$C$2:$C$495,MATCH(D55,'Dashboard Items'!$A$2:$A$495,0)),"ID not found"))</f>
        <v>1.3 Environmental Stewardship</v>
      </c>
      <c r="F55" s="17" t="str">
        <f>IF(D55="","",IFERROR(INDEX('Dashboard Items'!$F$2:$F$495,MATCH(D55,'Dashboard Items'!$A$2:$A$495,0)),"ID not found"))</f>
        <v>Organizational Stewardship</v>
      </c>
    </row>
    <row r="56" spans="1:6" x14ac:dyDescent="0.2">
      <c r="A56" s="82" t="s">
        <v>414</v>
      </c>
      <c r="B56" s="17" t="str">
        <f>IF(A56="","",IFERROR(INDEX('Dashboard Items'!$C$2:$C$495,MATCH(A56,'Dashboard Items'!$A$2:$A$495,0)),"ID not found"))</f>
        <v>Parks &amp; Open Space Management</v>
      </c>
      <c r="C56" s="17" t="str">
        <f>IF(A56="","",IFERROR(INDEX('Dashboard Items'!$E$2:$E$495,MATCH(A56,'Dashboard Items'!$A$2:$A$495,0)),"ID not found"))</f>
        <v>Parks, Recreation and Cultural Services</v>
      </c>
      <c r="D56" s="82" t="s">
        <v>649</v>
      </c>
      <c r="E56" s="17" t="str">
        <f>IF(D56="","",IFERROR(INDEX('Dashboard Items'!$C$2:$C$495,MATCH(D56,'Dashboard Items'!$A$2:$A$495,0)),"ID not found"))</f>
        <v>3.3 Parks, Trails and Natural Lands</v>
      </c>
      <c r="F56" s="17" t="str">
        <f>IF(D56="","",IFERROR(INDEX('Dashboard Items'!$F$2:$F$495,MATCH(D56,'Dashboard Items'!$A$2:$A$495,0)),"ID not found"))</f>
        <v>Safety &amp; Quality of Life</v>
      </c>
    </row>
    <row r="57" spans="1:6" x14ac:dyDescent="0.2">
      <c r="A57" s="82" t="s">
        <v>251</v>
      </c>
      <c r="B57" s="17" t="str">
        <f>IF(A57="","",IFERROR(INDEX('Dashboard Items'!$C$2:$C$495,MATCH(A57,'Dashboard Items'!$A$2:$A$495,0)),"ID not found"))</f>
        <v>Recreation &amp; Community Programs</v>
      </c>
      <c r="C57" s="17" t="str">
        <f>IF(A57="","",IFERROR(INDEX('Dashboard Items'!$E$2:$E$495,MATCH(A57,'Dashboard Items'!$A$2:$A$495,0)),"ID not found"))</f>
        <v>Parks, Recreation and Cultural Services</v>
      </c>
      <c r="D57" s="82" t="s">
        <v>646</v>
      </c>
      <c r="E57" s="17" t="str">
        <f>IF(D57="","",IFERROR(INDEX('Dashboard Items'!$C$2:$C$495,MATCH(D57,'Dashboard Items'!$A$2:$A$495,0)),"ID not found"))</f>
        <v>3.2 Arts, Culture, and Recreation</v>
      </c>
      <c r="F57" s="17" t="str">
        <f>IF(D57="","",IFERROR(INDEX('Dashboard Items'!$F$2:$F$495,MATCH(D57,'Dashboard Items'!$A$2:$A$495,0)),"ID not found"))</f>
        <v>Safety &amp; Quality of Life</v>
      </c>
    </row>
    <row r="58" spans="1:6" x14ac:dyDescent="0.2">
      <c r="A58" s="82" t="s">
        <v>251</v>
      </c>
      <c r="B58" s="17" t="str">
        <f>IF(A58="","",IFERROR(INDEX('Dashboard Items'!$C$2:$C$495,MATCH(A58,'Dashboard Items'!$A$2:$A$495,0)),"ID not found"))</f>
        <v>Recreation &amp; Community Programs</v>
      </c>
      <c r="C58" s="17" t="str">
        <f>IF(A58="","",IFERROR(INDEX('Dashboard Items'!$E$2:$E$495,MATCH(A58,'Dashboard Items'!$A$2:$A$495,0)),"ID not found"))</f>
        <v>Parks, Recreation and Cultural Services</v>
      </c>
      <c r="D58" s="82" t="s">
        <v>670</v>
      </c>
      <c r="E58" s="17" t="str">
        <f>IF(D58="","",IFERROR(INDEX('Dashboard Items'!$C$2:$C$495,MATCH(D58,'Dashboard Items'!$A$2:$A$495,0)),"ID not found"))</f>
        <v>5.1 Civic and Engaged Communication</v>
      </c>
      <c r="F58" s="17" t="str">
        <f>IF(D58="","",IFERROR(INDEX('Dashboard Items'!$F$2:$F$495,MATCH(D58,'Dashboard Items'!$A$2:$A$495,0)),"ID not found"))</f>
        <v>Engaged and Informed Community</v>
      </c>
    </row>
    <row r="59" spans="1:6" x14ac:dyDescent="0.2">
      <c r="B59" s="17" t="str">
        <f>IF(A59="","",IFERROR(INDEX('Dashboard Items'!$C$2:$C$495,MATCH(A59,'Dashboard Items'!$A$2:$A$495,0)),"ID not found"))</f>
        <v/>
      </c>
      <c r="C59" s="17" t="str">
        <f>IF(A59="","",IFERROR(INDEX('Dashboard Items'!$E$2:$E$495,MATCH(A59,'Dashboard Items'!$A$2:$A$495,0)),"ID not found"))</f>
        <v/>
      </c>
      <c r="E59" s="17" t="str">
        <f>IF(D59="","",IFERROR(INDEX('Dashboard Items'!$C$2:$C$495,MATCH(D59,'Dashboard Items'!$A$2:$A$495,0)),"ID not found"))</f>
        <v/>
      </c>
      <c r="F59" s="17" t="str">
        <f>IF(D59="","",IFERROR(INDEX('Dashboard Items'!$F$2:$F$495,MATCH(D59,'Dashboard Items'!$A$2:$A$495,0)),"ID not found"))</f>
        <v/>
      </c>
    </row>
    <row r="60" spans="1:6" x14ac:dyDescent="0.2">
      <c r="B60" s="17" t="str">
        <f>IF(A60="","",IFERROR(INDEX('Dashboard Items'!$C$2:$C$495,MATCH(A60,'Dashboard Items'!$A$2:$A$495,0)),"ID not found"))</f>
        <v/>
      </c>
      <c r="C60" s="17" t="str">
        <f>IF(A60="","",IFERROR(INDEX('Dashboard Items'!$E$2:$E$495,MATCH(A60,'Dashboard Items'!$A$2:$A$495,0)),"ID not found"))</f>
        <v/>
      </c>
      <c r="E60" s="17" t="str">
        <f>IF(D60="","",IFERROR(INDEX('Dashboard Items'!$C$2:$C$495,MATCH(D60,'Dashboard Items'!$A$2:$A$495,0)),"ID not found"))</f>
        <v/>
      </c>
      <c r="F60" s="17" t="str">
        <f>IF(D60="","",IFERROR(INDEX('Dashboard Items'!$F$2:$F$495,MATCH(D60,'Dashboard Items'!$A$2:$A$495,0)),"ID not found"))</f>
        <v/>
      </c>
    </row>
    <row r="61" spans="1:6" x14ac:dyDescent="0.2">
      <c r="B61" s="17" t="str">
        <f>IF(A61="","",IFERROR(INDEX('Dashboard Items'!$C$2:$C$495,MATCH(A61,'Dashboard Items'!$A$2:$A$495,0)),"ID not found"))</f>
        <v/>
      </c>
      <c r="C61" s="17" t="str">
        <f>IF(A61="","",IFERROR(INDEX('Dashboard Items'!$E$2:$E$495,MATCH(A61,'Dashboard Items'!$A$2:$A$495,0)),"ID not found"))</f>
        <v/>
      </c>
      <c r="E61" s="17" t="str">
        <f>IF(D61="","",IFERROR(INDEX('Dashboard Items'!$C$2:$C$495,MATCH(D61,'Dashboard Items'!$A$2:$A$495,0)),"ID not found"))</f>
        <v/>
      </c>
      <c r="F61" s="17" t="str">
        <f>IF(D61="","",IFERROR(INDEX('Dashboard Items'!$F$2:$F$495,MATCH(D61,'Dashboard Items'!$A$2:$A$495,0)),"ID not found"))</f>
        <v/>
      </c>
    </row>
    <row r="62" spans="1:6" x14ac:dyDescent="0.2">
      <c r="B62" s="17" t="str">
        <f>IF(A62="","",IFERROR(INDEX('Dashboard Items'!$C$2:$C$495,MATCH(A62,'Dashboard Items'!$A$2:$A$495,0)),"ID not found"))</f>
        <v/>
      </c>
      <c r="C62" s="17" t="str">
        <f>IF(A62="","",IFERROR(INDEX('Dashboard Items'!$E$2:$E$495,MATCH(A62,'Dashboard Items'!$A$2:$A$495,0)),"ID not found"))</f>
        <v/>
      </c>
      <c r="E62" s="17" t="str">
        <f>IF(D62="","",IFERROR(INDEX('Dashboard Items'!$C$2:$C$495,MATCH(D62,'Dashboard Items'!$A$2:$A$495,0)),"ID not found"))</f>
        <v/>
      </c>
      <c r="F62" s="17" t="str">
        <f>IF(D62="","",IFERROR(INDEX('Dashboard Items'!$F$2:$F$495,MATCH(D62,'Dashboard Items'!$A$2:$A$495,0)),"ID not found"))</f>
        <v/>
      </c>
    </row>
    <row r="63" spans="1:6" x14ac:dyDescent="0.2">
      <c r="B63" s="17" t="str">
        <f>IF(A63="","",IFERROR(INDEX('Dashboard Items'!$C$2:$C$495,MATCH(A63,'Dashboard Items'!$A$2:$A$495,0)),"ID not found"))</f>
        <v/>
      </c>
      <c r="C63" s="17" t="str">
        <f>IF(A63="","",IFERROR(INDEX('Dashboard Items'!$E$2:$E$495,MATCH(A63,'Dashboard Items'!$A$2:$A$495,0)),"ID not found"))</f>
        <v/>
      </c>
      <c r="E63" s="17" t="str">
        <f>IF(D63="","",IFERROR(INDEX('Dashboard Items'!$C$2:$C$495,MATCH(D63,'Dashboard Items'!$A$2:$A$495,0)),"ID not found"))</f>
        <v/>
      </c>
      <c r="F63" s="17" t="str">
        <f>IF(D63="","",IFERROR(INDEX('Dashboard Items'!$F$2:$F$495,MATCH(D63,'Dashboard Items'!$A$2:$A$495,0)),"ID not found"))</f>
        <v/>
      </c>
    </row>
    <row r="64" spans="1:6" x14ac:dyDescent="0.2">
      <c r="B64" s="17" t="str">
        <f>IF(A64="","",IFERROR(INDEX('Dashboard Items'!$C$2:$C$495,MATCH(A64,'Dashboard Items'!$A$2:$A$495,0)),"ID not found"))</f>
        <v/>
      </c>
      <c r="C64" s="17" t="str">
        <f>IF(A64="","",IFERROR(INDEX('Dashboard Items'!$E$2:$E$495,MATCH(A64,'Dashboard Items'!$A$2:$A$495,0)),"ID not found"))</f>
        <v/>
      </c>
      <c r="E64" s="17" t="str">
        <f>IF(D64="","",IFERROR(INDEX('Dashboard Items'!$C$2:$C$495,MATCH(D64,'Dashboard Items'!$A$2:$A$495,0)),"ID not found"))</f>
        <v/>
      </c>
      <c r="F64" s="17" t="str">
        <f>IF(D64="","",IFERROR(INDEX('Dashboard Items'!$F$2:$F$495,MATCH(D64,'Dashboard Items'!$A$2:$A$495,0)),"ID not found"))</f>
        <v/>
      </c>
    </row>
    <row r="65" spans="2:6" x14ac:dyDescent="0.2">
      <c r="B65" s="17" t="str">
        <f>IF(A65="","",IFERROR(INDEX('Dashboard Items'!$C$2:$C$495,MATCH(A65,'Dashboard Items'!$A$2:$A$495,0)),"ID not found"))</f>
        <v/>
      </c>
      <c r="C65" s="17" t="str">
        <f>IF(A65="","",IFERROR(INDEX('Dashboard Items'!$E$2:$E$495,MATCH(A65,'Dashboard Items'!$A$2:$A$495,0)),"ID not found"))</f>
        <v/>
      </c>
      <c r="E65" s="17" t="str">
        <f>IF(D65="","",IFERROR(INDEX('Dashboard Items'!$C$2:$C$495,MATCH(D65,'Dashboard Items'!$A$2:$A$495,0)),"ID not found"))</f>
        <v/>
      </c>
      <c r="F65" s="17" t="str">
        <f>IF(D65="","",IFERROR(INDEX('Dashboard Items'!$F$2:$F$495,MATCH(D65,'Dashboard Items'!$A$2:$A$495,0)),"ID not found"))</f>
        <v/>
      </c>
    </row>
    <row r="66" spans="2:6" x14ac:dyDescent="0.2">
      <c r="B66" s="17" t="str">
        <f>IF(A66="","",IFERROR(INDEX('Dashboard Items'!$C$2:$C$495,MATCH(A66,'Dashboard Items'!$A$2:$A$495,0)),"ID not found"))</f>
        <v/>
      </c>
      <c r="C66" s="17" t="str">
        <f>IF(A66="","",IFERROR(INDEX('Dashboard Items'!$E$2:$E$495,MATCH(A66,'Dashboard Items'!$A$2:$A$495,0)),"ID not found"))</f>
        <v/>
      </c>
      <c r="E66" s="17" t="str">
        <f>IF(D66="","",IFERROR(INDEX('Dashboard Items'!$C$2:$C$495,MATCH(D66,'Dashboard Items'!$A$2:$A$495,0)),"ID not found"))</f>
        <v/>
      </c>
      <c r="F66" s="17" t="str">
        <f>IF(D66="","",IFERROR(INDEX('Dashboard Items'!$F$2:$F$495,MATCH(D66,'Dashboard Items'!$A$2:$A$495,0)),"ID not found"))</f>
        <v/>
      </c>
    </row>
    <row r="67" spans="2:6" x14ac:dyDescent="0.2">
      <c r="B67" s="17" t="str">
        <f>IF(A67="","",IFERROR(INDEX('Dashboard Items'!$C$2:$C$495,MATCH(A67,'Dashboard Items'!$A$2:$A$495,0)),"ID not found"))</f>
        <v/>
      </c>
      <c r="C67" s="17" t="str">
        <f>IF(A67="","",IFERROR(INDEX('Dashboard Items'!$E$2:$E$495,MATCH(A67,'Dashboard Items'!$A$2:$A$495,0)),"ID not found"))</f>
        <v/>
      </c>
      <c r="E67" s="17" t="str">
        <f>IF(D67="","",IFERROR(INDEX('Dashboard Items'!$C$2:$C$495,MATCH(D67,'Dashboard Items'!$A$2:$A$495,0)),"ID not found"))</f>
        <v/>
      </c>
      <c r="F67" s="17" t="str">
        <f>IF(D67="","",IFERROR(INDEX('Dashboard Items'!$F$2:$F$495,MATCH(D67,'Dashboard Items'!$A$2:$A$495,0)),"ID not found"))</f>
        <v/>
      </c>
    </row>
    <row r="68" spans="2:6" x14ac:dyDescent="0.2">
      <c r="B68" s="17" t="str">
        <f>IF(A68="","",IFERROR(INDEX('Dashboard Items'!$C$2:$C$495,MATCH(A68,'Dashboard Items'!$A$2:$A$495,0)),"ID not found"))</f>
        <v/>
      </c>
      <c r="C68" s="17" t="str">
        <f>IF(A68="","",IFERROR(INDEX('Dashboard Items'!$E$2:$E$495,MATCH(A68,'Dashboard Items'!$A$2:$A$495,0)),"ID not found"))</f>
        <v/>
      </c>
      <c r="E68" s="17" t="str">
        <f>IF(D68="","",IFERROR(INDEX('Dashboard Items'!$C$2:$C$495,MATCH(D68,'Dashboard Items'!$A$2:$A$495,0)),"ID not found"))</f>
        <v/>
      </c>
      <c r="F68" s="17" t="str">
        <f>IF(D68="","",IFERROR(INDEX('Dashboard Items'!$F$2:$F$495,MATCH(D68,'Dashboard Items'!$A$2:$A$495,0)),"ID not found"))</f>
        <v/>
      </c>
    </row>
    <row r="69" spans="2:6" x14ac:dyDescent="0.2">
      <c r="B69" s="17" t="str">
        <f>IF(A69="","",IFERROR(INDEX('Dashboard Items'!$C$2:$C$495,MATCH(A69,'Dashboard Items'!$A$2:$A$495,0)),"ID not found"))</f>
        <v/>
      </c>
      <c r="C69" s="17" t="str">
        <f>IF(A69="","",IFERROR(INDEX('Dashboard Items'!$E$2:$E$495,MATCH(A69,'Dashboard Items'!$A$2:$A$495,0)),"ID not found"))</f>
        <v/>
      </c>
      <c r="E69" s="17" t="str">
        <f>IF(D69="","",IFERROR(INDEX('Dashboard Items'!$C$2:$C$495,MATCH(D69,'Dashboard Items'!$A$2:$A$495,0)),"ID not found"))</f>
        <v/>
      </c>
      <c r="F69" s="17" t="str">
        <f>IF(D69="","",IFERROR(INDEX('Dashboard Items'!$F$2:$F$495,MATCH(D69,'Dashboard Items'!$A$2:$A$495,0)),"ID not found"))</f>
        <v/>
      </c>
    </row>
    <row r="70" spans="2:6" x14ac:dyDescent="0.2">
      <c r="B70" s="17" t="str">
        <f>IF(A70="","",IFERROR(INDEX('Dashboard Items'!$C$2:$C$495,MATCH(A70,'Dashboard Items'!$A$2:$A$495,0)),"ID not found"))</f>
        <v/>
      </c>
      <c r="C70" s="17" t="str">
        <f>IF(A70="","",IFERROR(INDEX('Dashboard Items'!$E$2:$E$495,MATCH(A70,'Dashboard Items'!$A$2:$A$495,0)),"ID not found"))</f>
        <v/>
      </c>
      <c r="E70" s="17" t="str">
        <f>IF(D70="","",IFERROR(INDEX('Dashboard Items'!$C$2:$C$495,MATCH(D70,'Dashboard Items'!$A$2:$A$495,0)),"ID not found"))</f>
        <v/>
      </c>
      <c r="F70" s="17" t="str">
        <f>IF(D70="","",IFERROR(INDEX('Dashboard Items'!$F$2:$F$495,MATCH(D70,'Dashboard Items'!$A$2:$A$495,0)),"ID not found"))</f>
        <v/>
      </c>
    </row>
    <row r="71" spans="2:6" x14ac:dyDescent="0.2">
      <c r="B71" s="17" t="str">
        <f>IF(A71="","",IFERROR(INDEX('Dashboard Items'!$C$2:$C$495,MATCH(A71,'Dashboard Items'!$A$2:$A$495,0)),"ID not found"))</f>
        <v/>
      </c>
      <c r="C71" s="17" t="str">
        <f>IF(A71="","",IFERROR(INDEX('Dashboard Items'!$E$2:$E$495,MATCH(A71,'Dashboard Items'!$A$2:$A$495,0)),"ID not found"))</f>
        <v/>
      </c>
      <c r="E71" s="17" t="str">
        <f>IF(D71="","",IFERROR(INDEX('Dashboard Items'!$C$2:$C$495,MATCH(D71,'Dashboard Items'!$A$2:$A$495,0)),"ID not found"))</f>
        <v/>
      </c>
      <c r="F71" s="17" t="str">
        <f>IF(D71="","",IFERROR(INDEX('Dashboard Items'!$F$2:$F$495,MATCH(D71,'Dashboard Items'!$A$2:$A$495,0)),"ID not found"))</f>
        <v/>
      </c>
    </row>
    <row r="72" spans="2:6" x14ac:dyDescent="0.2">
      <c r="B72" s="17" t="str">
        <f>IF(A72="","",IFERROR(INDEX('Dashboard Items'!$C$2:$C$495,MATCH(A72,'Dashboard Items'!$A$2:$A$495,0)),"ID not found"))</f>
        <v/>
      </c>
      <c r="C72" s="17" t="str">
        <f>IF(A72="","",IFERROR(INDEX('Dashboard Items'!$E$2:$E$495,MATCH(A72,'Dashboard Items'!$A$2:$A$495,0)),"ID not found"))</f>
        <v/>
      </c>
      <c r="E72" s="17" t="str">
        <f>IF(D72="","",IFERROR(INDEX('Dashboard Items'!$C$2:$C$495,MATCH(D72,'Dashboard Items'!$A$2:$A$495,0)),"ID not found"))</f>
        <v/>
      </c>
      <c r="F72" s="17" t="str">
        <f>IF(D72="","",IFERROR(INDEX('Dashboard Items'!$F$2:$F$495,MATCH(D72,'Dashboard Items'!$A$2:$A$495,0)),"ID not found"))</f>
        <v/>
      </c>
    </row>
    <row r="73" spans="2:6" x14ac:dyDescent="0.2">
      <c r="B73" s="17" t="str">
        <f>IF(A73="","",IFERROR(INDEX('Dashboard Items'!$C$2:$C$495,MATCH(A73,'Dashboard Items'!$A$2:$A$495,0)),"ID not found"))</f>
        <v/>
      </c>
      <c r="C73" s="17" t="str">
        <f>IF(A73="","",IFERROR(INDEX('Dashboard Items'!$E$2:$E$495,MATCH(A73,'Dashboard Items'!$A$2:$A$495,0)),"ID not found"))</f>
        <v/>
      </c>
      <c r="E73" s="17" t="str">
        <f>IF(D73="","",IFERROR(INDEX('Dashboard Items'!$C$2:$C$495,MATCH(D73,'Dashboard Items'!$A$2:$A$495,0)),"ID not found"))</f>
        <v/>
      </c>
      <c r="F73" s="17" t="str">
        <f>IF(D73="","",IFERROR(INDEX('Dashboard Items'!$F$2:$F$495,MATCH(D73,'Dashboard Items'!$A$2:$A$495,0)),"ID not found"))</f>
        <v/>
      </c>
    </row>
    <row r="74" spans="2:6" x14ac:dyDescent="0.2">
      <c r="B74" s="17" t="str">
        <f>IF(A74="","",IFERROR(INDEX('Dashboard Items'!$C$2:$C$495,MATCH(A74,'Dashboard Items'!$A$2:$A$495,0)),"ID not found"))</f>
        <v/>
      </c>
      <c r="C74" s="17" t="str">
        <f>IF(A74="","",IFERROR(INDEX('Dashboard Items'!$E$2:$E$495,MATCH(A74,'Dashboard Items'!$A$2:$A$495,0)),"ID not found"))</f>
        <v/>
      </c>
      <c r="E74" s="17" t="str">
        <f>IF(D74="","",IFERROR(INDEX('Dashboard Items'!$C$2:$C$495,MATCH(D74,'Dashboard Items'!$A$2:$A$495,0)),"ID not found"))</f>
        <v/>
      </c>
      <c r="F74" s="17" t="str">
        <f>IF(D74="","",IFERROR(INDEX('Dashboard Items'!$F$2:$F$495,MATCH(D74,'Dashboard Items'!$A$2:$A$495,0)),"ID not found"))</f>
        <v/>
      </c>
    </row>
    <row r="75" spans="2:6" x14ac:dyDescent="0.2">
      <c r="B75" s="17" t="str">
        <f>IF(A75="","",IFERROR(INDEX('Dashboard Items'!$C$2:$C$495,MATCH(A75,'Dashboard Items'!$A$2:$A$495,0)),"ID not found"))</f>
        <v/>
      </c>
      <c r="C75" s="17" t="str">
        <f>IF(A75="","",IFERROR(INDEX('Dashboard Items'!$E$2:$E$495,MATCH(A75,'Dashboard Items'!$A$2:$A$495,0)),"ID not found"))</f>
        <v/>
      </c>
      <c r="E75" s="17" t="str">
        <f>IF(D75="","",IFERROR(INDEX('Dashboard Items'!$C$2:$C$495,MATCH(D75,'Dashboard Items'!$A$2:$A$495,0)),"ID not found"))</f>
        <v/>
      </c>
      <c r="F75" s="17" t="str">
        <f>IF(D75="","",IFERROR(INDEX('Dashboard Items'!$F$2:$F$495,MATCH(D75,'Dashboard Items'!$A$2:$A$495,0)),"ID not found"))</f>
        <v/>
      </c>
    </row>
    <row r="76" spans="2:6" x14ac:dyDescent="0.2">
      <c r="B76" s="17" t="str">
        <f>IF(A76="","",IFERROR(INDEX('Dashboard Items'!$C$2:$C$495,MATCH(A76,'Dashboard Items'!$A$2:$A$495,0)),"ID not found"))</f>
        <v/>
      </c>
      <c r="C76" s="17" t="str">
        <f>IF(A76="","",IFERROR(INDEX('Dashboard Items'!$E$2:$E$495,MATCH(A76,'Dashboard Items'!$A$2:$A$495,0)),"ID not found"))</f>
        <v/>
      </c>
      <c r="E76" s="17" t="str">
        <f>IF(D76="","",IFERROR(INDEX('Dashboard Items'!$C$2:$C$495,MATCH(D76,'Dashboard Items'!$A$2:$A$495,0)),"ID not found"))</f>
        <v/>
      </c>
      <c r="F76" s="17" t="str">
        <f>IF(D76="","",IFERROR(INDEX('Dashboard Items'!$F$2:$F$495,MATCH(D76,'Dashboard Items'!$A$2:$A$495,0)),"ID not found"))</f>
        <v/>
      </c>
    </row>
    <row r="77" spans="2:6" x14ac:dyDescent="0.2">
      <c r="B77" s="17" t="str">
        <f>IF(A77="","",IFERROR(INDEX('Dashboard Items'!$C$2:$C$495,MATCH(A77,'Dashboard Items'!$A$2:$A$495,0)),"ID not found"))</f>
        <v/>
      </c>
      <c r="C77" s="17" t="str">
        <f>IF(A77="","",IFERROR(INDEX('Dashboard Items'!$E$2:$E$495,MATCH(A77,'Dashboard Items'!$A$2:$A$495,0)),"ID not found"))</f>
        <v/>
      </c>
      <c r="E77" s="17" t="str">
        <f>IF(D77="","",IFERROR(INDEX('Dashboard Items'!$C$2:$C$495,MATCH(D77,'Dashboard Items'!$A$2:$A$495,0)),"ID not found"))</f>
        <v/>
      </c>
      <c r="F77" s="17" t="str">
        <f>IF(D77="","",IFERROR(INDEX('Dashboard Items'!$F$2:$F$495,MATCH(D77,'Dashboard Items'!$A$2:$A$495,0)),"ID not found"))</f>
        <v/>
      </c>
    </row>
    <row r="78" spans="2:6" x14ac:dyDescent="0.2">
      <c r="B78" s="17" t="str">
        <f>IF(A78="","",IFERROR(INDEX('Dashboard Items'!$C$2:$C$495,MATCH(A78,'Dashboard Items'!$A$2:$A$495,0)),"ID not found"))</f>
        <v/>
      </c>
      <c r="C78" s="17" t="str">
        <f>IF(A78="","",IFERROR(INDEX('Dashboard Items'!$E$2:$E$495,MATCH(A78,'Dashboard Items'!$A$2:$A$495,0)),"ID not found"))</f>
        <v/>
      </c>
      <c r="E78" s="17" t="str">
        <f>IF(D78="","",IFERROR(INDEX('Dashboard Items'!$C$2:$C$495,MATCH(D78,'Dashboard Items'!$A$2:$A$495,0)),"ID not found"))</f>
        <v/>
      </c>
      <c r="F78" s="17" t="str">
        <f>IF(D78="","",IFERROR(INDEX('Dashboard Items'!$F$2:$F$495,MATCH(D78,'Dashboard Items'!$A$2:$A$495,0)),"ID not found"))</f>
        <v/>
      </c>
    </row>
    <row r="79" spans="2:6" x14ac:dyDescent="0.2">
      <c r="B79" s="17" t="str">
        <f>IF(A79="","",IFERROR(INDEX('Dashboard Items'!$C$2:$C$495,MATCH(A79,'Dashboard Items'!$A$2:$A$495,0)),"ID not found"))</f>
        <v/>
      </c>
      <c r="C79" s="17" t="str">
        <f>IF(A79="","",IFERROR(INDEX('Dashboard Items'!$E$2:$E$495,MATCH(A79,'Dashboard Items'!$A$2:$A$495,0)),"ID not found"))</f>
        <v/>
      </c>
      <c r="E79" s="17" t="str">
        <f>IF(D79="","",IFERROR(INDEX('Dashboard Items'!$C$2:$C$495,MATCH(D79,'Dashboard Items'!$A$2:$A$495,0)),"ID not found"))</f>
        <v/>
      </c>
      <c r="F79" s="17" t="str">
        <f>IF(D79="","",IFERROR(INDEX('Dashboard Items'!$F$2:$F$495,MATCH(D79,'Dashboard Items'!$A$2:$A$495,0)),"ID not found"))</f>
        <v/>
      </c>
    </row>
    <row r="80" spans="2:6" x14ac:dyDescent="0.2">
      <c r="B80" s="17" t="str">
        <f>IF(A80="","",IFERROR(INDEX('Dashboard Items'!$C$2:$C$495,MATCH(A80,'Dashboard Items'!$A$2:$A$495,0)),"ID not found"))</f>
        <v/>
      </c>
      <c r="C80" s="17" t="str">
        <f>IF(A80="","",IFERROR(INDEX('Dashboard Items'!$E$2:$E$495,MATCH(A80,'Dashboard Items'!$A$2:$A$495,0)),"ID not found"))</f>
        <v/>
      </c>
      <c r="E80" s="17" t="str">
        <f>IF(D80="","",IFERROR(INDEX('Dashboard Items'!$C$2:$C$495,MATCH(D80,'Dashboard Items'!$A$2:$A$495,0)),"ID not found"))</f>
        <v/>
      </c>
      <c r="F80" s="17" t="str">
        <f>IF(D80="","",IFERROR(INDEX('Dashboard Items'!$F$2:$F$495,MATCH(D80,'Dashboard Items'!$A$2:$A$495,0)),"ID not found"))</f>
        <v/>
      </c>
    </row>
    <row r="81" spans="2:6" x14ac:dyDescent="0.2">
      <c r="B81" s="17" t="str">
        <f>IF(A81="","",IFERROR(INDEX('Dashboard Items'!$C$2:$C$495,MATCH(A81,'Dashboard Items'!$A$2:$A$495,0)),"ID not found"))</f>
        <v/>
      </c>
      <c r="C81" s="17" t="str">
        <f>IF(A81="","",IFERROR(INDEX('Dashboard Items'!$E$2:$E$495,MATCH(A81,'Dashboard Items'!$A$2:$A$495,0)),"ID not found"))</f>
        <v/>
      </c>
      <c r="E81" s="17" t="str">
        <f>IF(D81="","",IFERROR(INDEX('Dashboard Items'!$C$2:$C$495,MATCH(D81,'Dashboard Items'!$A$2:$A$495,0)),"ID not found"))</f>
        <v/>
      </c>
      <c r="F81" s="17" t="str">
        <f>IF(D81="","",IFERROR(INDEX('Dashboard Items'!$F$2:$F$495,MATCH(D81,'Dashboard Items'!$A$2:$A$495,0)),"ID not found"))</f>
        <v/>
      </c>
    </row>
    <row r="82" spans="2:6" x14ac:dyDescent="0.2">
      <c r="B82" s="17" t="str">
        <f>IF(A82="","",IFERROR(INDEX('Dashboard Items'!$C$2:$C$495,MATCH(A82,'Dashboard Items'!$A$2:$A$495,0)),"ID not found"))</f>
        <v/>
      </c>
      <c r="C82" s="17" t="str">
        <f>IF(A82="","",IFERROR(INDEX('Dashboard Items'!$E$2:$E$495,MATCH(A82,'Dashboard Items'!$A$2:$A$495,0)),"ID not found"))</f>
        <v/>
      </c>
      <c r="E82" s="17" t="str">
        <f>IF(D82="","",IFERROR(INDEX('Dashboard Items'!$C$2:$C$495,MATCH(D82,'Dashboard Items'!$A$2:$A$495,0)),"ID not found"))</f>
        <v/>
      </c>
      <c r="F82" s="17" t="str">
        <f>IF(D82="","",IFERROR(INDEX('Dashboard Items'!$F$2:$F$495,MATCH(D82,'Dashboard Items'!$A$2:$A$495,0)),"ID not found"))</f>
        <v/>
      </c>
    </row>
    <row r="83" spans="2:6" x14ac:dyDescent="0.2">
      <c r="B83" s="17" t="str">
        <f>IF(A83="","",IFERROR(INDEX('Dashboard Items'!$C$2:$C$495,MATCH(A83,'Dashboard Items'!$A$2:$A$495,0)),"ID not found"))</f>
        <v/>
      </c>
      <c r="C83" s="17" t="str">
        <f>IF(A83="","",IFERROR(INDEX('Dashboard Items'!$E$2:$E$495,MATCH(A83,'Dashboard Items'!$A$2:$A$495,0)),"ID not found"))</f>
        <v/>
      </c>
      <c r="E83" s="17" t="str">
        <f>IF(D83="","",IFERROR(INDEX('Dashboard Items'!$C$2:$C$495,MATCH(D83,'Dashboard Items'!$A$2:$A$495,0)),"ID not found"))</f>
        <v/>
      </c>
      <c r="F83" s="17" t="str">
        <f>IF(D83="","",IFERROR(INDEX('Dashboard Items'!$F$2:$F$495,MATCH(D83,'Dashboard Items'!$A$2:$A$495,0)),"ID not found"))</f>
        <v/>
      </c>
    </row>
    <row r="84" spans="2:6" x14ac:dyDescent="0.2">
      <c r="B84" s="17" t="str">
        <f>IF(A84="","",IFERROR(INDEX('Dashboard Items'!$C$2:$C$495,MATCH(A84,'Dashboard Items'!$A$2:$A$495,0)),"ID not found"))</f>
        <v/>
      </c>
      <c r="C84" s="17" t="str">
        <f>IF(A84="","",IFERROR(INDEX('Dashboard Items'!$E$2:$E$495,MATCH(A84,'Dashboard Items'!$A$2:$A$495,0)),"ID not found"))</f>
        <v/>
      </c>
      <c r="E84" s="17" t="str">
        <f>IF(D84="","",IFERROR(INDEX('Dashboard Items'!$C$2:$C$495,MATCH(D84,'Dashboard Items'!$A$2:$A$495,0)),"ID not found"))</f>
        <v/>
      </c>
      <c r="F84" s="17" t="str">
        <f>IF(D84="","",IFERROR(INDEX('Dashboard Items'!$F$2:$F$495,MATCH(D84,'Dashboard Items'!$A$2:$A$495,0)),"ID not found"))</f>
        <v/>
      </c>
    </row>
    <row r="85" spans="2:6" x14ac:dyDescent="0.2">
      <c r="B85" s="17" t="str">
        <f>IF(A85="","",IFERROR(INDEX('Dashboard Items'!$C$2:$C$495,MATCH(A85,'Dashboard Items'!$A$2:$A$495,0)),"ID not found"))</f>
        <v/>
      </c>
      <c r="C85" s="17" t="str">
        <f>IF(A85="","",IFERROR(INDEX('Dashboard Items'!$E$2:$E$495,MATCH(A85,'Dashboard Items'!$A$2:$A$495,0)),"ID not found"))</f>
        <v/>
      </c>
      <c r="E85" s="17" t="str">
        <f>IF(D85="","",IFERROR(INDEX('Dashboard Items'!$C$2:$C$495,MATCH(D85,'Dashboard Items'!$A$2:$A$495,0)),"ID not found"))</f>
        <v/>
      </c>
      <c r="F85" s="17" t="str">
        <f>IF(D85="","",IFERROR(INDEX('Dashboard Items'!$F$2:$F$495,MATCH(D85,'Dashboard Items'!$A$2:$A$495,0)),"ID not found"))</f>
        <v/>
      </c>
    </row>
    <row r="86" spans="2:6" x14ac:dyDescent="0.2">
      <c r="B86" s="17" t="str">
        <f>IF(A86="","",IFERROR(INDEX('Dashboard Items'!$C$2:$C$495,MATCH(A86,'Dashboard Items'!$A$2:$A$495,0)),"ID not found"))</f>
        <v/>
      </c>
      <c r="C86" s="17" t="str">
        <f>IF(A86="","",IFERROR(INDEX('Dashboard Items'!$E$2:$E$495,MATCH(A86,'Dashboard Items'!$A$2:$A$495,0)),"ID not found"))</f>
        <v/>
      </c>
      <c r="E86" s="17" t="str">
        <f>IF(D86="","",IFERROR(INDEX('Dashboard Items'!$C$2:$C$495,MATCH(D86,'Dashboard Items'!$A$2:$A$495,0)),"ID not found"))</f>
        <v/>
      </c>
      <c r="F86" s="17" t="str">
        <f>IF(D86="","",IFERROR(INDEX('Dashboard Items'!$F$2:$F$495,MATCH(D86,'Dashboard Items'!$A$2:$A$495,0)),"ID not found"))</f>
        <v/>
      </c>
    </row>
    <row r="87" spans="2:6" x14ac:dyDescent="0.2">
      <c r="B87" s="17" t="str">
        <f>IF(A87="","",IFERROR(INDEX('Dashboard Items'!$C$2:$C$495,MATCH(A87,'Dashboard Items'!$A$2:$A$495,0)),"ID not found"))</f>
        <v/>
      </c>
      <c r="C87" s="17" t="str">
        <f>IF(A87="","",IFERROR(INDEX('Dashboard Items'!$E$2:$E$495,MATCH(A87,'Dashboard Items'!$A$2:$A$495,0)),"ID not found"))</f>
        <v/>
      </c>
      <c r="E87" s="17" t="str">
        <f>IF(D87="","",IFERROR(INDEX('Dashboard Items'!$C$2:$C$495,MATCH(D87,'Dashboard Items'!$A$2:$A$495,0)),"ID not found"))</f>
        <v/>
      </c>
      <c r="F87" s="17" t="str">
        <f>IF(D87="","",IFERROR(INDEX('Dashboard Items'!$F$2:$F$495,MATCH(D87,'Dashboard Items'!$A$2:$A$495,0)),"ID not found"))</f>
        <v/>
      </c>
    </row>
    <row r="88" spans="2:6" x14ac:dyDescent="0.2">
      <c r="B88" s="17" t="str">
        <f>IF(A88="","",IFERROR(INDEX('Dashboard Items'!$C$2:$C$495,MATCH(A88,'Dashboard Items'!$A$2:$A$495,0)),"ID not found"))</f>
        <v/>
      </c>
      <c r="C88" s="17" t="str">
        <f>IF(A88="","",IFERROR(INDEX('Dashboard Items'!$E$2:$E$495,MATCH(A88,'Dashboard Items'!$A$2:$A$495,0)),"ID not found"))</f>
        <v/>
      </c>
      <c r="E88" s="17" t="str">
        <f>IF(D88="","",IFERROR(INDEX('Dashboard Items'!$C$2:$C$495,MATCH(D88,'Dashboard Items'!$A$2:$A$495,0)),"ID not found"))</f>
        <v/>
      </c>
      <c r="F88" s="17" t="str">
        <f>IF(D88="","",IFERROR(INDEX('Dashboard Items'!$F$2:$F$495,MATCH(D88,'Dashboard Items'!$A$2:$A$495,0)),"ID not found"))</f>
        <v/>
      </c>
    </row>
    <row r="89" spans="2:6" x14ac:dyDescent="0.2">
      <c r="B89" s="17" t="str">
        <f>IF(A89="","",IFERROR(INDEX('Dashboard Items'!$C$2:$C$495,MATCH(A89,'Dashboard Items'!$A$2:$A$495,0)),"ID not found"))</f>
        <v/>
      </c>
      <c r="C89" s="17" t="str">
        <f>IF(A89="","",IFERROR(INDEX('Dashboard Items'!$E$2:$E$495,MATCH(A89,'Dashboard Items'!$A$2:$A$495,0)),"ID not found"))</f>
        <v/>
      </c>
      <c r="E89" s="17" t="str">
        <f>IF(D89="","",IFERROR(INDEX('Dashboard Items'!$C$2:$C$495,MATCH(D89,'Dashboard Items'!$A$2:$A$495,0)),"ID not found"))</f>
        <v/>
      </c>
      <c r="F89" s="17" t="str">
        <f>IF(D89="","",IFERROR(INDEX('Dashboard Items'!$F$2:$F$495,MATCH(D89,'Dashboard Items'!$A$2:$A$495,0)),"ID not found"))</f>
        <v/>
      </c>
    </row>
    <row r="90" spans="2:6" x14ac:dyDescent="0.2">
      <c r="B90" s="17" t="str">
        <f>IF(A90="","",IFERROR(INDEX('Dashboard Items'!$C$2:$C$495,MATCH(A90,'Dashboard Items'!$A$2:$A$495,0)),"ID not found"))</f>
        <v/>
      </c>
      <c r="C90" s="17" t="str">
        <f>IF(A90="","",IFERROR(INDEX('Dashboard Items'!$E$2:$E$495,MATCH(A90,'Dashboard Items'!$A$2:$A$495,0)),"ID not found"))</f>
        <v/>
      </c>
      <c r="E90" s="17" t="str">
        <f>IF(D90="","",IFERROR(INDEX('Dashboard Items'!$C$2:$C$495,MATCH(D90,'Dashboard Items'!$A$2:$A$495,0)),"ID not found"))</f>
        <v/>
      </c>
      <c r="F90" s="17" t="str">
        <f>IF(D90="","",IFERROR(INDEX('Dashboard Items'!$F$2:$F$495,MATCH(D90,'Dashboard Items'!$A$2:$A$495,0)),"ID not found"))</f>
        <v/>
      </c>
    </row>
    <row r="91" spans="2:6" x14ac:dyDescent="0.2">
      <c r="B91" s="17" t="str">
        <f>IF(A91="","",IFERROR(INDEX('Dashboard Items'!$C$2:$C$495,MATCH(A91,'Dashboard Items'!$A$2:$A$495,0)),"ID not found"))</f>
        <v/>
      </c>
      <c r="C91" s="17" t="str">
        <f>IF(A91="","",IFERROR(INDEX('Dashboard Items'!$E$2:$E$495,MATCH(A91,'Dashboard Items'!$A$2:$A$495,0)),"ID not found"))</f>
        <v/>
      </c>
      <c r="E91" s="17" t="str">
        <f>IF(D91="","",IFERROR(INDEX('Dashboard Items'!$C$2:$C$495,MATCH(D91,'Dashboard Items'!$A$2:$A$495,0)),"ID not found"))</f>
        <v/>
      </c>
      <c r="F91" s="17" t="str">
        <f>IF(D91="","",IFERROR(INDEX('Dashboard Items'!$F$2:$F$495,MATCH(D91,'Dashboard Items'!$A$2:$A$495,0)),"ID not found"))</f>
        <v/>
      </c>
    </row>
    <row r="92" spans="2:6" x14ac:dyDescent="0.2">
      <c r="B92" s="17" t="str">
        <f>IF(A92="","",IFERROR(INDEX('Dashboard Items'!$C$2:$C$495,MATCH(A92,'Dashboard Items'!$A$2:$A$495,0)),"ID not found"))</f>
        <v/>
      </c>
      <c r="C92" s="17" t="str">
        <f>IF(A92="","",IFERROR(INDEX('Dashboard Items'!$E$2:$E$495,MATCH(A92,'Dashboard Items'!$A$2:$A$495,0)),"ID not found"))</f>
        <v/>
      </c>
      <c r="E92" s="17" t="str">
        <f>IF(D92="","",IFERROR(INDEX('Dashboard Items'!$C$2:$C$495,MATCH(D92,'Dashboard Items'!$A$2:$A$495,0)),"ID not found"))</f>
        <v/>
      </c>
      <c r="F92" s="17" t="str">
        <f>IF(D92="","",IFERROR(INDEX('Dashboard Items'!$F$2:$F$495,MATCH(D92,'Dashboard Items'!$A$2:$A$495,0)),"ID not found"))</f>
        <v/>
      </c>
    </row>
    <row r="93" spans="2:6" x14ac:dyDescent="0.2">
      <c r="B93" s="17" t="str">
        <f>IF(A93="","",IFERROR(INDEX('Dashboard Items'!$C$2:$C$495,MATCH(A93,'Dashboard Items'!$A$2:$A$495,0)),"ID not found"))</f>
        <v/>
      </c>
      <c r="C93" s="17" t="str">
        <f>IF(A93="","",IFERROR(INDEX('Dashboard Items'!$E$2:$E$495,MATCH(A93,'Dashboard Items'!$A$2:$A$495,0)),"ID not found"))</f>
        <v/>
      </c>
      <c r="E93" s="17" t="str">
        <f>IF(D93="","",IFERROR(INDEX('Dashboard Items'!$C$2:$C$495,MATCH(D93,'Dashboard Items'!$A$2:$A$495,0)),"ID not found"))</f>
        <v/>
      </c>
      <c r="F93" s="17" t="str">
        <f>IF(D93="","",IFERROR(INDEX('Dashboard Items'!$F$2:$F$495,MATCH(D93,'Dashboard Items'!$A$2:$A$495,0)),"ID not found"))</f>
        <v/>
      </c>
    </row>
    <row r="94" spans="2:6" x14ac:dyDescent="0.2">
      <c r="B94" s="17" t="str">
        <f>IF(A94="","",IFERROR(INDEX('Dashboard Items'!$C$2:$C$495,MATCH(A94,'Dashboard Items'!$A$2:$A$495,0)),"ID not found"))</f>
        <v/>
      </c>
      <c r="C94" s="17" t="str">
        <f>IF(A94="","",IFERROR(INDEX('Dashboard Items'!$E$2:$E$495,MATCH(A94,'Dashboard Items'!$A$2:$A$495,0)),"ID not found"))</f>
        <v/>
      </c>
      <c r="E94" s="17" t="str">
        <f>IF(D94="","",IFERROR(INDEX('Dashboard Items'!$C$2:$C$495,MATCH(D94,'Dashboard Items'!$A$2:$A$495,0)),"ID not found"))</f>
        <v/>
      </c>
      <c r="F94" s="17" t="str">
        <f>IF(D94="","",IFERROR(INDEX('Dashboard Items'!$F$2:$F$495,MATCH(D94,'Dashboard Items'!$A$2:$A$495,0)),"ID not found"))</f>
        <v/>
      </c>
    </row>
    <row r="95" spans="2:6" x14ac:dyDescent="0.2">
      <c r="B95" s="17" t="str">
        <f>IF(A95="","",IFERROR(INDEX('Dashboard Items'!$C$2:$C$495,MATCH(A95,'Dashboard Items'!$A$2:$A$495,0)),"ID not found"))</f>
        <v/>
      </c>
      <c r="C95" s="17" t="str">
        <f>IF(A95="","",IFERROR(INDEX('Dashboard Items'!$E$2:$E$495,MATCH(A95,'Dashboard Items'!$A$2:$A$495,0)),"ID not found"))</f>
        <v/>
      </c>
      <c r="E95" s="17" t="str">
        <f>IF(D95="","",IFERROR(INDEX('Dashboard Items'!$C$2:$C$495,MATCH(D95,'Dashboard Items'!$A$2:$A$495,0)),"ID not found"))</f>
        <v/>
      </c>
      <c r="F95" s="17" t="str">
        <f>IF(D95="","",IFERROR(INDEX('Dashboard Items'!$F$2:$F$495,MATCH(D95,'Dashboard Items'!$A$2:$A$495,0)),"ID not found"))</f>
        <v/>
      </c>
    </row>
    <row r="96" spans="2:6" x14ac:dyDescent="0.2">
      <c r="B96" s="17" t="str">
        <f>IF(A96="","",IFERROR(INDEX('Dashboard Items'!$C$2:$C$495,MATCH(A96,'Dashboard Items'!$A$2:$A$495,0)),"ID not found"))</f>
        <v/>
      </c>
      <c r="C96" s="17" t="str">
        <f>IF(A96="","",IFERROR(INDEX('Dashboard Items'!$E$2:$E$495,MATCH(A96,'Dashboard Items'!$A$2:$A$495,0)),"ID not found"))</f>
        <v/>
      </c>
      <c r="E96" s="17" t="str">
        <f>IF(D96="","",IFERROR(INDEX('Dashboard Items'!$C$2:$C$495,MATCH(D96,'Dashboard Items'!$A$2:$A$495,0)),"ID not found"))</f>
        <v/>
      </c>
      <c r="F96" s="17" t="str">
        <f>IF(D96="","",IFERROR(INDEX('Dashboard Items'!$F$2:$F$495,MATCH(D96,'Dashboard Items'!$A$2:$A$495,0)),"ID not found"))</f>
        <v/>
      </c>
    </row>
    <row r="97" spans="2:6" x14ac:dyDescent="0.2">
      <c r="B97" s="17" t="str">
        <f>IF(A97="","",IFERROR(INDEX('Dashboard Items'!$C$2:$C$495,MATCH(A97,'Dashboard Items'!$A$2:$A$495,0)),"ID not found"))</f>
        <v/>
      </c>
      <c r="C97" s="17" t="str">
        <f>IF(A97="","",IFERROR(INDEX('Dashboard Items'!$E$2:$E$495,MATCH(A97,'Dashboard Items'!$A$2:$A$495,0)),"ID not found"))</f>
        <v/>
      </c>
      <c r="E97" s="17" t="str">
        <f>IF(D97="","",IFERROR(INDEX('Dashboard Items'!$C$2:$C$495,MATCH(D97,'Dashboard Items'!$A$2:$A$495,0)),"ID not found"))</f>
        <v/>
      </c>
      <c r="F97" s="17" t="str">
        <f>IF(D97="","",IFERROR(INDEX('Dashboard Items'!$F$2:$F$495,MATCH(D97,'Dashboard Items'!$A$2:$A$495,0)),"ID not found"))</f>
        <v/>
      </c>
    </row>
    <row r="98" spans="2:6" x14ac:dyDescent="0.2">
      <c r="B98" s="17" t="str">
        <f>IF(A98="","",IFERROR(INDEX('Dashboard Items'!$C$2:$C$495,MATCH(A98,'Dashboard Items'!$A$2:$A$495,0)),"ID not found"))</f>
        <v/>
      </c>
      <c r="C98" s="17" t="str">
        <f>IF(A98="","",IFERROR(INDEX('Dashboard Items'!$E$2:$E$495,MATCH(A98,'Dashboard Items'!$A$2:$A$495,0)),"ID not found"))</f>
        <v/>
      </c>
      <c r="E98" s="17" t="str">
        <f>IF(D98="","",IFERROR(INDEX('Dashboard Items'!$C$2:$C$495,MATCH(D98,'Dashboard Items'!$A$2:$A$495,0)),"ID not found"))</f>
        <v/>
      </c>
      <c r="F98" s="17" t="str">
        <f>IF(D98="","",IFERROR(INDEX('Dashboard Items'!$F$2:$F$495,MATCH(D98,'Dashboard Items'!$A$2:$A$495,0)),"ID not found"))</f>
        <v/>
      </c>
    </row>
    <row r="99" spans="2:6" x14ac:dyDescent="0.2">
      <c r="B99" s="17" t="str">
        <f>IF(A99="","",IFERROR(INDEX('Dashboard Items'!$C$2:$C$495,MATCH(A99,'Dashboard Items'!$A$2:$A$495,0)),"ID not found"))</f>
        <v/>
      </c>
      <c r="C99" s="17" t="str">
        <f>IF(A99="","",IFERROR(INDEX('Dashboard Items'!$E$2:$E$495,MATCH(A99,'Dashboard Items'!$A$2:$A$495,0)),"ID not found"))</f>
        <v/>
      </c>
      <c r="E99" s="17" t="str">
        <f>IF(D99="","",IFERROR(INDEX('Dashboard Items'!$C$2:$C$495,MATCH(D99,'Dashboard Items'!$A$2:$A$495,0)),"ID not found"))</f>
        <v/>
      </c>
      <c r="F99" s="17" t="str">
        <f>IF(D99="","",IFERROR(INDEX('Dashboard Items'!$F$2:$F$495,MATCH(D99,'Dashboard Items'!$A$2:$A$495,0)),"ID not found"))</f>
        <v/>
      </c>
    </row>
    <row r="100" spans="2:6" x14ac:dyDescent="0.2">
      <c r="B100" s="17" t="str">
        <f>IF(A100="","",IFERROR(INDEX('Dashboard Items'!$C$2:$C$495,MATCH(A100,'Dashboard Items'!$A$2:$A$495,0)),"ID not found"))</f>
        <v/>
      </c>
      <c r="C100" s="17" t="str">
        <f>IF(A100="","",IFERROR(INDEX('Dashboard Items'!$E$2:$E$495,MATCH(A100,'Dashboard Items'!$A$2:$A$495,0)),"ID not found"))</f>
        <v/>
      </c>
      <c r="E100" s="17" t="str">
        <f>IF(D100="","",IFERROR(INDEX('Dashboard Items'!$C$2:$C$495,MATCH(D100,'Dashboard Items'!$A$2:$A$495,0)),"ID not found"))</f>
        <v/>
      </c>
      <c r="F100" s="17" t="str">
        <f>IF(D100="","",IFERROR(INDEX('Dashboard Items'!$F$2:$F$495,MATCH(D100,'Dashboard Items'!$A$2:$A$495,0)),"ID not found"))</f>
        <v/>
      </c>
    </row>
    <row r="101" spans="2:6" x14ac:dyDescent="0.2">
      <c r="B101" s="17" t="str">
        <f>IF(A101="","",IFERROR(INDEX('Dashboard Items'!$C$2:$C$495,MATCH(A101,'Dashboard Items'!$A$2:$A$495,0)),"ID not found"))</f>
        <v/>
      </c>
      <c r="C101" s="17" t="str">
        <f>IF(A101="","",IFERROR(INDEX('Dashboard Items'!$E$2:$E$495,MATCH(A101,'Dashboard Items'!$A$2:$A$495,0)),"ID not found"))</f>
        <v/>
      </c>
      <c r="E101" s="17" t="str">
        <f>IF(D101="","",IFERROR(INDEX('Dashboard Items'!$C$2:$C$495,MATCH(D101,'Dashboard Items'!$A$2:$A$495,0)),"ID not found"))</f>
        <v/>
      </c>
      <c r="F101" s="17" t="str">
        <f>IF(D101="","",IFERROR(INDEX('Dashboard Items'!$F$2:$F$495,MATCH(D101,'Dashboard Items'!$A$2:$A$495,0)),"ID not found"))</f>
        <v/>
      </c>
    </row>
    <row r="102" spans="2:6" x14ac:dyDescent="0.2">
      <c r="B102" s="17" t="str">
        <f>IF(A102="","",IFERROR(INDEX('Dashboard Items'!$C$2:$C$495,MATCH(A102,'Dashboard Items'!$A$2:$A$495,0)),"ID not found"))</f>
        <v/>
      </c>
      <c r="C102" s="17" t="str">
        <f>IF(A102="","",IFERROR(INDEX('Dashboard Items'!$E$2:$E$495,MATCH(A102,'Dashboard Items'!$A$2:$A$495,0)),"ID not found"))</f>
        <v/>
      </c>
      <c r="E102" s="17" t="str">
        <f>IF(D102="","",IFERROR(INDEX('Dashboard Items'!$C$2:$C$495,MATCH(D102,'Dashboard Items'!$A$2:$A$495,0)),"ID not found"))</f>
        <v/>
      </c>
      <c r="F102" s="17" t="str">
        <f>IF(D102="","",IFERROR(INDEX('Dashboard Items'!$F$2:$F$495,MATCH(D102,'Dashboard Items'!$A$2:$A$495,0)),"ID not found"))</f>
        <v/>
      </c>
    </row>
    <row r="103" spans="2:6" x14ac:dyDescent="0.2">
      <c r="B103" s="17" t="str">
        <f>IF(A103="","",IFERROR(INDEX('Dashboard Items'!$C$2:$C$495,MATCH(A103,'Dashboard Items'!$A$2:$A$495,0)),"ID not found"))</f>
        <v/>
      </c>
      <c r="C103" s="17" t="str">
        <f>IF(A103="","",IFERROR(INDEX('Dashboard Items'!$E$2:$E$495,MATCH(A103,'Dashboard Items'!$A$2:$A$495,0)),"ID not found"))</f>
        <v/>
      </c>
      <c r="E103" s="17" t="str">
        <f>IF(D103="","",IFERROR(INDEX('Dashboard Items'!$C$2:$C$495,MATCH(D103,'Dashboard Items'!$A$2:$A$495,0)),"ID not found"))</f>
        <v/>
      </c>
      <c r="F103" s="17" t="str">
        <f>IF(D103="","",IFERROR(INDEX('Dashboard Items'!$F$2:$F$495,MATCH(D103,'Dashboard Items'!$A$2:$A$495,0)),"ID not found"))</f>
        <v/>
      </c>
    </row>
    <row r="104" spans="2:6" x14ac:dyDescent="0.2">
      <c r="B104" s="17" t="str">
        <f>IF(A104="","",IFERROR(INDEX('Dashboard Items'!$C$2:$C$495,MATCH(A104,'Dashboard Items'!$A$2:$A$495,0)),"ID not found"))</f>
        <v/>
      </c>
      <c r="C104" s="17" t="str">
        <f>IF(A104="","",IFERROR(INDEX('Dashboard Items'!$E$2:$E$495,MATCH(A104,'Dashboard Items'!$A$2:$A$495,0)),"ID not found"))</f>
        <v/>
      </c>
      <c r="E104" s="17" t="str">
        <f>IF(D104="","",IFERROR(INDEX('Dashboard Items'!$C$2:$C$495,MATCH(D104,'Dashboard Items'!$A$2:$A$495,0)),"ID not found"))</f>
        <v/>
      </c>
      <c r="F104" s="17" t="str">
        <f>IF(D104="","",IFERROR(INDEX('Dashboard Items'!$F$2:$F$495,MATCH(D104,'Dashboard Items'!$A$2:$A$495,0)),"ID not found"))</f>
        <v/>
      </c>
    </row>
    <row r="105" spans="2:6" x14ac:dyDescent="0.2">
      <c r="B105" s="17" t="str">
        <f>IF(A105="","",IFERROR(INDEX('Dashboard Items'!$C$2:$C$495,MATCH(A105,'Dashboard Items'!$A$2:$A$495,0)),"ID not found"))</f>
        <v/>
      </c>
      <c r="C105" s="17" t="str">
        <f>IF(A105="","",IFERROR(INDEX('Dashboard Items'!$E$2:$E$495,MATCH(A105,'Dashboard Items'!$A$2:$A$495,0)),"ID not found"))</f>
        <v/>
      </c>
      <c r="E105" s="17" t="str">
        <f>IF(D105="","",IFERROR(INDEX('Dashboard Items'!$C$2:$C$495,MATCH(D105,'Dashboard Items'!$A$2:$A$495,0)),"ID not found"))</f>
        <v/>
      </c>
      <c r="F105" s="17" t="str">
        <f>IF(D105="","",IFERROR(INDEX('Dashboard Items'!$F$2:$F$495,MATCH(D105,'Dashboard Items'!$A$2:$A$495,0)),"ID not found"))</f>
        <v/>
      </c>
    </row>
    <row r="106" spans="2:6" x14ac:dyDescent="0.2">
      <c r="B106" s="17" t="str">
        <f>IF(A106="","",IFERROR(INDEX('Dashboard Items'!$C$2:$C$495,MATCH(A106,'Dashboard Items'!$A$2:$A$495,0)),"ID not found"))</f>
        <v/>
      </c>
      <c r="C106" s="17" t="str">
        <f>IF(A106="","",IFERROR(INDEX('Dashboard Items'!$E$2:$E$495,MATCH(A106,'Dashboard Items'!$A$2:$A$495,0)),"ID not found"))</f>
        <v/>
      </c>
      <c r="E106" s="17" t="str">
        <f>IF(D106="","",IFERROR(INDEX('Dashboard Items'!$C$2:$C$495,MATCH(D106,'Dashboard Items'!$A$2:$A$495,0)),"ID not found"))</f>
        <v/>
      </c>
      <c r="F106" s="17" t="str">
        <f>IF(D106="","",IFERROR(INDEX('Dashboard Items'!$F$2:$F$495,MATCH(D106,'Dashboard Items'!$A$2:$A$495,0)),"ID not found"))</f>
        <v/>
      </c>
    </row>
    <row r="107" spans="2:6" x14ac:dyDescent="0.2">
      <c r="B107" s="17" t="str">
        <f>IF(A107="","",IFERROR(INDEX('Dashboard Items'!$C$2:$C$495,MATCH(A107,'Dashboard Items'!$A$2:$A$495,0)),"ID not found"))</f>
        <v/>
      </c>
      <c r="C107" s="17" t="str">
        <f>IF(A107="","",IFERROR(INDEX('Dashboard Items'!$E$2:$E$495,MATCH(A107,'Dashboard Items'!$A$2:$A$495,0)),"ID not found"))</f>
        <v/>
      </c>
      <c r="E107" s="17" t="str">
        <f>IF(D107="","",IFERROR(INDEX('Dashboard Items'!$C$2:$C$495,MATCH(D107,'Dashboard Items'!$A$2:$A$495,0)),"ID not found"))</f>
        <v/>
      </c>
      <c r="F107" s="17" t="str">
        <f>IF(D107="","",IFERROR(INDEX('Dashboard Items'!$F$2:$F$495,MATCH(D107,'Dashboard Items'!$A$2:$A$495,0)),"ID not found"))</f>
        <v/>
      </c>
    </row>
    <row r="108" spans="2:6" x14ac:dyDescent="0.2">
      <c r="B108" s="17" t="str">
        <f>IF(A108="","",IFERROR(INDEX('Dashboard Items'!$C$2:$C$495,MATCH(A108,'Dashboard Items'!$A$2:$A$495,0)),"ID not found"))</f>
        <v/>
      </c>
      <c r="C108" s="17" t="str">
        <f>IF(A108="","",IFERROR(INDEX('Dashboard Items'!$E$2:$E$495,MATCH(A108,'Dashboard Items'!$A$2:$A$495,0)),"ID not found"))</f>
        <v/>
      </c>
      <c r="E108" s="17" t="str">
        <f>IF(D108="","",IFERROR(INDEX('Dashboard Items'!$C$2:$C$495,MATCH(D108,'Dashboard Items'!$A$2:$A$495,0)),"ID not found"))</f>
        <v/>
      </c>
      <c r="F108" s="17" t="str">
        <f>IF(D108="","",IFERROR(INDEX('Dashboard Items'!$F$2:$F$495,MATCH(D108,'Dashboard Items'!$A$2:$A$495,0)),"ID not found"))</f>
        <v/>
      </c>
    </row>
    <row r="109" spans="2:6" x14ac:dyDescent="0.2">
      <c r="B109" s="17" t="str">
        <f>IF(A109="","",IFERROR(INDEX('Dashboard Items'!$C$2:$C$495,MATCH(A109,'Dashboard Items'!$A$2:$A$495,0)),"ID not found"))</f>
        <v/>
      </c>
      <c r="C109" s="17" t="str">
        <f>IF(A109="","",IFERROR(INDEX('Dashboard Items'!$E$2:$E$495,MATCH(A109,'Dashboard Items'!$A$2:$A$495,0)),"ID not found"))</f>
        <v/>
      </c>
      <c r="E109" s="17" t="str">
        <f>IF(D109="","",IFERROR(INDEX('Dashboard Items'!$C$2:$C$495,MATCH(D109,'Dashboard Items'!$A$2:$A$495,0)),"ID not found"))</f>
        <v/>
      </c>
      <c r="F109" s="17" t="str">
        <f>IF(D109="","",IFERROR(INDEX('Dashboard Items'!$F$2:$F$495,MATCH(D109,'Dashboard Items'!$A$2:$A$495,0)),"ID not found"))</f>
        <v/>
      </c>
    </row>
    <row r="110" spans="2:6" x14ac:dyDescent="0.2">
      <c r="B110" s="17" t="str">
        <f>IF(A110="","",IFERROR(INDEX('Dashboard Items'!$C$2:$C$495,MATCH(A110,'Dashboard Items'!$A$2:$A$495,0)),"ID not found"))</f>
        <v/>
      </c>
      <c r="C110" s="17" t="str">
        <f>IF(A110="","",IFERROR(INDEX('Dashboard Items'!$E$2:$E$495,MATCH(A110,'Dashboard Items'!$A$2:$A$495,0)),"ID not found"))</f>
        <v/>
      </c>
      <c r="E110" s="17" t="str">
        <f>IF(D110="","",IFERROR(INDEX('Dashboard Items'!$C$2:$C$495,MATCH(D110,'Dashboard Items'!$A$2:$A$495,0)),"ID not found"))</f>
        <v/>
      </c>
      <c r="F110" s="17" t="str">
        <f>IF(D110="","",IFERROR(INDEX('Dashboard Items'!$F$2:$F$495,MATCH(D110,'Dashboard Items'!$A$2:$A$495,0)),"ID not found"))</f>
        <v/>
      </c>
    </row>
    <row r="111" spans="2:6" x14ac:dyDescent="0.2">
      <c r="B111" s="17" t="str">
        <f>IF(A111="","",IFERROR(INDEX('Dashboard Items'!$C$2:$C$495,MATCH(A111,'Dashboard Items'!$A$2:$A$495,0)),"ID not found"))</f>
        <v/>
      </c>
      <c r="C111" s="17" t="str">
        <f>IF(A111="","",IFERROR(INDEX('Dashboard Items'!$E$2:$E$495,MATCH(A111,'Dashboard Items'!$A$2:$A$495,0)),"ID not found"))</f>
        <v/>
      </c>
      <c r="E111" s="17" t="str">
        <f>IF(D111="","",IFERROR(INDEX('Dashboard Items'!$C$2:$C$495,MATCH(D111,'Dashboard Items'!$A$2:$A$495,0)),"ID not found"))</f>
        <v/>
      </c>
      <c r="F111" s="17" t="str">
        <f>IF(D111="","",IFERROR(INDEX('Dashboard Items'!$F$2:$F$495,MATCH(D111,'Dashboard Items'!$A$2:$A$495,0)),"ID not found"))</f>
        <v/>
      </c>
    </row>
    <row r="112" spans="2:6" x14ac:dyDescent="0.2">
      <c r="B112" s="17" t="str">
        <f>IF(A112="","",IFERROR(INDEX('Dashboard Items'!$C$2:$C$495,MATCH(A112,'Dashboard Items'!$A$2:$A$495,0)),"ID not found"))</f>
        <v/>
      </c>
      <c r="C112" s="17" t="str">
        <f>IF(A112="","",IFERROR(INDEX('Dashboard Items'!$E$2:$E$495,MATCH(A112,'Dashboard Items'!$A$2:$A$495,0)),"ID not found"))</f>
        <v/>
      </c>
      <c r="E112" s="17" t="str">
        <f>IF(D112="","",IFERROR(INDEX('Dashboard Items'!$C$2:$C$495,MATCH(D112,'Dashboard Items'!$A$2:$A$495,0)),"ID not found"))</f>
        <v/>
      </c>
      <c r="F112" s="17" t="str">
        <f>IF(D112="","",IFERROR(INDEX('Dashboard Items'!$F$2:$F$495,MATCH(D112,'Dashboard Items'!$A$2:$A$495,0)),"ID not found"))</f>
        <v/>
      </c>
    </row>
    <row r="113" spans="2:6" x14ac:dyDescent="0.2">
      <c r="B113" s="17" t="str">
        <f>IF(A113="","",IFERROR(INDEX('Dashboard Items'!$C$2:$C$495,MATCH(A113,'Dashboard Items'!$A$2:$A$495,0)),"ID not found"))</f>
        <v/>
      </c>
      <c r="C113" s="17" t="str">
        <f>IF(A113="","",IFERROR(INDEX('Dashboard Items'!$E$2:$E$495,MATCH(A113,'Dashboard Items'!$A$2:$A$495,0)),"ID not found"))</f>
        <v/>
      </c>
      <c r="E113" s="17" t="str">
        <f>IF(D113="","",IFERROR(INDEX('Dashboard Items'!$C$2:$C$495,MATCH(D113,'Dashboard Items'!$A$2:$A$495,0)),"ID not found"))</f>
        <v/>
      </c>
      <c r="F113" s="17" t="str">
        <f>IF(D113="","",IFERROR(INDEX('Dashboard Items'!$F$2:$F$495,MATCH(D113,'Dashboard Items'!$A$2:$A$495,0)),"ID not found"))</f>
        <v/>
      </c>
    </row>
    <row r="114" spans="2:6" x14ac:dyDescent="0.2">
      <c r="B114" s="17" t="str">
        <f>IF(A114="","",IFERROR(INDEX('Dashboard Items'!$C$2:$C$495,MATCH(A114,'Dashboard Items'!$A$2:$A$495,0)),"ID not found"))</f>
        <v/>
      </c>
      <c r="C114" s="17" t="str">
        <f>IF(A114="","",IFERROR(INDEX('Dashboard Items'!$E$2:$E$495,MATCH(A114,'Dashboard Items'!$A$2:$A$495,0)),"ID not found"))</f>
        <v/>
      </c>
      <c r="E114" s="17" t="str">
        <f>IF(D114="","",IFERROR(INDEX('Dashboard Items'!$C$2:$C$495,MATCH(D114,'Dashboard Items'!$A$2:$A$495,0)),"ID not found"))</f>
        <v/>
      </c>
      <c r="F114" s="17" t="str">
        <f>IF(D114="","",IFERROR(INDEX('Dashboard Items'!$F$2:$F$495,MATCH(D114,'Dashboard Items'!$A$2:$A$495,0)),"ID not found"))</f>
        <v/>
      </c>
    </row>
    <row r="115" spans="2:6" x14ac:dyDescent="0.2">
      <c r="B115" s="17" t="str">
        <f>IF(A115="","",IFERROR(INDEX('Dashboard Items'!$C$2:$C$495,MATCH(A115,'Dashboard Items'!$A$2:$A$495,0)),"ID not found"))</f>
        <v/>
      </c>
      <c r="C115" s="17" t="str">
        <f>IF(A115="","",IFERROR(INDEX('Dashboard Items'!$E$2:$E$495,MATCH(A115,'Dashboard Items'!$A$2:$A$495,0)),"ID not found"))</f>
        <v/>
      </c>
      <c r="E115" s="17" t="str">
        <f>IF(D115="","",IFERROR(INDEX('Dashboard Items'!$C$2:$C$495,MATCH(D115,'Dashboard Items'!$A$2:$A$495,0)),"ID not found"))</f>
        <v/>
      </c>
      <c r="F115" s="17" t="str">
        <f>IF(D115="","",IFERROR(INDEX('Dashboard Items'!$F$2:$F$495,MATCH(D115,'Dashboard Items'!$A$2:$A$495,0)),"ID not found"))</f>
        <v/>
      </c>
    </row>
    <row r="116" spans="2:6" x14ac:dyDescent="0.2">
      <c r="B116" s="17" t="str">
        <f>IF(A116="","",IFERROR(INDEX('Dashboard Items'!$C$2:$C$495,MATCH(A116,'Dashboard Items'!$A$2:$A$495,0)),"ID not found"))</f>
        <v/>
      </c>
      <c r="C116" s="17" t="str">
        <f>IF(A116="","",IFERROR(INDEX('Dashboard Items'!$E$2:$E$495,MATCH(A116,'Dashboard Items'!$A$2:$A$495,0)),"ID not found"))</f>
        <v/>
      </c>
      <c r="E116" s="17" t="str">
        <f>IF(D116="","",IFERROR(INDEX('Dashboard Items'!$C$2:$C$495,MATCH(D116,'Dashboard Items'!$A$2:$A$495,0)),"ID not found"))</f>
        <v/>
      </c>
      <c r="F116" s="17" t="str">
        <f>IF(D116="","",IFERROR(INDEX('Dashboard Items'!$F$2:$F$495,MATCH(D116,'Dashboard Items'!$A$2:$A$495,0)),"ID not found"))</f>
        <v/>
      </c>
    </row>
    <row r="117" spans="2:6" x14ac:dyDescent="0.2">
      <c r="B117" s="17" t="str">
        <f>IF(A117="","",IFERROR(INDEX('Dashboard Items'!$C$2:$C$495,MATCH(A117,'Dashboard Items'!$A$2:$A$495,0)),"ID not found"))</f>
        <v/>
      </c>
      <c r="C117" s="17" t="str">
        <f>IF(A117="","",IFERROR(INDEX('Dashboard Items'!$E$2:$E$495,MATCH(A117,'Dashboard Items'!$A$2:$A$495,0)),"ID not found"))</f>
        <v/>
      </c>
      <c r="E117" s="17" t="str">
        <f>IF(D117="","",IFERROR(INDEX('Dashboard Items'!$C$2:$C$495,MATCH(D117,'Dashboard Items'!$A$2:$A$495,0)),"ID not found"))</f>
        <v/>
      </c>
      <c r="F117" s="17" t="str">
        <f>IF(D117="","",IFERROR(INDEX('Dashboard Items'!$F$2:$F$495,MATCH(D117,'Dashboard Items'!$A$2:$A$495,0)),"ID not found"))</f>
        <v/>
      </c>
    </row>
    <row r="118" spans="2:6" x14ac:dyDescent="0.2">
      <c r="B118" s="17" t="str">
        <f>IF(A118="","",IFERROR(INDEX('Dashboard Items'!$C$2:$C$495,MATCH(A118,'Dashboard Items'!$A$2:$A$495,0)),"ID not found"))</f>
        <v/>
      </c>
      <c r="C118" s="17" t="str">
        <f>IF(A118="","",IFERROR(INDEX('Dashboard Items'!$E$2:$E$495,MATCH(A118,'Dashboard Items'!$A$2:$A$495,0)),"ID not found"))</f>
        <v/>
      </c>
      <c r="E118" s="17" t="str">
        <f>IF(D118="","",IFERROR(INDEX('Dashboard Items'!$C$2:$C$495,MATCH(D118,'Dashboard Items'!$A$2:$A$495,0)),"ID not found"))</f>
        <v/>
      </c>
      <c r="F118" s="17" t="str">
        <f>IF(D118="","",IFERROR(INDEX('Dashboard Items'!$F$2:$F$495,MATCH(D118,'Dashboard Items'!$A$2:$A$495,0)),"ID not found"))</f>
        <v/>
      </c>
    </row>
    <row r="119" spans="2:6" x14ac:dyDescent="0.2">
      <c r="B119" s="17" t="str">
        <f>IF(A119="","",IFERROR(INDEX('Dashboard Items'!$C$2:$C$495,MATCH(A119,'Dashboard Items'!$A$2:$A$495,0)),"ID not found"))</f>
        <v/>
      </c>
      <c r="C119" s="17" t="str">
        <f>IF(A119="","",IFERROR(INDEX('Dashboard Items'!$E$2:$E$495,MATCH(A119,'Dashboard Items'!$A$2:$A$495,0)),"ID not found"))</f>
        <v/>
      </c>
      <c r="E119" s="17" t="str">
        <f>IF(D119="","",IFERROR(INDEX('Dashboard Items'!$C$2:$C$495,MATCH(D119,'Dashboard Items'!$A$2:$A$495,0)),"ID not found"))</f>
        <v/>
      </c>
      <c r="F119" s="17" t="str">
        <f>IF(D119="","",IFERROR(INDEX('Dashboard Items'!$F$2:$F$495,MATCH(D119,'Dashboard Items'!$A$2:$A$495,0)),"ID not found"))</f>
        <v/>
      </c>
    </row>
    <row r="120" spans="2:6" x14ac:dyDescent="0.2">
      <c r="B120" s="17" t="str">
        <f>IF(A120="","",IFERROR(INDEX('Dashboard Items'!$C$2:$C$495,MATCH(A120,'Dashboard Items'!$A$2:$A$495,0)),"ID not found"))</f>
        <v/>
      </c>
      <c r="C120" s="17" t="str">
        <f>IF(A120="","",IFERROR(INDEX('Dashboard Items'!$E$2:$E$495,MATCH(A120,'Dashboard Items'!$A$2:$A$495,0)),"ID not found"))</f>
        <v/>
      </c>
      <c r="E120" s="17" t="str">
        <f>IF(D120="","",IFERROR(INDEX('Dashboard Items'!$C$2:$C$495,MATCH(D120,'Dashboard Items'!$A$2:$A$495,0)),"ID not found"))</f>
        <v/>
      </c>
      <c r="F120" s="17" t="str">
        <f>IF(D120="","",IFERROR(INDEX('Dashboard Items'!$F$2:$F$495,MATCH(D120,'Dashboard Items'!$A$2:$A$495,0)),"ID not found"))</f>
        <v/>
      </c>
    </row>
    <row r="121" spans="2:6" x14ac:dyDescent="0.2">
      <c r="B121" s="17" t="str">
        <f>IF(A121="","",IFERROR(INDEX('Dashboard Items'!$C$2:$C$495,MATCH(A121,'Dashboard Items'!$A$2:$A$495,0)),"ID not found"))</f>
        <v/>
      </c>
      <c r="C121" s="17" t="str">
        <f>IF(A121="","",IFERROR(INDEX('Dashboard Items'!$E$2:$E$495,MATCH(A121,'Dashboard Items'!$A$2:$A$495,0)),"ID not found"))</f>
        <v/>
      </c>
      <c r="E121" s="17" t="str">
        <f>IF(D121="","",IFERROR(INDEX('Dashboard Items'!$C$2:$C$495,MATCH(D121,'Dashboard Items'!$A$2:$A$495,0)),"ID not found"))</f>
        <v/>
      </c>
      <c r="F121" s="17" t="str">
        <f>IF(D121="","",IFERROR(INDEX('Dashboard Items'!$F$2:$F$495,MATCH(D121,'Dashboard Items'!$A$2:$A$495,0)),"ID not found"))</f>
        <v/>
      </c>
    </row>
    <row r="122" spans="2:6" x14ac:dyDescent="0.2">
      <c r="B122" s="17" t="str">
        <f>IF(A122="","",IFERROR(INDEX('Dashboard Items'!$C$2:$C$495,MATCH(A122,'Dashboard Items'!$A$2:$A$495,0)),"ID not found"))</f>
        <v/>
      </c>
      <c r="C122" s="17" t="str">
        <f>IF(A122="","",IFERROR(INDEX('Dashboard Items'!$E$2:$E$495,MATCH(A122,'Dashboard Items'!$A$2:$A$495,0)),"ID not found"))</f>
        <v/>
      </c>
      <c r="E122" s="17" t="str">
        <f>IF(D122="","",IFERROR(INDEX('Dashboard Items'!$C$2:$C$495,MATCH(D122,'Dashboard Items'!$A$2:$A$495,0)),"ID not found"))</f>
        <v/>
      </c>
      <c r="F122" s="17" t="str">
        <f>IF(D122="","",IFERROR(INDEX('Dashboard Items'!$F$2:$F$495,MATCH(D122,'Dashboard Items'!$A$2:$A$495,0)),"ID not found"))</f>
        <v/>
      </c>
    </row>
    <row r="123" spans="2:6" x14ac:dyDescent="0.2">
      <c r="B123" s="17" t="str">
        <f>IF(A123="","",IFERROR(INDEX('Dashboard Items'!$C$2:$C$495,MATCH(A123,'Dashboard Items'!$A$2:$A$495,0)),"ID not found"))</f>
        <v/>
      </c>
      <c r="C123" s="17" t="str">
        <f>IF(A123="","",IFERROR(INDEX('Dashboard Items'!$E$2:$E$495,MATCH(A123,'Dashboard Items'!$A$2:$A$495,0)),"ID not found"))</f>
        <v/>
      </c>
      <c r="E123" s="17" t="str">
        <f>IF(D123="","",IFERROR(INDEX('Dashboard Items'!$C$2:$C$495,MATCH(D123,'Dashboard Items'!$A$2:$A$495,0)),"ID not found"))</f>
        <v/>
      </c>
      <c r="F123" s="17" t="str">
        <f>IF(D123="","",IFERROR(INDEX('Dashboard Items'!$F$2:$F$495,MATCH(D123,'Dashboard Items'!$A$2:$A$495,0)),"ID not found"))</f>
        <v/>
      </c>
    </row>
    <row r="124" spans="2:6" x14ac:dyDescent="0.2">
      <c r="B124" s="17" t="str">
        <f>IF(A124="","",IFERROR(INDEX('Dashboard Items'!$C$2:$C$495,MATCH(A124,'Dashboard Items'!$A$2:$A$495,0)),"ID not found"))</f>
        <v/>
      </c>
      <c r="C124" s="17" t="str">
        <f>IF(A124="","",IFERROR(INDEX('Dashboard Items'!$E$2:$E$495,MATCH(A124,'Dashboard Items'!$A$2:$A$495,0)),"ID not found"))</f>
        <v/>
      </c>
      <c r="E124" s="17" t="str">
        <f>IF(D124="","",IFERROR(INDEX('Dashboard Items'!$C$2:$C$495,MATCH(D124,'Dashboard Items'!$A$2:$A$495,0)),"ID not found"))</f>
        <v/>
      </c>
      <c r="F124" s="17" t="str">
        <f>IF(D124="","",IFERROR(INDEX('Dashboard Items'!$F$2:$F$495,MATCH(D124,'Dashboard Items'!$A$2:$A$495,0)),"ID not found"))</f>
        <v/>
      </c>
    </row>
    <row r="125" spans="2:6" x14ac:dyDescent="0.2">
      <c r="B125" s="17" t="str">
        <f>IF(A125="","",IFERROR(INDEX('Dashboard Items'!$C$2:$C$495,MATCH(A125,'Dashboard Items'!$A$2:$A$495,0)),"ID not found"))</f>
        <v/>
      </c>
      <c r="C125" s="17" t="str">
        <f>IF(A125="","",IFERROR(INDEX('Dashboard Items'!$E$2:$E$495,MATCH(A125,'Dashboard Items'!$A$2:$A$495,0)),"ID not found"))</f>
        <v/>
      </c>
      <c r="E125" s="17" t="str">
        <f>IF(D125="","",IFERROR(INDEX('Dashboard Items'!$C$2:$C$495,MATCH(D125,'Dashboard Items'!$A$2:$A$495,0)),"ID not found"))</f>
        <v/>
      </c>
      <c r="F125" s="17" t="str">
        <f>IF(D125="","",IFERROR(INDEX('Dashboard Items'!$F$2:$F$495,MATCH(D125,'Dashboard Items'!$A$2:$A$495,0)),"ID not found"))</f>
        <v/>
      </c>
    </row>
    <row r="126" spans="2:6" x14ac:dyDescent="0.2">
      <c r="B126" s="17" t="str">
        <f>IF(A126="","",IFERROR(INDEX('Dashboard Items'!$C$2:$C$495,MATCH(A126,'Dashboard Items'!$A$2:$A$495,0)),"ID not found"))</f>
        <v/>
      </c>
      <c r="C126" s="17" t="str">
        <f>IF(A126="","",IFERROR(INDEX('Dashboard Items'!$E$2:$E$495,MATCH(A126,'Dashboard Items'!$A$2:$A$495,0)),"ID not found"))</f>
        <v/>
      </c>
      <c r="E126" s="17" t="str">
        <f>IF(D126="","",IFERROR(INDEX('Dashboard Items'!$C$2:$C$495,MATCH(D126,'Dashboard Items'!$A$2:$A$495,0)),"ID not found"))</f>
        <v/>
      </c>
      <c r="F126" s="17" t="str">
        <f>IF(D126="","",IFERROR(INDEX('Dashboard Items'!$F$2:$F$495,MATCH(D126,'Dashboard Items'!$A$2:$A$495,0)),"ID not found"))</f>
        <v/>
      </c>
    </row>
    <row r="127" spans="2:6" x14ac:dyDescent="0.2">
      <c r="B127" s="17" t="str">
        <f>IF(A127="","",IFERROR(INDEX('Dashboard Items'!$C$2:$C$495,MATCH(A127,'Dashboard Items'!$A$2:$A$495,0)),"ID not found"))</f>
        <v/>
      </c>
      <c r="C127" s="17" t="str">
        <f>IF(A127="","",IFERROR(INDEX('Dashboard Items'!$E$2:$E$495,MATCH(A127,'Dashboard Items'!$A$2:$A$495,0)),"ID not found"))</f>
        <v/>
      </c>
      <c r="E127" s="17" t="str">
        <f>IF(D127="","",IFERROR(INDEX('Dashboard Items'!$C$2:$C$495,MATCH(D127,'Dashboard Items'!$A$2:$A$495,0)),"ID not found"))</f>
        <v/>
      </c>
      <c r="F127" s="17" t="str">
        <f>IF(D127="","",IFERROR(INDEX('Dashboard Items'!$F$2:$F$495,MATCH(D127,'Dashboard Items'!$A$2:$A$495,0)),"ID not found"))</f>
        <v/>
      </c>
    </row>
    <row r="128" spans="2:6" x14ac:dyDescent="0.2">
      <c r="B128" s="17" t="str">
        <f>IF(A128="","",IFERROR(INDEX('Dashboard Items'!$C$2:$C$495,MATCH(A128,'Dashboard Items'!$A$2:$A$495,0)),"ID not found"))</f>
        <v/>
      </c>
      <c r="C128" s="17" t="str">
        <f>IF(A128="","",IFERROR(INDEX('Dashboard Items'!$E$2:$E$495,MATCH(A128,'Dashboard Items'!$A$2:$A$495,0)),"ID not found"))</f>
        <v/>
      </c>
      <c r="E128" s="17" t="str">
        <f>IF(D128="","",IFERROR(INDEX('Dashboard Items'!$C$2:$C$495,MATCH(D128,'Dashboard Items'!$A$2:$A$495,0)),"ID not found"))</f>
        <v/>
      </c>
      <c r="F128" s="17" t="str">
        <f>IF(D128="","",IFERROR(INDEX('Dashboard Items'!$F$2:$F$495,MATCH(D128,'Dashboard Items'!$A$2:$A$495,0)),"ID not found"))</f>
        <v/>
      </c>
    </row>
    <row r="129" spans="2:6" x14ac:dyDescent="0.2">
      <c r="B129" s="17" t="str">
        <f>IF(A129="","",IFERROR(INDEX('Dashboard Items'!$C$2:$C$495,MATCH(A129,'Dashboard Items'!$A$2:$A$495,0)),"ID not found"))</f>
        <v/>
      </c>
      <c r="C129" s="17" t="str">
        <f>IF(A129="","",IFERROR(INDEX('Dashboard Items'!$E$2:$E$495,MATCH(A129,'Dashboard Items'!$A$2:$A$495,0)),"ID not found"))</f>
        <v/>
      </c>
      <c r="E129" s="17" t="str">
        <f>IF(D129="","",IFERROR(INDEX('Dashboard Items'!$C$2:$C$495,MATCH(D129,'Dashboard Items'!$A$2:$A$495,0)),"ID not found"))</f>
        <v/>
      </c>
      <c r="F129" s="17" t="str">
        <f>IF(D129="","",IFERROR(INDEX('Dashboard Items'!$F$2:$F$495,MATCH(D129,'Dashboard Items'!$A$2:$A$495,0)),"ID not found"))</f>
        <v/>
      </c>
    </row>
    <row r="130" spans="2:6" x14ac:dyDescent="0.2">
      <c r="B130" s="17" t="str">
        <f>IF(A130="","",IFERROR(INDEX('Dashboard Items'!$C$2:$C$495,MATCH(A130,'Dashboard Items'!$A$2:$A$495,0)),"ID not found"))</f>
        <v/>
      </c>
      <c r="C130" s="17" t="str">
        <f>IF(A130="","",IFERROR(INDEX('Dashboard Items'!$E$2:$E$495,MATCH(A130,'Dashboard Items'!$A$2:$A$495,0)),"ID not found"))</f>
        <v/>
      </c>
      <c r="E130" s="17" t="str">
        <f>IF(D130="","",IFERROR(INDEX('Dashboard Items'!$C$2:$C$495,MATCH(D130,'Dashboard Items'!$A$2:$A$495,0)),"ID not found"))</f>
        <v/>
      </c>
      <c r="F130" s="17" t="str">
        <f>IF(D130="","",IFERROR(INDEX('Dashboard Items'!$F$2:$F$495,MATCH(D130,'Dashboard Items'!$A$2:$A$495,0)),"ID not found"))</f>
        <v/>
      </c>
    </row>
    <row r="131" spans="2:6" x14ac:dyDescent="0.2">
      <c r="B131" s="17" t="str">
        <f>IF(A131="","",IFERROR(INDEX('Dashboard Items'!$C$2:$C$495,MATCH(A131,'Dashboard Items'!$A$2:$A$495,0)),"ID not found"))</f>
        <v/>
      </c>
      <c r="C131" s="17" t="str">
        <f>IF(A131="","",IFERROR(INDEX('Dashboard Items'!$E$2:$E$495,MATCH(A131,'Dashboard Items'!$A$2:$A$495,0)),"ID not found"))</f>
        <v/>
      </c>
      <c r="E131" s="17" t="str">
        <f>IF(D131="","",IFERROR(INDEX('Dashboard Items'!$C$2:$C$495,MATCH(D131,'Dashboard Items'!$A$2:$A$495,0)),"ID not found"))</f>
        <v/>
      </c>
      <c r="F131" s="17" t="str">
        <f>IF(D131="","",IFERROR(INDEX('Dashboard Items'!$F$2:$F$495,MATCH(D131,'Dashboard Items'!$A$2:$A$495,0)),"ID not found"))</f>
        <v/>
      </c>
    </row>
    <row r="132" spans="2:6" x14ac:dyDescent="0.2">
      <c r="B132" s="17" t="str">
        <f>IF(A132="","",IFERROR(INDEX('Dashboard Items'!$C$2:$C$495,MATCH(A132,'Dashboard Items'!$A$2:$A$495,0)),"ID not found"))</f>
        <v/>
      </c>
      <c r="C132" s="17" t="str">
        <f>IF(A132="","",IFERROR(INDEX('Dashboard Items'!$E$2:$E$495,MATCH(A132,'Dashboard Items'!$A$2:$A$495,0)),"ID not found"))</f>
        <v/>
      </c>
      <c r="E132" s="17" t="str">
        <f>IF(D132="","",IFERROR(INDEX('Dashboard Items'!$C$2:$C$495,MATCH(D132,'Dashboard Items'!$A$2:$A$495,0)),"ID not found"))</f>
        <v/>
      </c>
      <c r="F132" s="17" t="str">
        <f>IF(D132="","",IFERROR(INDEX('Dashboard Items'!$F$2:$F$495,MATCH(D132,'Dashboard Items'!$A$2:$A$495,0)),"ID not found"))</f>
        <v/>
      </c>
    </row>
    <row r="133" spans="2:6" x14ac:dyDescent="0.2">
      <c r="B133" s="17" t="str">
        <f>IF(A133="","",IFERROR(INDEX('Dashboard Items'!$C$2:$C$495,MATCH(A133,'Dashboard Items'!$A$2:$A$495,0)),"ID not found"))</f>
        <v/>
      </c>
      <c r="C133" s="17" t="str">
        <f>IF(A133="","",IFERROR(INDEX('Dashboard Items'!$E$2:$E$495,MATCH(A133,'Dashboard Items'!$A$2:$A$495,0)),"ID not found"))</f>
        <v/>
      </c>
      <c r="E133" s="17" t="str">
        <f>IF(D133="","",IFERROR(INDEX('Dashboard Items'!$C$2:$C$495,MATCH(D133,'Dashboard Items'!$A$2:$A$495,0)),"ID not found"))</f>
        <v/>
      </c>
      <c r="F133" s="17" t="str">
        <f>IF(D133="","",IFERROR(INDEX('Dashboard Items'!$F$2:$F$495,MATCH(D133,'Dashboard Items'!$A$2:$A$495,0)),"ID not found"))</f>
        <v/>
      </c>
    </row>
    <row r="134" spans="2:6" x14ac:dyDescent="0.2">
      <c r="B134" s="17" t="str">
        <f>IF(A134="","",IFERROR(INDEX('Dashboard Items'!$C$2:$C$495,MATCH(A134,'Dashboard Items'!$A$2:$A$495,0)),"ID not found"))</f>
        <v/>
      </c>
      <c r="C134" s="17" t="str">
        <f>IF(A134="","",IFERROR(INDEX('Dashboard Items'!$E$2:$E$495,MATCH(A134,'Dashboard Items'!$A$2:$A$495,0)),"ID not found"))</f>
        <v/>
      </c>
      <c r="E134" s="17" t="str">
        <f>IF(D134="","",IFERROR(INDEX('Dashboard Items'!$C$2:$C$495,MATCH(D134,'Dashboard Items'!$A$2:$A$495,0)),"ID not found"))</f>
        <v/>
      </c>
      <c r="F134" s="17" t="str">
        <f>IF(D134="","",IFERROR(INDEX('Dashboard Items'!$F$2:$F$495,MATCH(D134,'Dashboard Items'!$A$2:$A$495,0)),"ID not found"))</f>
        <v/>
      </c>
    </row>
    <row r="135" spans="2:6" x14ac:dyDescent="0.2">
      <c r="B135" s="17" t="str">
        <f>IF(A135="","",IFERROR(INDEX('Dashboard Items'!$C$2:$C$495,MATCH(A135,'Dashboard Items'!$A$2:$A$495,0)),"ID not found"))</f>
        <v/>
      </c>
      <c r="C135" s="17" t="str">
        <f>IF(A135="","",IFERROR(INDEX('Dashboard Items'!$E$2:$E$495,MATCH(A135,'Dashboard Items'!$A$2:$A$495,0)),"ID not found"))</f>
        <v/>
      </c>
      <c r="E135" s="17" t="str">
        <f>IF(D135="","",IFERROR(INDEX('Dashboard Items'!$C$2:$C$495,MATCH(D135,'Dashboard Items'!$A$2:$A$495,0)),"ID not found"))</f>
        <v/>
      </c>
      <c r="F135" s="17" t="str">
        <f>IF(D135="","",IFERROR(INDEX('Dashboard Items'!$F$2:$F$495,MATCH(D135,'Dashboard Items'!$A$2:$A$495,0)),"ID not found"))</f>
        <v/>
      </c>
    </row>
    <row r="136" spans="2:6" x14ac:dyDescent="0.2">
      <c r="B136" s="17" t="str">
        <f>IF(A136="","",IFERROR(INDEX('Dashboard Items'!$C$2:$C$495,MATCH(A136,'Dashboard Items'!$A$2:$A$495,0)),"ID not found"))</f>
        <v/>
      </c>
      <c r="C136" s="17" t="str">
        <f>IF(A136="","",IFERROR(INDEX('Dashboard Items'!$E$2:$E$495,MATCH(A136,'Dashboard Items'!$A$2:$A$495,0)),"ID not found"))</f>
        <v/>
      </c>
      <c r="E136" s="17" t="str">
        <f>IF(D136="","",IFERROR(INDEX('Dashboard Items'!$C$2:$C$495,MATCH(D136,'Dashboard Items'!$A$2:$A$495,0)),"ID not found"))</f>
        <v/>
      </c>
      <c r="F136" s="17" t="str">
        <f>IF(D136="","",IFERROR(INDEX('Dashboard Items'!$F$2:$F$495,MATCH(D136,'Dashboard Items'!$A$2:$A$495,0)),"ID not found"))</f>
        <v/>
      </c>
    </row>
    <row r="137" spans="2:6" x14ac:dyDescent="0.2">
      <c r="B137" s="17" t="str">
        <f>IF(A137="","",IFERROR(INDEX('Dashboard Items'!$C$2:$C$495,MATCH(A137,'Dashboard Items'!$A$2:$A$495,0)),"ID not found"))</f>
        <v/>
      </c>
      <c r="C137" s="17" t="str">
        <f>IF(A137="","",IFERROR(INDEX('Dashboard Items'!$E$2:$E$495,MATCH(A137,'Dashboard Items'!$A$2:$A$495,0)),"ID not found"))</f>
        <v/>
      </c>
      <c r="E137" s="17" t="str">
        <f>IF(D137="","",IFERROR(INDEX('Dashboard Items'!$C$2:$C$495,MATCH(D137,'Dashboard Items'!$A$2:$A$495,0)),"ID not found"))</f>
        <v/>
      </c>
      <c r="F137" s="17" t="str">
        <f>IF(D137="","",IFERROR(INDEX('Dashboard Items'!$F$2:$F$495,MATCH(D137,'Dashboard Items'!$A$2:$A$495,0)),"ID not found"))</f>
        <v/>
      </c>
    </row>
    <row r="138" spans="2:6" x14ac:dyDescent="0.2">
      <c r="B138" s="17" t="str">
        <f>IF(A138="","",IFERROR(INDEX('Dashboard Items'!$C$2:$C$495,MATCH(A138,'Dashboard Items'!$A$2:$A$495,0)),"ID not found"))</f>
        <v/>
      </c>
      <c r="C138" s="17" t="str">
        <f>IF(A138="","",IFERROR(INDEX('Dashboard Items'!$E$2:$E$495,MATCH(A138,'Dashboard Items'!$A$2:$A$495,0)),"ID not found"))</f>
        <v/>
      </c>
      <c r="E138" s="17" t="str">
        <f>IF(D138="","",IFERROR(INDEX('Dashboard Items'!$C$2:$C$495,MATCH(D138,'Dashboard Items'!$A$2:$A$495,0)),"ID not found"))</f>
        <v/>
      </c>
      <c r="F138" s="17" t="str">
        <f>IF(D138="","",IFERROR(INDEX('Dashboard Items'!$F$2:$F$495,MATCH(D138,'Dashboard Items'!$A$2:$A$495,0)),"ID not found"))</f>
        <v/>
      </c>
    </row>
    <row r="139" spans="2:6" x14ac:dyDescent="0.2">
      <c r="B139" s="17" t="str">
        <f>IF(A139="","",IFERROR(INDEX('Dashboard Items'!$C$2:$C$495,MATCH(A139,'Dashboard Items'!$A$2:$A$495,0)),"ID not found"))</f>
        <v/>
      </c>
      <c r="C139" s="17" t="str">
        <f>IF(A139="","",IFERROR(INDEX('Dashboard Items'!$E$2:$E$495,MATCH(A139,'Dashboard Items'!$A$2:$A$495,0)),"ID not found"))</f>
        <v/>
      </c>
      <c r="E139" s="17" t="str">
        <f>IF(D139="","",IFERROR(INDEX('Dashboard Items'!$C$2:$C$495,MATCH(D139,'Dashboard Items'!$A$2:$A$495,0)),"ID not found"))</f>
        <v/>
      </c>
      <c r="F139" s="17" t="str">
        <f>IF(D139="","",IFERROR(INDEX('Dashboard Items'!$F$2:$F$495,MATCH(D139,'Dashboard Items'!$A$2:$A$495,0)),"ID not found"))</f>
        <v/>
      </c>
    </row>
    <row r="140" spans="2:6" x14ac:dyDescent="0.2">
      <c r="B140" s="17" t="str">
        <f>IF(A140="","",IFERROR(INDEX('Dashboard Items'!$C$2:$C$495,MATCH(A140,'Dashboard Items'!$A$2:$A$495,0)),"ID not found"))</f>
        <v/>
      </c>
      <c r="C140" s="17" t="str">
        <f>IF(A140="","",IFERROR(INDEX('Dashboard Items'!$E$2:$E$495,MATCH(A140,'Dashboard Items'!$A$2:$A$495,0)),"ID not found"))</f>
        <v/>
      </c>
      <c r="E140" s="17" t="str">
        <f>IF(D140="","",IFERROR(INDEX('Dashboard Items'!$C$2:$C$495,MATCH(D140,'Dashboard Items'!$A$2:$A$495,0)),"ID not found"))</f>
        <v/>
      </c>
      <c r="F140" s="17" t="str">
        <f>IF(D140="","",IFERROR(INDEX('Dashboard Items'!$F$2:$F$495,MATCH(D140,'Dashboard Items'!$A$2:$A$495,0)),"ID not found"))</f>
        <v/>
      </c>
    </row>
    <row r="141" spans="2:6" x14ac:dyDescent="0.2">
      <c r="B141" s="17" t="str">
        <f>IF(A141="","",IFERROR(INDEX('Dashboard Items'!$C$2:$C$495,MATCH(A141,'Dashboard Items'!$A$2:$A$495,0)),"ID not found"))</f>
        <v/>
      </c>
      <c r="C141" s="17" t="str">
        <f>IF(A141="","",IFERROR(INDEX('Dashboard Items'!$E$2:$E$495,MATCH(A141,'Dashboard Items'!$A$2:$A$495,0)),"ID not found"))</f>
        <v/>
      </c>
      <c r="E141" s="17" t="str">
        <f>IF(D141="","",IFERROR(INDEX('Dashboard Items'!$C$2:$C$495,MATCH(D141,'Dashboard Items'!$A$2:$A$495,0)),"ID not found"))</f>
        <v/>
      </c>
      <c r="F141" s="17" t="str">
        <f>IF(D141="","",IFERROR(INDEX('Dashboard Items'!$F$2:$F$495,MATCH(D141,'Dashboard Items'!$A$2:$A$495,0)),"ID not found"))</f>
        <v/>
      </c>
    </row>
    <row r="142" spans="2:6" x14ac:dyDescent="0.2">
      <c r="B142" s="17" t="str">
        <f>IF(A142="","",IFERROR(INDEX('Dashboard Items'!$C$2:$C$495,MATCH(A142,'Dashboard Items'!$A$2:$A$495,0)),"ID not found"))</f>
        <v/>
      </c>
      <c r="C142" s="17" t="str">
        <f>IF(A142="","",IFERROR(INDEX('Dashboard Items'!$E$2:$E$495,MATCH(A142,'Dashboard Items'!$A$2:$A$495,0)),"ID not found"))</f>
        <v/>
      </c>
      <c r="E142" s="17" t="str">
        <f>IF(D142="","",IFERROR(INDEX('Dashboard Items'!$C$2:$C$495,MATCH(D142,'Dashboard Items'!$A$2:$A$495,0)),"ID not found"))</f>
        <v/>
      </c>
      <c r="F142" s="17" t="str">
        <f>IF(D142="","",IFERROR(INDEX('Dashboard Items'!$F$2:$F$495,MATCH(D142,'Dashboard Items'!$A$2:$A$495,0)),"ID not found"))</f>
        <v/>
      </c>
    </row>
    <row r="143" spans="2:6" x14ac:dyDescent="0.2">
      <c r="B143" s="17" t="str">
        <f>IF(A143="","",IFERROR(INDEX('Dashboard Items'!$C$2:$C$495,MATCH(A143,'Dashboard Items'!$A$2:$A$495,0)),"ID not found"))</f>
        <v/>
      </c>
      <c r="C143" s="17" t="str">
        <f>IF(A143="","",IFERROR(INDEX('Dashboard Items'!$E$2:$E$495,MATCH(A143,'Dashboard Items'!$A$2:$A$495,0)),"ID not found"))</f>
        <v/>
      </c>
      <c r="E143" s="17" t="str">
        <f>IF(D143="","",IFERROR(INDEX('Dashboard Items'!$C$2:$C$495,MATCH(D143,'Dashboard Items'!$A$2:$A$495,0)),"ID not found"))</f>
        <v/>
      </c>
      <c r="F143" s="17" t="str">
        <f>IF(D143="","",IFERROR(INDEX('Dashboard Items'!$F$2:$F$495,MATCH(D143,'Dashboard Items'!$A$2:$A$495,0)),"ID not found"))</f>
        <v/>
      </c>
    </row>
    <row r="144" spans="2:6" x14ac:dyDescent="0.2">
      <c r="B144" s="17" t="str">
        <f>IF(A144="","",IFERROR(INDEX('Dashboard Items'!$C$2:$C$495,MATCH(A144,'Dashboard Items'!$A$2:$A$495,0)),"ID not found"))</f>
        <v/>
      </c>
      <c r="C144" s="17" t="str">
        <f>IF(A144="","",IFERROR(INDEX('Dashboard Items'!$E$2:$E$495,MATCH(A144,'Dashboard Items'!$A$2:$A$495,0)),"ID not found"))</f>
        <v/>
      </c>
      <c r="E144" s="17" t="str">
        <f>IF(D144="","",IFERROR(INDEX('Dashboard Items'!$C$2:$C$495,MATCH(D144,'Dashboard Items'!$A$2:$A$495,0)),"ID not found"))</f>
        <v/>
      </c>
      <c r="F144" s="17" t="str">
        <f>IF(D144="","",IFERROR(INDEX('Dashboard Items'!$F$2:$F$495,MATCH(D144,'Dashboard Items'!$A$2:$A$495,0)),"ID not found"))</f>
        <v/>
      </c>
    </row>
    <row r="145" spans="2:6" x14ac:dyDescent="0.2">
      <c r="B145" s="17" t="str">
        <f>IF(A145="","",IFERROR(INDEX('Dashboard Items'!$C$2:$C$495,MATCH(A145,'Dashboard Items'!$A$2:$A$495,0)),"ID not found"))</f>
        <v/>
      </c>
      <c r="C145" s="17" t="str">
        <f>IF(A145="","",IFERROR(INDEX('Dashboard Items'!$E$2:$E$495,MATCH(A145,'Dashboard Items'!$A$2:$A$495,0)),"ID not found"))</f>
        <v/>
      </c>
      <c r="E145" s="17" t="str">
        <f>IF(D145="","",IFERROR(INDEX('Dashboard Items'!$C$2:$C$495,MATCH(D145,'Dashboard Items'!$A$2:$A$495,0)),"ID not found"))</f>
        <v/>
      </c>
      <c r="F145" s="17" t="str">
        <f>IF(D145="","",IFERROR(INDEX('Dashboard Items'!$F$2:$F$495,MATCH(D145,'Dashboard Items'!$A$2:$A$495,0)),"ID not found"))</f>
        <v/>
      </c>
    </row>
    <row r="146" spans="2:6" x14ac:dyDescent="0.2">
      <c r="B146" s="17" t="str">
        <f>IF(A146="","",IFERROR(INDEX('Dashboard Items'!$C$2:$C$495,MATCH(A146,'Dashboard Items'!$A$2:$A$495,0)),"ID not found"))</f>
        <v/>
      </c>
      <c r="C146" s="17" t="str">
        <f>IF(A146="","",IFERROR(INDEX('Dashboard Items'!$E$2:$E$495,MATCH(A146,'Dashboard Items'!$A$2:$A$495,0)),"ID not found"))</f>
        <v/>
      </c>
      <c r="E146" s="17" t="str">
        <f>IF(D146="","",IFERROR(INDEX('Dashboard Items'!$C$2:$C$495,MATCH(D146,'Dashboard Items'!$A$2:$A$495,0)),"ID not found"))</f>
        <v/>
      </c>
      <c r="F146" s="17" t="str">
        <f>IF(D146="","",IFERROR(INDEX('Dashboard Items'!$F$2:$F$495,MATCH(D146,'Dashboard Items'!$A$2:$A$495,0)),"ID not found"))</f>
        <v/>
      </c>
    </row>
    <row r="147" spans="2:6" x14ac:dyDescent="0.2">
      <c r="B147" s="17" t="str">
        <f>IF(A147="","",IFERROR(INDEX('Dashboard Items'!$C$2:$C$495,MATCH(A147,'Dashboard Items'!$A$2:$A$495,0)),"ID not found"))</f>
        <v/>
      </c>
      <c r="C147" s="17" t="str">
        <f>IF(A147="","",IFERROR(INDEX('Dashboard Items'!$E$2:$E$495,MATCH(A147,'Dashboard Items'!$A$2:$A$495,0)),"ID not found"))</f>
        <v/>
      </c>
      <c r="E147" s="17" t="str">
        <f>IF(D147="","",IFERROR(INDEX('Dashboard Items'!$C$2:$C$495,MATCH(D147,'Dashboard Items'!$A$2:$A$495,0)),"ID not found"))</f>
        <v/>
      </c>
      <c r="F147" s="17" t="str">
        <f>IF(D147="","",IFERROR(INDEX('Dashboard Items'!$F$2:$F$495,MATCH(D147,'Dashboard Items'!$A$2:$A$495,0)),"ID not found"))</f>
        <v/>
      </c>
    </row>
    <row r="148" spans="2:6" x14ac:dyDescent="0.2">
      <c r="B148" s="17" t="str">
        <f>IF(A148="","",IFERROR(INDEX('Dashboard Items'!$C$2:$C$495,MATCH(A148,'Dashboard Items'!$A$2:$A$495,0)),"ID not found"))</f>
        <v/>
      </c>
      <c r="C148" s="17" t="str">
        <f>IF(A148="","",IFERROR(INDEX('Dashboard Items'!$E$2:$E$495,MATCH(A148,'Dashboard Items'!$A$2:$A$495,0)),"ID not found"))</f>
        <v/>
      </c>
      <c r="E148" s="17" t="str">
        <f>IF(D148="","",IFERROR(INDEX('Dashboard Items'!$C$2:$C$495,MATCH(D148,'Dashboard Items'!$A$2:$A$495,0)),"ID not found"))</f>
        <v/>
      </c>
      <c r="F148" s="17" t="str">
        <f>IF(D148="","",IFERROR(INDEX('Dashboard Items'!$F$2:$F$495,MATCH(D148,'Dashboard Items'!$A$2:$A$495,0)),"ID not found"))</f>
        <v/>
      </c>
    </row>
    <row r="149" spans="2:6" x14ac:dyDescent="0.2">
      <c r="B149" s="17" t="str">
        <f>IF(A149="","",IFERROR(INDEX('Dashboard Items'!$C$2:$C$495,MATCH(A149,'Dashboard Items'!$A$2:$A$495,0)),"ID not found"))</f>
        <v/>
      </c>
      <c r="C149" s="17" t="str">
        <f>IF(A149="","",IFERROR(INDEX('Dashboard Items'!$E$2:$E$495,MATCH(A149,'Dashboard Items'!$A$2:$A$495,0)),"ID not found"))</f>
        <v/>
      </c>
      <c r="E149" s="17" t="str">
        <f>IF(D149="","",IFERROR(INDEX('Dashboard Items'!$C$2:$C$495,MATCH(D149,'Dashboard Items'!$A$2:$A$495,0)),"ID not found"))</f>
        <v/>
      </c>
      <c r="F149" s="17" t="str">
        <f>IF(D149="","",IFERROR(INDEX('Dashboard Items'!$F$2:$F$495,MATCH(D149,'Dashboard Items'!$A$2:$A$495,0)),"ID not found"))</f>
        <v/>
      </c>
    </row>
    <row r="150" spans="2:6" x14ac:dyDescent="0.2">
      <c r="B150" s="17" t="str">
        <f>IF(A150="","",IFERROR(INDEX('Dashboard Items'!$C$2:$C$495,MATCH(A150,'Dashboard Items'!$A$2:$A$495,0)),"ID not found"))</f>
        <v/>
      </c>
      <c r="C150" s="17" t="str">
        <f>IF(A150="","",IFERROR(INDEX('Dashboard Items'!$E$2:$E$495,MATCH(A150,'Dashboard Items'!$A$2:$A$495,0)),"ID not found"))</f>
        <v/>
      </c>
      <c r="E150" s="17" t="str">
        <f>IF(D150="","",IFERROR(INDEX('Dashboard Items'!$C$2:$C$495,MATCH(D150,'Dashboard Items'!$A$2:$A$495,0)),"ID not found"))</f>
        <v/>
      </c>
      <c r="F150" s="17" t="str">
        <f>IF(D150="","",IFERROR(INDEX('Dashboard Items'!$F$2:$F$495,MATCH(D150,'Dashboard Items'!$A$2:$A$495,0)),"ID not found"))</f>
        <v/>
      </c>
    </row>
    <row r="151" spans="2:6" x14ac:dyDescent="0.2">
      <c r="B151" s="17" t="str">
        <f>IF(A151="","",IFERROR(INDEX('Dashboard Items'!$C$2:$C$495,MATCH(A151,'Dashboard Items'!$A$2:$A$495,0)),"ID not found"))</f>
        <v/>
      </c>
      <c r="C151" s="17" t="str">
        <f>IF(A151="","",IFERROR(INDEX('Dashboard Items'!$E$2:$E$495,MATCH(A151,'Dashboard Items'!$A$2:$A$495,0)),"ID not found"))</f>
        <v/>
      </c>
      <c r="E151" s="17" t="str">
        <f>IF(D151="","",IFERROR(INDEX('Dashboard Items'!$C$2:$C$495,MATCH(D151,'Dashboard Items'!$A$2:$A$495,0)),"ID not found"))</f>
        <v/>
      </c>
      <c r="F151" s="17" t="str">
        <f>IF(D151="","",IFERROR(INDEX('Dashboard Items'!$F$2:$F$495,MATCH(D151,'Dashboard Items'!$A$2:$A$495,0)),"ID not found"))</f>
        <v/>
      </c>
    </row>
    <row r="152" spans="2:6" x14ac:dyDescent="0.2">
      <c r="B152" s="17" t="str">
        <f>IF(A152="","",IFERROR(INDEX('Dashboard Items'!$C$2:$C$495,MATCH(A152,'Dashboard Items'!$A$2:$A$495,0)),"ID not found"))</f>
        <v/>
      </c>
      <c r="C152" s="17" t="str">
        <f>IF(A152="","",IFERROR(INDEX('Dashboard Items'!$E$2:$E$495,MATCH(A152,'Dashboard Items'!$A$2:$A$495,0)),"ID not found"))</f>
        <v/>
      </c>
      <c r="E152" s="17" t="str">
        <f>IF(D152="","",IFERROR(INDEX('Dashboard Items'!$C$2:$C$495,MATCH(D152,'Dashboard Items'!$A$2:$A$495,0)),"ID not found"))</f>
        <v/>
      </c>
      <c r="F152" s="17" t="str">
        <f>IF(D152="","",IFERROR(INDEX('Dashboard Items'!$F$2:$F$495,MATCH(D152,'Dashboard Items'!$A$2:$A$495,0)),"ID not found"))</f>
        <v/>
      </c>
    </row>
    <row r="153" spans="2:6" x14ac:dyDescent="0.2">
      <c r="B153" s="17" t="str">
        <f>IF(A153="","",IFERROR(INDEX('Dashboard Items'!$C$2:$C$495,MATCH(A153,'Dashboard Items'!$A$2:$A$495,0)),"ID not found"))</f>
        <v/>
      </c>
      <c r="C153" s="17" t="str">
        <f>IF(A153="","",IFERROR(INDEX('Dashboard Items'!$E$2:$E$495,MATCH(A153,'Dashboard Items'!$A$2:$A$495,0)),"ID not found"))</f>
        <v/>
      </c>
      <c r="E153" s="17" t="str">
        <f>IF(D153="","",IFERROR(INDEX('Dashboard Items'!$C$2:$C$495,MATCH(D153,'Dashboard Items'!$A$2:$A$495,0)),"ID not found"))</f>
        <v/>
      </c>
      <c r="F153" s="17" t="str">
        <f>IF(D153="","",IFERROR(INDEX('Dashboard Items'!$F$2:$F$495,MATCH(D153,'Dashboard Items'!$A$2:$A$495,0)),"ID not found"))</f>
        <v/>
      </c>
    </row>
    <row r="154" spans="2:6" x14ac:dyDescent="0.2">
      <c r="B154" s="17" t="str">
        <f>IF(A154="","",IFERROR(INDEX('Dashboard Items'!$C$2:$C$495,MATCH(A154,'Dashboard Items'!$A$2:$A$495,0)),"ID not found"))</f>
        <v/>
      </c>
      <c r="C154" s="17" t="str">
        <f>IF(A154="","",IFERROR(INDEX('Dashboard Items'!$E$2:$E$495,MATCH(A154,'Dashboard Items'!$A$2:$A$495,0)),"ID not found"))</f>
        <v/>
      </c>
      <c r="E154" s="17" t="str">
        <f>IF(D154="","",IFERROR(INDEX('Dashboard Items'!$C$2:$C$495,MATCH(D154,'Dashboard Items'!$A$2:$A$495,0)),"ID not found"))</f>
        <v/>
      </c>
      <c r="F154" s="17" t="str">
        <f>IF(D154="","",IFERROR(INDEX('Dashboard Items'!$F$2:$F$495,MATCH(D154,'Dashboard Items'!$A$2:$A$495,0)),"ID not found"))</f>
        <v/>
      </c>
    </row>
    <row r="155" spans="2:6" x14ac:dyDescent="0.2">
      <c r="B155" s="17" t="str">
        <f>IF(A155="","",IFERROR(INDEX('Dashboard Items'!$C$2:$C$495,MATCH(A155,'Dashboard Items'!$A$2:$A$495,0)),"ID not found"))</f>
        <v/>
      </c>
      <c r="C155" s="17" t="str">
        <f>IF(A155="","",IFERROR(INDEX('Dashboard Items'!$E$2:$E$495,MATCH(A155,'Dashboard Items'!$A$2:$A$495,0)),"ID not found"))</f>
        <v/>
      </c>
      <c r="E155" s="17" t="str">
        <f>IF(D155="","",IFERROR(INDEX('Dashboard Items'!$C$2:$C$495,MATCH(D155,'Dashboard Items'!$A$2:$A$495,0)),"ID not found"))</f>
        <v/>
      </c>
      <c r="F155" s="17" t="str">
        <f>IF(D155="","",IFERROR(INDEX('Dashboard Items'!$F$2:$F$495,MATCH(D155,'Dashboard Items'!$A$2:$A$495,0)),"ID not found"))</f>
        <v/>
      </c>
    </row>
    <row r="156" spans="2:6" x14ac:dyDescent="0.2">
      <c r="B156" s="17" t="str">
        <f>IF(A156="","",IFERROR(INDEX('Dashboard Items'!$C$2:$C$495,MATCH(A156,'Dashboard Items'!$A$2:$A$495,0)),"ID not found"))</f>
        <v/>
      </c>
      <c r="C156" s="17" t="str">
        <f>IF(A156="","",IFERROR(INDEX('Dashboard Items'!$E$2:$E$495,MATCH(A156,'Dashboard Items'!$A$2:$A$495,0)),"ID not found"))</f>
        <v/>
      </c>
      <c r="E156" s="17" t="str">
        <f>IF(D156="","",IFERROR(INDEX('Dashboard Items'!$C$2:$C$495,MATCH(D156,'Dashboard Items'!$A$2:$A$495,0)),"ID not found"))</f>
        <v/>
      </c>
      <c r="F156" s="17" t="str">
        <f>IF(D156="","",IFERROR(INDEX('Dashboard Items'!$F$2:$F$495,MATCH(D156,'Dashboard Items'!$A$2:$A$495,0)),"ID not found"))</f>
        <v/>
      </c>
    </row>
    <row r="157" spans="2:6" x14ac:dyDescent="0.2">
      <c r="B157" s="17" t="str">
        <f>IF(A157="","",IFERROR(INDEX('Dashboard Items'!$C$2:$C$495,MATCH(A157,'Dashboard Items'!$A$2:$A$495,0)),"ID not found"))</f>
        <v/>
      </c>
      <c r="C157" s="17" t="str">
        <f>IF(A157="","",IFERROR(INDEX('Dashboard Items'!$E$2:$E$495,MATCH(A157,'Dashboard Items'!$A$2:$A$495,0)),"ID not found"))</f>
        <v/>
      </c>
      <c r="E157" s="17" t="str">
        <f>IF(D157="","",IFERROR(INDEX('Dashboard Items'!$C$2:$C$495,MATCH(D157,'Dashboard Items'!$A$2:$A$495,0)),"ID not found"))</f>
        <v/>
      </c>
      <c r="F157" s="17" t="str">
        <f>IF(D157="","",IFERROR(INDEX('Dashboard Items'!$F$2:$F$495,MATCH(D157,'Dashboard Items'!$A$2:$A$495,0)),"ID not found"))</f>
        <v/>
      </c>
    </row>
    <row r="158" spans="2:6" x14ac:dyDescent="0.2">
      <c r="B158" s="17" t="str">
        <f>IF(A158="","",IFERROR(INDEX('Dashboard Items'!$C$2:$C$495,MATCH(A158,'Dashboard Items'!$A$2:$A$495,0)),"ID not found"))</f>
        <v/>
      </c>
      <c r="C158" s="17" t="str">
        <f>IF(A158="","",IFERROR(INDEX('Dashboard Items'!$E$2:$E$495,MATCH(A158,'Dashboard Items'!$A$2:$A$495,0)),"ID not found"))</f>
        <v/>
      </c>
      <c r="E158" s="17" t="str">
        <f>IF(D158="","",IFERROR(INDEX('Dashboard Items'!$C$2:$C$495,MATCH(D158,'Dashboard Items'!$A$2:$A$495,0)),"ID not found"))</f>
        <v/>
      </c>
      <c r="F158" s="17" t="str">
        <f>IF(D158="","",IFERROR(INDEX('Dashboard Items'!$F$2:$F$495,MATCH(D158,'Dashboard Items'!$A$2:$A$495,0)),"ID not found"))</f>
        <v/>
      </c>
    </row>
    <row r="159" spans="2:6" x14ac:dyDescent="0.2">
      <c r="B159" s="17" t="str">
        <f>IF(A159="","",IFERROR(INDEX('Dashboard Items'!$C$2:$C$495,MATCH(A159,'Dashboard Items'!$A$2:$A$495,0)),"ID not found"))</f>
        <v/>
      </c>
      <c r="C159" s="17" t="str">
        <f>IF(A159="","",IFERROR(INDEX('Dashboard Items'!$E$2:$E$495,MATCH(A159,'Dashboard Items'!$A$2:$A$495,0)),"ID not found"))</f>
        <v/>
      </c>
      <c r="E159" s="17" t="str">
        <f>IF(D159="","",IFERROR(INDEX('Dashboard Items'!$C$2:$C$495,MATCH(D159,'Dashboard Items'!$A$2:$A$495,0)),"ID not found"))</f>
        <v/>
      </c>
      <c r="F159" s="17" t="str">
        <f>IF(D159="","",IFERROR(INDEX('Dashboard Items'!$F$2:$F$495,MATCH(D159,'Dashboard Items'!$A$2:$A$495,0)),"ID not found"))</f>
        <v/>
      </c>
    </row>
    <row r="160" spans="2:6" x14ac:dyDescent="0.2">
      <c r="B160" s="17" t="str">
        <f>IF(A160="","",IFERROR(INDEX('Dashboard Items'!$C$2:$C$495,MATCH(A160,'Dashboard Items'!$A$2:$A$495,0)),"ID not found"))</f>
        <v/>
      </c>
      <c r="C160" s="17" t="str">
        <f>IF(A160="","",IFERROR(INDEX('Dashboard Items'!$E$2:$E$495,MATCH(A160,'Dashboard Items'!$A$2:$A$495,0)),"ID not found"))</f>
        <v/>
      </c>
      <c r="E160" s="17" t="str">
        <f>IF(D160="","",IFERROR(INDEX('Dashboard Items'!$C$2:$C$495,MATCH(D160,'Dashboard Items'!$A$2:$A$495,0)),"ID not found"))</f>
        <v/>
      </c>
      <c r="F160" s="17" t="str">
        <f>IF(D160="","",IFERROR(INDEX('Dashboard Items'!$F$2:$F$495,MATCH(D160,'Dashboard Items'!$A$2:$A$495,0)),"ID not found"))</f>
        <v/>
      </c>
    </row>
    <row r="161" spans="2:6" x14ac:dyDescent="0.2">
      <c r="B161" s="17" t="str">
        <f>IF(A161="","",IFERROR(INDEX('Dashboard Items'!$C$2:$C$495,MATCH(A161,'Dashboard Items'!$A$2:$A$495,0)),"ID not found"))</f>
        <v/>
      </c>
      <c r="C161" s="17" t="str">
        <f>IF(A161="","",IFERROR(INDEX('Dashboard Items'!$E$2:$E$495,MATCH(A161,'Dashboard Items'!$A$2:$A$495,0)),"ID not found"))</f>
        <v/>
      </c>
      <c r="E161" s="17" t="str">
        <f>IF(D161="","",IFERROR(INDEX('Dashboard Items'!$C$2:$C$495,MATCH(D161,'Dashboard Items'!$A$2:$A$495,0)),"ID not found"))</f>
        <v/>
      </c>
      <c r="F161" s="17" t="str">
        <f>IF(D161="","",IFERROR(INDEX('Dashboard Items'!$F$2:$F$495,MATCH(D161,'Dashboard Items'!$A$2:$A$495,0)),"ID not found"))</f>
        <v/>
      </c>
    </row>
    <row r="162" spans="2:6" x14ac:dyDescent="0.2">
      <c r="B162" s="17" t="str">
        <f>IF(A162="","",IFERROR(INDEX('Dashboard Items'!$C$2:$C$495,MATCH(A162,'Dashboard Items'!$A$2:$A$495,0)),"ID not found"))</f>
        <v/>
      </c>
      <c r="C162" s="17" t="str">
        <f>IF(A162="","",IFERROR(INDEX('Dashboard Items'!$E$2:$E$495,MATCH(A162,'Dashboard Items'!$A$2:$A$495,0)),"ID not found"))</f>
        <v/>
      </c>
      <c r="E162" s="17" t="str">
        <f>IF(D162="","",IFERROR(INDEX('Dashboard Items'!$C$2:$C$495,MATCH(D162,'Dashboard Items'!$A$2:$A$495,0)),"ID not found"))</f>
        <v/>
      </c>
      <c r="F162" s="17" t="str">
        <f>IF(D162="","",IFERROR(INDEX('Dashboard Items'!$F$2:$F$495,MATCH(D162,'Dashboard Items'!$A$2:$A$495,0)),"ID not found"))</f>
        <v/>
      </c>
    </row>
    <row r="163" spans="2:6" x14ac:dyDescent="0.2">
      <c r="B163" s="17" t="str">
        <f>IF(A163="","",IFERROR(INDEX('Dashboard Items'!$C$2:$C$495,MATCH(A163,'Dashboard Items'!$A$2:$A$495,0)),"ID not found"))</f>
        <v/>
      </c>
      <c r="C163" s="17" t="str">
        <f>IF(A163="","",IFERROR(INDEX('Dashboard Items'!$E$2:$E$495,MATCH(A163,'Dashboard Items'!$A$2:$A$495,0)),"ID not found"))</f>
        <v/>
      </c>
      <c r="E163" s="17" t="str">
        <f>IF(D163="","",IFERROR(INDEX('Dashboard Items'!$C$2:$C$495,MATCH(D163,'Dashboard Items'!$A$2:$A$495,0)),"ID not found"))</f>
        <v/>
      </c>
      <c r="F163" s="17" t="str">
        <f>IF(D163="","",IFERROR(INDEX('Dashboard Items'!$F$2:$F$495,MATCH(D163,'Dashboard Items'!$A$2:$A$495,0)),"ID not found"))</f>
        <v/>
      </c>
    </row>
    <row r="164" spans="2:6" x14ac:dyDescent="0.2">
      <c r="B164" s="17" t="str">
        <f>IF(A164="","",IFERROR(INDEX('Dashboard Items'!$C$2:$C$495,MATCH(A164,'Dashboard Items'!$A$2:$A$495,0)),"ID not found"))</f>
        <v/>
      </c>
      <c r="C164" s="17" t="str">
        <f>IF(A164="","",IFERROR(INDEX('Dashboard Items'!$E$2:$E$495,MATCH(A164,'Dashboard Items'!$A$2:$A$495,0)),"ID not found"))</f>
        <v/>
      </c>
      <c r="E164" s="17" t="str">
        <f>IF(D164="","",IFERROR(INDEX('Dashboard Items'!$C$2:$C$495,MATCH(D164,'Dashboard Items'!$A$2:$A$495,0)),"ID not found"))</f>
        <v/>
      </c>
      <c r="F164" s="17" t="str">
        <f>IF(D164="","",IFERROR(INDEX('Dashboard Items'!$F$2:$F$495,MATCH(D164,'Dashboard Items'!$A$2:$A$495,0)),"ID not found"))</f>
        <v/>
      </c>
    </row>
    <row r="165" spans="2:6" x14ac:dyDescent="0.2">
      <c r="B165" s="17" t="str">
        <f>IF(A165="","",IFERROR(INDEX('Dashboard Items'!$C$2:$C$495,MATCH(A165,'Dashboard Items'!$A$2:$A$495,0)),"ID not found"))</f>
        <v/>
      </c>
      <c r="C165" s="17" t="str">
        <f>IF(A165="","",IFERROR(INDEX('Dashboard Items'!$E$2:$E$495,MATCH(A165,'Dashboard Items'!$A$2:$A$495,0)),"ID not found"))</f>
        <v/>
      </c>
      <c r="E165" s="17" t="str">
        <f>IF(D165="","",IFERROR(INDEX('Dashboard Items'!$C$2:$C$495,MATCH(D165,'Dashboard Items'!$A$2:$A$495,0)),"ID not found"))</f>
        <v/>
      </c>
      <c r="F165" s="17" t="str">
        <f>IF(D165="","",IFERROR(INDEX('Dashboard Items'!$F$2:$F$495,MATCH(D165,'Dashboard Items'!$A$2:$A$495,0)),"ID not found"))</f>
        <v/>
      </c>
    </row>
    <row r="166" spans="2:6" x14ac:dyDescent="0.2">
      <c r="B166" s="17" t="str">
        <f>IF(A166="","",IFERROR(INDEX('Dashboard Items'!$C$2:$C$495,MATCH(A166,'Dashboard Items'!$A$2:$A$495,0)),"ID not found"))</f>
        <v/>
      </c>
      <c r="C166" s="17" t="str">
        <f>IF(A166="","",IFERROR(INDEX('Dashboard Items'!$E$2:$E$495,MATCH(A166,'Dashboard Items'!$A$2:$A$495,0)),"ID not found"))</f>
        <v/>
      </c>
      <c r="E166" s="17" t="str">
        <f>IF(D166="","",IFERROR(INDEX('Dashboard Items'!$C$2:$C$495,MATCH(D166,'Dashboard Items'!$A$2:$A$495,0)),"ID not found"))</f>
        <v/>
      </c>
      <c r="F166" s="17" t="str">
        <f>IF(D166="","",IFERROR(INDEX('Dashboard Items'!$F$2:$F$495,MATCH(D166,'Dashboard Items'!$A$2:$A$495,0)),"ID not found"))</f>
        <v/>
      </c>
    </row>
    <row r="167" spans="2:6" x14ac:dyDescent="0.2">
      <c r="B167" s="17" t="str">
        <f>IF(A167="","",IFERROR(INDEX('Dashboard Items'!$C$2:$C$495,MATCH(A167,'Dashboard Items'!$A$2:$A$495,0)),"ID not found"))</f>
        <v/>
      </c>
      <c r="C167" s="17" t="str">
        <f>IF(A167="","",IFERROR(INDEX('Dashboard Items'!$E$2:$E$495,MATCH(A167,'Dashboard Items'!$A$2:$A$495,0)),"ID not found"))</f>
        <v/>
      </c>
      <c r="E167" s="17" t="str">
        <f>IF(D167="","",IFERROR(INDEX('Dashboard Items'!$C$2:$C$495,MATCH(D167,'Dashboard Items'!$A$2:$A$495,0)),"ID not found"))</f>
        <v/>
      </c>
      <c r="F167" s="17" t="str">
        <f>IF(D167="","",IFERROR(INDEX('Dashboard Items'!$F$2:$F$495,MATCH(D167,'Dashboard Items'!$A$2:$A$495,0)),"ID not found"))</f>
        <v/>
      </c>
    </row>
    <row r="168" spans="2:6" x14ac:dyDescent="0.2">
      <c r="B168" s="17" t="str">
        <f>IF(A168="","",IFERROR(INDEX('Dashboard Items'!$C$2:$C$495,MATCH(A168,'Dashboard Items'!$A$2:$A$495,0)),"ID not found"))</f>
        <v/>
      </c>
      <c r="C168" s="17" t="str">
        <f>IF(A168="","",IFERROR(INDEX('Dashboard Items'!$E$2:$E$495,MATCH(A168,'Dashboard Items'!$A$2:$A$495,0)),"ID not found"))</f>
        <v/>
      </c>
      <c r="E168" s="17" t="str">
        <f>IF(D168="","",IFERROR(INDEX('Dashboard Items'!$C$2:$C$495,MATCH(D168,'Dashboard Items'!$A$2:$A$495,0)),"ID not found"))</f>
        <v/>
      </c>
      <c r="F168" s="17" t="str">
        <f>IF(D168="","",IFERROR(INDEX('Dashboard Items'!$F$2:$F$495,MATCH(D168,'Dashboard Items'!$A$2:$A$495,0)),"ID not found"))</f>
        <v/>
      </c>
    </row>
    <row r="169" spans="2:6" x14ac:dyDescent="0.2">
      <c r="B169" s="17" t="str">
        <f>IF(A169="","",IFERROR(INDEX('Dashboard Items'!$C$2:$C$495,MATCH(A169,'Dashboard Items'!$A$2:$A$495,0)),"ID not found"))</f>
        <v/>
      </c>
      <c r="C169" s="17" t="str">
        <f>IF(A169="","",IFERROR(INDEX('Dashboard Items'!$E$2:$E$495,MATCH(A169,'Dashboard Items'!$A$2:$A$495,0)),"ID not found"))</f>
        <v/>
      </c>
      <c r="E169" s="17" t="str">
        <f>IF(D169="","",IFERROR(INDEX('Dashboard Items'!$C$2:$C$495,MATCH(D169,'Dashboard Items'!$A$2:$A$495,0)),"ID not found"))</f>
        <v/>
      </c>
      <c r="F169" s="17" t="str">
        <f>IF(D169="","",IFERROR(INDEX('Dashboard Items'!$F$2:$F$495,MATCH(D169,'Dashboard Items'!$A$2:$A$495,0)),"ID not found"))</f>
        <v/>
      </c>
    </row>
    <row r="170" spans="2:6" x14ac:dyDescent="0.2">
      <c r="B170" s="17" t="str">
        <f>IF(A170="","",IFERROR(INDEX('Dashboard Items'!$C$2:$C$495,MATCH(A170,'Dashboard Items'!$A$2:$A$495,0)),"ID not found"))</f>
        <v/>
      </c>
      <c r="C170" s="17" t="str">
        <f>IF(A170="","",IFERROR(INDEX('Dashboard Items'!$E$2:$E$495,MATCH(A170,'Dashboard Items'!$A$2:$A$495,0)),"ID not found"))</f>
        <v/>
      </c>
      <c r="E170" s="17" t="str">
        <f>IF(D170="","",IFERROR(INDEX('Dashboard Items'!$C$2:$C$495,MATCH(D170,'Dashboard Items'!$A$2:$A$495,0)),"ID not found"))</f>
        <v/>
      </c>
      <c r="F170" s="17" t="str">
        <f>IF(D170="","",IFERROR(INDEX('Dashboard Items'!$F$2:$F$495,MATCH(D170,'Dashboard Items'!$A$2:$A$495,0)),"ID not found"))</f>
        <v/>
      </c>
    </row>
    <row r="171" spans="2:6" x14ac:dyDescent="0.2">
      <c r="B171" s="17" t="str">
        <f>IF(A171="","",IFERROR(INDEX('Dashboard Items'!$C$2:$C$495,MATCH(A171,'Dashboard Items'!$A$2:$A$495,0)),"ID not found"))</f>
        <v/>
      </c>
      <c r="C171" s="17" t="str">
        <f>IF(A171="","",IFERROR(INDEX('Dashboard Items'!$E$2:$E$495,MATCH(A171,'Dashboard Items'!$A$2:$A$495,0)),"ID not found"))</f>
        <v/>
      </c>
      <c r="E171" s="17" t="str">
        <f>IF(D171="","",IFERROR(INDEX('Dashboard Items'!$C$2:$C$495,MATCH(D171,'Dashboard Items'!$A$2:$A$495,0)),"ID not found"))</f>
        <v/>
      </c>
      <c r="F171" s="17" t="str">
        <f>IF(D171="","",IFERROR(INDEX('Dashboard Items'!$F$2:$F$495,MATCH(D171,'Dashboard Items'!$A$2:$A$495,0)),"ID not found"))</f>
        <v/>
      </c>
    </row>
    <row r="172" spans="2:6" x14ac:dyDescent="0.2">
      <c r="B172" s="17" t="str">
        <f>IF(A172="","",IFERROR(INDEX('Dashboard Items'!$C$2:$C$495,MATCH(A172,'Dashboard Items'!$A$2:$A$495,0)),"ID not found"))</f>
        <v/>
      </c>
      <c r="C172" s="17" t="str">
        <f>IF(A172="","",IFERROR(INDEX('Dashboard Items'!$E$2:$E$495,MATCH(A172,'Dashboard Items'!$A$2:$A$495,0)),"ID not found"))</f>
        <v/>
      </c>
      <c r="E172" s="17" t="str">
        <f>IF(D172="","",IFERROR(INDEX('Dashboard Items'!$C$2:$C$495,MATCH(D172,'Dashboard Items'!$A$2:$A$495,0)),"ID not found"))</f>
        <v/>
      </c>
      <c r="F172" s="17" t="str">
        <f>IF(D172="","",IFERROR(INDEX('Dashboard Items'!$F$2:$F$495,MATCH(D172,'Dashboard Items'!$A$2:$A$495,0)),"ID not found"))</f>
        <v/>
      </c>
    </row>
    <row r="173" spans="2:6" x14ac:dyDescent="0.2">
      <c r="B173" s="17" t="str">
        <f>IF(A173="","",IFERROR(INDEX('Dashboard Items'!$C$2:$C$495,MATCH(A173,'Dashboard Items'!$A$2:$A$495,0)),"ID not found"))</f>
        <v/>
      </c>
      <c r="C173" s="17" t="str">
        <f>IF(A173="","",IFERROR(INDEX('Dashboard Items'!$E$2:$E$495,MATCH(A173,'Dashboard Items'!$A$2:$A$495,0)),"ID not found"))</f>
        <v/>
      </c>
      <c r="E173" s="17" t="str">
        <f>IF(D173="","",IFERROR(INDEX('Dashboard Items'!$C$2:$C$495,MATCH(D173,'Dashboard Items'!$A$2:$A$495,0)),"ID not found"))</f>
        <v/>
      </c>
      <c r="F173" s="17" t="str">
        <f>IF(D173="","",IFERROR(INDEX('Dashboard Items'!$F$2:$F$495,MATCH(D173,'Dashboard Items'!$A$2:$A$495,0)),"ID not found"))</f>
        <v/>
      </c>
    </row>
    <row r="174" spans="2:6" x14ac:dyDescent="0.2">
      <c r="B174" s="17" t="str">
        <f>IF(A174="","",IFERROR(INDEX('Dashboard Items'!$C$2:$C$495,MATCH(A174,'Dashboard Items'!$A$2:$A$495,0)),"ID not found"))</f>
        <v/>
      </c>
      <c r="C174" s="17" t="str">
        <f>IF(A174="","",IFERROR(INDEX('Dashboard Items'!$E$2:$E$495,MATCH(A174,'Dashboard Items'!$A$2:$A$495,0)),"ID not found"))</f>
        <v/>
      </c>
      <c r="E174" s="17" t="str">
        <f>IF(D174="","",IFERROR(INDEX('Dashboard Items'!$C$2:$C$495,MATCH(D174,'Dashboard Items'!$A$2:$A$495,0)),"ID not found"))</f>
        <v/>
      </c>
      <c r="F174" s="17" t="str">
        <f>IF(D174="","",IFERROR(INDEX('Dashboard Items'!$F$2:$F$495,MATCH(D174,'Dashboard Items'!$A$2:$A$495,0)),"ID not found"))</f>
        <v/>
      </c>
    </row>
    <row r="175" spans="2:6" x14ac:dyDescent="0.2">
      <c r="B175" s="17" t="str">
        <f>IF(A175="","",IFERROR(INDEX('Dashboard Items'!$C$2:$C$495,MATCH(A175,'Dashboard Items'!$A$2:$A$495,0)),"ID not found"))</f>
        <v/>
      </c>
      <c r="C175" s="17" t="str">
        <f>IF(A175="","",IFERROR(INDEX('Dashboard Items'!$E$2:$E$495,MATCH(A175,'Dashboard Items'!$A$2:$A$495,0)),"ID not found"))</f>
        <v/>
      </c>
      <c r="E175" s="17" t="str">
        <f>IF(D175="","",IFERROR(INDEX('Dashboard Items'!$C$2:$C$495,MATCH(D175,'Dashboard Items'!$A$2:$A$495,0)),"ID not found"))</f>
        <v/>
      </c>
      <c r="F175" s="17" t="str">
        <f>IF(D175="","",IFERROR(INDEX('Dashboard Items'!$F$2:$F$495,MATCH(D175,'Dashboard Items'!$A$2:$A$495,0)),"ID not found"))</f>
        <v/>
      </c>
    </row>
    <row r="176" spans="2:6" x14ac:dyDescent="0.2">
      <c r="B176" s="17" t="str">
        <f>IF(A176="","",IFERROR(INDEX('Dashboard Items'!$C$2:$C$495,MATCH(A176,'Dashboard Items'!$A$2:$A$495,0)),"ID not found"))</f>
        <v/>
      </c>
      <c r="C176" s="17" t="str">
        <f>IF(A176="","",IFERROR(INDEX('Dashboard Items'!$E$2:$E$495,MATCH(A176,'Dashboard Items'!$A$2:$A$495,0)),"ID not found"))</f>
        <v/>
      </c>
      <c r="E176" s="17" t="str">
        <f>IF(D176="","",IFERROR(INDEX('Dashboard Items'!$C$2:$C$495,MATCH(D176,'Dashboard Items'!$A$2:$A$495,0)),"ID not found"))</f>
        <v/>
      </c>
      <c r="F176" s="17" t="str">
        <f>IF(D176="","",IFERROR(INDEX('Dashboard Items'!$F$2:$F$495,MATCH(D176,'Dashboard Items'!$A$2:$A$495,0)),"ID not found"))</f>
        <v/>
      </c>
    </row>
    <row r="177" spans="2:6" x14ac:dyDescent="0.2">
      <c r="B177" s="17" t="str">
        <f>IF(A177="","",IFERROR(INDEX('Dashboard Items'!$C$2:$C$495,MATCH(A177,'Dashboard Items'!$A$2:$A$495,0)),"ID not found"))</f>
        <v/>
      </c>
      <c r="C177" s="17" t="str">
        <f>IF(A177="","",IFERROR(INDEX('Dashboard Items'!$E$2:$E$495,MATCH(A177,'Dashboard Items'!$A$2:$A$495,0)),"ID not found"))</f>
        <v/>
      </c>
      <c r="E177" s="17" t="str">
        <f>IF(D177="","",IFERROR(INDEX('Dashboard Items'!$C$2:$C$495,MATCH(D177,'Dashboard Items'!$A$2:$A$495,0)),"ID not found"))</f>
        <v/>
      </c>
      <c r="F177" s="17" t="str">
        <f>IF(D177="","",IFERROR(INDEX('Dashboard Items'!$F$2:$F$495,MATCH(D177,'Dashboard Items'!$A$2:$A$495,0)),"ID not found"))</f>
        <v/>
      </c>
    </row>
    <row r="178" spans="2:6" x14ac:dyDescent="0.2">
      <c r="B178" s="17" t="str">
        <f>IF(A178="","",IFERROR(INDEX('Dashboard Items'!$C$2:$C$495,MATCH(A178,'Dashboard Items'!$A$2:$A$495,0)),"ID not found"))</f>
        <v/>
      </c>
      <c r="C178" s="17" t="str">
        <f>IF(A178="","",IFERROR(INDEX('Dashboard Items'!$E$2:$E$495,MATCH(A178,'Dashboard Items'!$A$2:$A$495,0)),"ID not found"))</f>
        <v/>
      </c>
      <c r="E178" s="17" t="str">
        <f>IF(D178="","",IFERROR(INDEX('Dashboard Items'!$C$2:$C$495,MATCH(D178,'Dashboard Items'!$A$2:$A$495,0)),"ID not found"))</f>
        <v/>
      </c>
      <c r="F178" s="17" t="str">
        <f>IF(D178="","",IFERROR(INDEX('Dashboard Items'!$F$2:$F$495,MATCH(D178,'Dashboard Items'!$A$2:$A$495,0)),"ID not found"))</f>
        <v/>
      </c>
    </row>
    <row r="179" spans="2:6" x14ac:dyDescent="0.2">
      <c r="B179" s="17" t="str">
        <f>IF(A179="","",IFERROR(INDEX('Dashboard Items'!$C$2:$C$495,MATCH(A179,'Dashboard Items'!$A$2:$A$495,0)),"ID not found"))</f>
        <v/>
      </c>
      <c r="C179" s="17" t="str">
        <f>IF(A179="","",IFERROR(INDEX('Dashboard Items'!$E$2:$E$495,MATCH(A179,'Dashboard Items'!$A$2:$A$495,0)),"ID not found"))</f>
        <v/>
      </c>
      <c r="E179" s="17" t="str">
        <f>IF(D179="","",IFERROR(INDEX('Dashboard Items'!$C$2:$C$495,MATCH(D179,'Dashboard Items'!$A$2:$A$495,0)),"ID not found"))</f>
        <v/>
      </c>
      <c r="F179" s="17" t="str">
        <f>IF(D179="","",IFERROR(INDEX('Dashboard Items'!$F$2:$F$495,MATCH(D179,'Dashboard Items'!$A$2:$A$495,0)),"ID not found"))</f>
        <v/>
      </c>
    </row>
    <row r="180" spans="2:6" x14ac:dyDescent="0.2">
      <c r="B180" s="17" t="str">
        <f>IF(A180="","",IFERROR(INDEX('Dashboard Items'!$C$2:$C$495,MATCH(A180,'Dashboard Items'!$A$2:$A$495,0)),"ID not found"))</f>
        <v/>
      </c>
      <c r="C180" s="17" t="str">
        <f>IF(A180="","",IFERROR(INDEX('Dashboard Items'!$E$2:$E$495,MATCH(A180,'Dashboard Items'!$A$2:$A$495,0)),"ID not found"))</f>
        <v/>
      </c>
      <c r="E180" s="17" t="str">
        <f>IF(D180="","",IFERROR(INDEX('Dashboard Items'!$C$2:$C$495,MATCH(D180,'Dashboard Items'!$A$2:$A$495,0)),"ID not found"))</f>
        <v/>
      </c>
      <c r="F180" s="17" t="str">
        <f>IF(D180="","",IFERROR(INDEX('Dashboard Items'!$F$2:$F$495,MATCH(D180,'Dashboard Items'!$A$2:$A$495,0)),"ID not found"))</f>
        <v/>
      </c>
    </row>
    <row r="181" spans="2:6" x14ac:dyDescent="0.2">
      <c r="B181" s="17" t="str">
        <f>IF(A181="","",IFERROR(INDEX('Dashboard Items'!$C$2:$C$495,MATCH(A181,'Dashboard Items'!$A$2:$A$495,0)),"ID not found"))</f>
        <v/>
      </c>
      <c r="C181" s="17" t="str">
        <f>IF(A181="","",IFERROR(INDEX('Dashboard Items'!$E$2:$E$495,MATCH(A181,'Dashboard Items'!$A$2:$A$495,0)),"ID not found"))</f>
        <v/>
      </c>
      <c r="E181" s="17" t="str">
        <f>IF(D181="","",IFERROR(INDEX('Dashboard Items'!$C$2:$C$495,MATCH(D181,'Dashboard Items'!$A$2:$A$495,0)),"ID not found"))</f>
        <v/>
      </c>
      <c r="F181" s="17" t="str">
        <f>IF(D181="","",IFERROR(INDEX('Dashboard Items'!$F$2:$F$495,MATCH(D181,'Dashboard Items'!$A$2:$A$495,0)),"ID not found"))</f>
        <v/>
      </c>
    </row>
    <row r="182" spans="2:6" x14ac:dyDescent="0.2">
      <c r="B182" s="17" t="str">
        <f>IF(A182="","",IFERROR(INDEX('Dashboard Items'!$C$2:$C$495,MATCH(A182,'Dashboard Items'!$A$2:$A$495,0)),"ID not found"))</f>
        <v/>
      </c>
      <c r="C182" s="17" t="str">
        <f>IF(A182="","",IFERROR(INDEX('Dashboard Items'!$E$2:$E$495,MATCH(A182,'Dashboard Items'!$A$2:$A$495,0)),"ID not found"))</f>
        <v/>
      </c>
      <c r="E182" s="17" t="str">
        <f>IF(D182="","",IFERROR(INDEX('Dashboard Items'!$C$2:$C$495,MATCH(D182,'Dashboard Items'!$A$2:$A$495,0)),"ID not found"))</f>
        <v/>
      </c>
      <c r="F182" s="17" t="str">
        <f>IF(D182="","",IFERROR(INDEX('Dashboard Items'!$F$2:$F$495,MATCH(D182,'Dashboard Items'!$A$2:$A$495,0)),"ID not found"))</f>
        <v/>
      </c>
    </row>
    <row r="183" spans="2:6" x14ac:dyDescent="0.2">
      <c r="B183" s="17" t="str">
        <f>IF(A183="","",IFERROR(INDEX('Dashboard Items'!$C$2:$C$495,MATCH(A183,'Dashboard Items'!$A$2:$A$495,0)),"ID not found"))</f>
        <v/>
      </c>
      <c r="C183" s="17" t="str">
        <f>IF(A183="","",IFERROR(INDEX('Dashboard Items'!$E$2:$E$495,MATCH(A183,'Dashboard Items'!$A$2:$A$495,0)),"ID not found"))</f>
        <v/>
      </c>
      <c r="E183" s="17" t="str">
        <f>IF(D183="","",IFERROR(INDEX('Dashboard Items'!$C$2:$C$495,MATCH(D183,'Dashboard Items'!$A$2:$A$495,0)),"ID not found"))</f>
        <v/>
      </c>
      <c r="F183" s="17" t="str">
        <f>IF(D183="","",IFERROR(INDEX('Dashboard Items'!$F$2:$F$495,MATCH(D183,'Dashboard Items'!$A$2:$A$495,0)),"ID not found"))</f>
        <v/>
      </c>
    </row>
    <row r="184" spans="2:6" x14ac:dyDescent="0.2">
      <c r="B184" s="17" t="str">
        <f>IF(A184="","",IFERROR(INDEX('Dashboard Items'!$C$2:$C$495,MATCH(A184,'Dashboard Items'!$A$2:$A$495,0)),"ID not found"))</f>
        <v/>
      </c>
      <c r="C184" s="17" t="str">
        <f>IF(A184="","",IFERROR(INDEX('Dashboard Items'!$E$2:$E$495,MATCH(A184,'Dashboard Items'!$A$2:$A$495,0)),"ID not found"))</f>
        <v/>
      </c>
      <c r="E184" s="17" t="str">
        <f>IF(D184="","",IFERROR(INDEX('Dashboard Items'!$C$2:$C$495,MATCH(D184,'Dashboard Items'!$A$2:$A$495,0)),"ID not found"))</f>
        <v/>
      </c>
      <c r="F184" s="17" t="str">
        <f>IF(D184="","",IFERROR(INDEX('Dashboard Items'!$F$2:$F$495,MATCH(D184,'Dashboard Items'!$A$2:$A$495,0)),"ID not found"))</f>
        <v/>
      </c>
    </row>
    <row r="185" spans="2:6" x14ac:dyDescent="0.2">
      <c r="B185" s="17" t="str">
        <f>IF(A185="","",IFERROR(INDEX('Dashboard Items'!$C$2:$C$495,MATCH(A185,'Dashboard Items'!$A$2:$A$495,0)),"ID not found"))</f>
        <v/>
      </c>
      <c r="C185" s="17" t="str">
        <f>IF(A185="","",IFERROR(INDEX('Dashboard Items'!$E$2:$E$495,MATCH(A185,'Dashboard Items'!$A$2:$A$495,0)),"ID not found"))</f>
        <v/>
      </c>
      <c r="E185" s="17" t="str">
        <f>IF(D185="","",IFERROR(INDEX('Dashboard Items'!$C$2:$C$495,MATCH(D185,'Dashboard Items'!$A$2:$A$495,0)),"ID not found"))</f>
        <v/>
      </c>
      <c r="F185" s="17" t="str">
        <f>IF(D185="","",IFERROR(INDEX('Dashboard Items'!$F$2:$F$495,MATCH(D185,'Dashboard Items'!$A$2:$A$495,0)),"ID not found"))</f>
        <v/>
      </c>
    </row>
    <row r="186" spans="2:6" x14ac:dyDescent="0.2">
      <c r="B186" s="17" t="str">
        <f>IF(A186="","",IFERROR(INDEX('Dashboard Items'!$C$2:$C$495,MATCH(A186,'Dashboard Items'!$A$2:$A$495,0)),"ID not found"))</f>
        <v/>
      </c>
      <c r="C186" s="17" t="str">
        <f>IF(A186="","",IFERROR(INDEX('Dashboard Items'!$E$2:$E$495,MATCH(A186,'Dashboard Items'!$A$2:$A$495,0)),"ID not found"))</f>
        <v/>
      </c>
      <c r="E186" s="17" t="str">
        <f>IF(D186="","",IFERROR(INDEX('Dashboard Items'!$C$2:$C$495,MATCH(D186,'Dashboard Items'!$A$2:$A$495,0)),"ID not found"))</f>
        <v/>
      </c>
      <c r="F186" s="17" t="str">
        <f>IF(D186="","",IFERROR(INDEX('Dashboard Items'!$F$2:$F$495,MATCH(D186,'Dashboard Items'!$A$2:$A$495,0)),"ID not found"))</f>
        <v/>
      </c>
    </row>
    <row r="187" spans="2:6" x14ac:dyDescent="0.2">
      <c r="B187" s="17" t="str">
        <f>IF(A187="","",IFERROR(INDEX('Dashboard Items'!$C$2:$C$495,MATCH(A187,'Dashboard Items'!$A$2:$A$495,0)),"ID not found"))</f>
        <v/>
      </c>
      <c r="C187" s="17" t="str">
        <f>IF(A187="","",IFERROR(INDEX('Dashboard Items'!$E$2:$E$495,MATCH(A187,'Dashboard Items'!$A$2:$A$495,0)),"ID not found"))</f>
        <v/>
      </c>
      <c r="E187" s="17" t="str">
        <f>IF(D187="","",IFERROR(INDEX('Dashboard Items'!$C$2:$C$495,MATCH(D187,'Dashboard Items'!$A$2:$A$495,0)),"ID not found"))</f>
        <v/>
      </c>
      <c r="F187" s="17" t="str">
        <f>IF(D187="","",IFERROR(INDEX('Dashboard Items'!$F$2:$F$495,MATCH(D187,'Dashboard Items'!$A$2:$A$495,0)),"ID not found"))</f>
        <v/>
      </c>
    </row>
    <row r="188" spans="2:6" x14ac:dyDescent="0.2">
      <c r="B188" s="17" t="str">
        <f>IF(A188="","",IFERROR(INDEX('Dashboard Items'!$C$2:$C$495,MATCH(A188,'Dashboard Items'!$A$2:$A$495,0)),"ID not found"))</f>
        <v/>
      </c>
      <c r="C188" s="17" t="str">
        <f>IF(A188="","",IFERROR(INDEX('Dashboard Items'!$E$2:$E$495,MATCH(A188,'Dashboard Items'!$A$2:$A$495,0)),"ID not found"))</f>
        <v/>
      </c>
      <c r="E188" s="17" t="str">
        <f>IF(D188="","",IFERROR(INDEX('Dashboard Items'!$C$2:$C$495,MATCH(D188,'Dashboard Items'!$A$2:$A$495,0)),"ID not found"))</f>
        <v/>
      </c>
      <c r="F188" s="17" t="str">
        <f>IF(D188="","",IFERROR(INDEX('Dashboard Items'!$F$2:$F$495,MATCH(D188,'Dashboard Items'!$A$2:$A$495,0)),"ID not found"))</f>
        <v/>
      </c>
    </row>
    <row r="189" spans="2:6" x14ac:dyDescent="0.2">
      <c r="B189" s="17" t="str">
        <f>IF(A189="","",IFERROR(INDEX('Dashboard Items'!$C$2:$C$495,MATCH(A189,'Dashboard Items'!$A$2:$A$495,0)),"ID not found"))</f>
        <v/>
      </c>
      <c r="C189" s="17" t="str">
        <f>IF(A189="","",IFERROR(INDEX('Dashboard Items'!$E$2:$E$495,MATCH(A189,'Dashboard Items'!$A$2:$A$495,0)),"ID not found"))</f>
        <v/>
      </c>
      <c r="E189" s="17" t="str">
        <f>IF(D189="","",IFERROR(INDEX('Dashboard Items'!$C$2:$C$495,MATCH(D189,'Dashboard Items'!$A$2:$A$495,0)),"ID not found"))</f>
        <v/>
      </c>
      <c r="F189" s="17" t="str">
        <f>IF(D189="","",IFERROR(INDEX('Dashboard Items'!$F$2:$F$495,MATCH(D189,'Dashboard Items'!$A$2:$A$495,0)),"ID not found"))</f>
        <v/>
      </c>
    </row>
    <row r="190" spans="2:6" x14ac:dyDescent="0.2">
      <c r="B190" s="17" t="str">
        <f>IF(A190="","",IFERROR(INDEX('Dashboard Items'!$C$2:$C$495,MATCH(A190,'Dashboard Items'!$A$2:$A$495,0)),"ID not found"))</f>
        <v/>
      </c>
      <c r="C190" s="17" t="str">
        <f>IF(A190="","",IFERROR(INDEX('Dashboard Items'!$E$2:$E$495,MATCH(A190,'Dashboard Items'!$A$2:$A$495,0)),"ID not found"))</f>
        <v/>
      </c>
      <c r="E190" s="17" t="str">
        <f>IF(D190="","",IFERROR(INDEX('Dashboard Items'!$C$2:$C$495,MATCH(D190,'Dashboard Items'!$A$2:$A$495,0)),"ID not found"))</f>
        <v/>
      </c>
      <c r="F190" s="17" t="str">
        <f>IF(D190="","",IFERROR(INDEX('Dashboard Items'!$F$2:$F$495,MATCH(D190,'Dashboard Items'!$A$2:$A$495,0)),"ID not found"))</f>
        <v/>
      </c>
    </row>
    <row r="191" spans="2:6" x14ac:dyDescent="0.2">
      <c r="B191" s="17" t="str">
        <f>IF(A191="","",IFERROR(INDEX('Dashboard Items'!$C$2:$C$495,MATCH(A191,'Dashboard Items'!$A$2:$A$495,0)),"ID not found"))</f>
        <v/>
      </c>
      <c r="C191" s="17" t="str">
        <f>IF(A191="","",IFERROR(INDEX('Dashboard Items'!$E$2:$E$495,MATCH(A191,'Dashboard Items'!$A$2:$A$495,0)),"ID not found"))</f>
        <v/>
      </c>
      <c r="E191" s="17" t="str">
        <f>IF(D191="","",IFERROR(INDEX('Dashboard Items'!$C$2:$C$495,MATCH(D191,'Dashboard Items'!$A$2:$A$495,0)),"ID not found"))</f>
        <v/>
      </c>
      <c r="F191" s="17" t="str">
        <f>IF(D191="","",IFERROR(INDEX('Dashboard Items'!$F$2:$F$495,MATCH(D191,'Dashboard Items'!$A$2:$A$495,0)),"ID not found"))</f>
        <v/>
      </c>
    </row>
    <row r="192" spans="2:6" x14ac:dyDescent="0.2">
      <c r="B192" s="17" t="str">
        <f>IF(A192="","",IFERROR(INDEX('Dashboard Items'!$C$2:$C$495,MATCH(A192,'Dashboard Items'!$A$2:$A$495,0)),"ID not found"))</f>
        <v/>
      </c>
      <c r="C192" s="17" t="str">
        <f>IF(A192="","",IFERROR(INDEX('Dashboard Items'!$E$2:$E$495,MATCH(A192,'Dashboard Items'!$A$2:$A$495,0)),"ID not found"))</f>
        <v/>
      </c>
      <c r="E192" s="17" t="str">
        <f>IF(D192="","",IFERROR(INDEX('Dashboard Items'!$C$2:$C$495,MATCH(D192,'Dashboard Items'!$A$2:$A$495,0)),"ID not found"))</f>
        <v/>
      </c>
      <c r="F192" s="17" t="str">
        <f>IF(D192="","",IFERROR(INDEX('Dashboard Items'!$F$2:$F$495,MATCH(D192,'Dashboard Items'!$A$2:$A$495,0)),"ID not found"))</f>
        <v/>
      </c>
    </row>
    <row r="193" spans="2:6" x14ac:dyDescent="0.2">
      <c r="B193" s="17" t="str">
        <f>IF(A193="","",IFERROR(INDEX('Dashboard Items'!$C$2:$C$495,MATCH(A193,'Dashboard Items'!$A$2:$A$495,0)),"ID not found"))</f>
        <v/>
      </c>
      <c r="C193" s="17" t="str">
        <f>IF(A193="","",IFERROR(INDEX('Dashboard Items'!$E$2:$E$495,MATCH(A193,'Dashboard Items'!$A$2:$A$495,0)),"ID not found"))</f>
        <v/>
      </c>
      <c r="E193" s="17" t="str">
        <f>IF(D193="","",IFERROR(INDEX('Dashboard Items'!$C$2:$C$495,MATCH(D193,'Dashboard Items'!$A$2:$A$495,0)),"ID not found"))</f>
        <v/>
      </c>
      <c r="F193" s="17" t="str">
        <f>IF(D193="","",IFERROR(INDEX('Dashboard Items'!$F$2:$F$495,MATCH(D193,'Dashboard Items'!$A$2:$A$495,0)),"ID not found"))</f>
        <v/>
      </c>
    </row>
    <row r="194" spans="2:6" x14ac:dyDescent="0.2">
      <c r="B194" s="17" t="str">
        <f>IF(A194="","",IFERROR(INDEX('Dashboard Items'!$C$2:$C$495,MATCH(A194,'Dashboard Items'!$A$2:$A$495,0)),"ID not found"))</f>
        <v/>
      </c>
      <c r="C194" s="17" t="str">
        <f>IF(A194="","",IFERROR(INDEX('Dashboard Items'!$E$2:$E$495,MATCH(A194,'Dashboard Items'!$A$2:$A$495,0)),"ID not found"))</f>
        <v/>
      </c>
      <c r="E194" s="17" t="str">
        <f>IF(D194="","",IFERROR(INDEX('Dashboard Items'!$C$2:$C$495,MATCH(D194,'Dashboard Items'!$A$2:$A$495,0)),"ID not found"))</f>
        <v/>
      </c>
      <c r="F194" s="17" t="str">
        <f>IF(D194="","",IFERROR(INDEX('Dashboard Items'!$F$2:$F$495,MATCH(D194,'Dashboard Items'!$A$2:$A$495,0)),"ID not found"))</f>
        <v/>
      </c>
    </row>
    <row r="195" spans="2:6" x14ac:dyDescent="0.2">
      <c r="B195" s="17" t="str">
        <f>IF(A195="","",IFERROR(INDEX('Dashboard Items'!$C$2:$C$495,MATCH(A195,'Dashboard Items'!$A$2:$A$495,0)),"ID not found"))</f>
        <v/>
      </c>
      <c r="C195" s="17" t="str">
        <f>IF(A195="","",IFERROR(INDEX('Dashboard Items'!$E$2:$E$495,MATCH(A195,'Dashboard Items'!$A$2:$A$495,0)),"ID not found"))</f>
        <v/>
      </c>
      <c r="E195" s="17" t="str">
        <f>IF(D195="","",IFERROR(INDEX('Dashboard Items'!$C$2:$C$495,MATCH(D195,'Dashboard Items'!$A$2:$A$495,0)),"ID not found"))</f>
        <v/>
      </c>
      <c r="F195" s="17" t="str">
        <f>IF(D195="","",IFERROR(INDEX('Dashboard Items'!$F$2:$F$495,MATCH(D195,'Dashboard Items'!$A$2:$A$495,0)),"ID not found"))</f>
        <v/>
      </c>
    </row>
    <row r="196" spans="2:6" x14ac:dyDescent="0.2">
      <c r="B196" s="17" t="str">
        <f>IF(A196="","",IFERROR(INDEX('Dashboard Items'!$C$2:$C$495,MATCH(A196,'Dashboard Items'!$A$2:$A$495,0)),"ID not found"))</f>
        <v/>
      </c>
      <c r="C196" s="17" t="str">
        <f>IF(A196="","",IFERROR(INDEX('Dashboard Items'!$E$2:$E$495,MATCH(A196,'Dashboard Items'!$A$2:$A$495,0)),"ID not found"))</f>
        <v/>
      </c>
      <c r="E196" s="17" t="str">
        <f>IF(D196="","",IFERROR(INDEX('Dashboard Items'!$C$2:$C$495,MATCH(D196,'Dashboard Items'!$A$2:$A$495,0)),"ID not found"))</f>
        <v/>
      </c>
      <c r="F196" s="17" t="str">
        <f>IF(D196="","",IFERROR(INDEX('Dashboard Items'!$F$2:$F$495,MATCH(D196,'Dashboard Items'!$A$2:$A$495,0)),"ID not found"))</f>
        <v/>
      </c>
    </row>
    <row r="197" spans="2:6" x14ac:dyDescent="0.2">
      <c r="B197" s="17" t="str">
        <f>IF(A197="","",IFERROR(INDEX('Dashboard Items'!$C$2:$C$495,MATCH(A197,'Dashboard Items'!$A$2:$A$495,0)),"ID not found"))</f>
        <v/>
      </c>
      <c r="C197" s="17" t="str">
        <f>IF(A197="","",IFERROR(INDEX('Dashboard Items'!$E$2:$E$495,MATCH(A197,'Dashboard Items'!$A$2:$A$495,0)),"ID not found"))</f>
        <v/>
      </c>
      <c r="E197" s="17" t="str">
        <f>IF(D197="","",IFERROR(INDEX('Dashboard Items'!$C$2:$C$495,MATCH(D197,'Dashboard Items'!$A$2:$A$495,0)),"ID not found"))</f>
        <v/>
      </c>
      <c r="F197" s="17" t="str">
        <f>IF(D197="","",IFERROR(INDEX('Dashboard Items'!$F$2:$F$495,MATCH(D197,'Dashboard Items'!$A$2:$A$495,0)),"ID not found"))</f>
        <v/>
      </c>
    </row>
    <row r="198" spans="2:6" x14ac:dyDescent="0.2">
      <c r="B198" s="17" t="str">
        <f>IF(A198="","",IFERROR(INDEX('Dashboard Items'!$C$2:$C$495,MATCH(A198,'Dashboard Items'!$A$2:$A$495,0)),"ID not found"))</f>
        <v/>
      </c>
      <c r="C198" s="17" t="str">
        <f>IF(A198="","",IFERROR(INDEX('Dashboard Items'!$E$2:$E$495,MATCH(A198,'Dashboard Items'!$A$2:$A$495,0)),"ID not found"))</f>
        <v/>
      </c>
      <c r="E198" s="17" t="str">
        <f>IF(D198="","",IFERROR(INDEX('Dashboard Items'!$C$2:$C$495,MATCH(D198,'Dashboard Items'!$A$2:$A$495,0)),"ID not found"))</f>
        <v/>
      </c>
      <c r="F198" s="17" t="str">
        <f>IF(D198="","",IFERROR(INDEX('Dashboard Items'!$F$2:$F$495,MATCH(D198,'Dashboard Items'!$A$2:$A$495,0)),"ID not found"))</f>
        <v/>
      </c>
    </row>
    <row r="199" spans="2:6" x14ac:dyDescent="0.2">
      <c r="B199" s="17" t="str">
        <f>IF(A199="","",IFERROR(INDEX('Dashboard Items'!$C$2:$C$495,MATCH(A199,'Dashboard Items'!$A$2:$A$495,0)),"ID not found"))</f>
        <v/>
      </c>
      <c r="C199" s="17" t="str">
        <f>IF(A199="","",IFERROR(INDEX('Dashboard Items'!$E$2:$E$495,MATCH(A199,'Dashboard Items'!$A$2:$A$495,0)),"ID not found"))</f>
        <v/>
      </c>
      <c r="E199" s="17" t="str">
        <f>IF(D199="","",IFERROR(INDEX('Dashboard Items'!$C$2:$C$495,MATCH(D199,'Dashboard Items'!$A$2:$A$495,0)),"ID not found"))</f>
        <v/>
      </c>
      <c r="F199" s="17" t="str">
        <f>IF(D199="","",IFERROR(INDEX('Dashboard Items'!$F$2:$F$495,MATCH(D199,'Dashboard Items'!$A$2:$A$495,0)),"ID not found"))</f>
        <v/>
      </c>
    </row>
    <row r="200" spans="2:6" x14ac:dyDescent="0.2">
      <c r="B200" s="17" t="str">
        <f>IF(A200="","",IFERROR(INDEX('Dashboard Items'!$C$2:$C$495,MATCH(A200,'Dashboard Items'!$A$2:$A$495,0)),"ID not found"))</f>
        <v/>
      </c>
      <c r="C200" s="17" t="str">
        <f>IF(A200="","",IFERROR(INDEX('Dashboard Items'!$E$2:$E$495,MATCH(A200,'Dashboard Items'!$A$2:$A$495,0)),"ID not found"))</f>
        <v/>
      </c>
      <c r="E200" s="17" t="str">
        <f>IF(D200="","",IFERROR(INDEX('Dashboard Items'!$C$2:$C$495,MATCH(D200,'Dashboard Items'!$A$2:$A$495,0)),"ID not found"))</f>
        <v/>
      </c>
      <c r="F200" s="17" t="str">
        <f>IF(D200="","",IFERROR(INDEX('Dashboard Items'!$F$2:$F$495,MATCH(D200,'Dashboard Items'!$A$2:$A$495,0)),"ID not found"))</f>
        <v/>
      </c>
    </row>
  </sheetData>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Use and Planning</vt:lpstr>
      <vt:lpstr>How Gauges Work</vt:lpstr>
      <vt:lpstr>KPI Catalog</vt:lpstr>
      <vt:lpstr>KPI Data</vt:lpstr>
      <vt:lpstr>Dashboard Items</vt:lpstr>
      <vt:lpstr>Objective Alignment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2026-10-15T19:18:27Z</dcterms:modified>
  <dc:language>en-US</dc:language>
</cp:coreProperties>
</file>